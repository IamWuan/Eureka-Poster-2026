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 sach" sheetId="1" r:id="rId5"/>
    <sheet state="visible" name="Kinh tế" sheetId="2" r:id="rId6"/>
    <sheet state="visible" name="Khoa học xã hội" sheetId="3" r:id="rId7"/>
    <sheet state="visible" name="Hành chính pháp lý" sheetId="4" r:id="rId8"/>
    <sheet state="visible" name="Khoa học giáo dục" sheetId="5" r:id="rId9"/>
    <sheet state="visible" name="Văn hóa - Nghệ thuật" sheetId="6" r:id="rId10"/>
    <sheet state="visible" name="Công nghệ thông tin" sheetId="7" r:id="rId11"/>
    <sheet state="visible" name="Kỹ thuật công nghệ" sheetId="8" r:id="rId12"/>
    <sheet state="visible" name="Quy hoạch, Kiến trúc và Xây dựn" sheetId="9" r:id="rId13"/>
    <sheet state="visible" name="Khoa học Y, Dược" sheetId="10" r:id="rId14"/>
    <sheet state="visible" name="Tài nguyên và Môi trường" sheetId="11" r:id="rId15"/>
    <sheet state="visible" name="Sinh học" sheetId="12" r:id="rId16"/>
    <sheet state="visible" name="Hóa học" sheetId="13" r:id="rId17"/>
    <sheet state="visible" name="Công nghệ thực phẩm" sheetId="14" r:id="rId18"/>
    <sheet state="visible" name="Khoa học nông nghiệp" sheetId="15" r:id="rId19"/>
    <sheet state="visible" name="Vật lý" sheetId="16" r:id="rId20"/>
  </sheets>
  <definedNames>
    <definedName hidden="1" localSheetId="0" name="_xlnm._FilterDatabase">'Danh sach'!$A$1:$F$2184</definedName>
  </definedNames>
  <calcPr/>
</workbook>
</file>

<file path=xl/sharedStrings.xml><?xml version="1.0" encoding="utf-8"?>
<sst xmlns="http://schemas.openxmlformats.org/spreadsheetml/2006/main" count="13185" uniqueCount="8928">
  <si>
    <t>Mã</t>
  </si>
  <si>
    <t>Lĩnh vực</t>
  </si>
  <si>
    <t>Tên đề tài</t>
  </si>
  <si>
    <t>Sinh viên thực hiện</t>
  </si>
  <si>
    <t>Đơn vị</t>
  </si>
  <si>
    <t>Tên file poster</t>
  </si>
  <si>
    <t>KTE2026-001</t>
  </si>
  <si>
    <t>Kinh tế</t>
  </si>
  <si>
    <t>Định danh điện tử, tái sử dụng dữ liệu và chi phí tuân thủ trong giải quyết thủ tục hành chính ở Việt Nam: Khung phân tích “hành chính số phòng vệ”</t>
  </si>
  <si>
    <t>Nguyễn Văn Thắng</t>
  </si>
  <si>
    <t>Học viện Ngoại giao</t>
  </si>
  <si>
    <t>KTE2026-001.png</t>
  </si>
  <si>
    <t>KTE2026-002</t>
  </si>
  <si>
    <t>Ưu tiên hóa các năng lực tạo lập, nắm giữ và hiện thực hóa giá trị của doanh nghiệp Việt Nam nhằm củng cố thương hiệu quốc gia Việt Nam: Tiếp cận Delphi-AHP</t>
  </si>
  <si>
    <t>Lê Yến Nhi</t>
  </si>
  <si>
    <t>KTE2026-002.png</t>
  </si>
  <si>
    <t>KTE2026-003</t>
  </si>
  <si>
    <t>EZBIZ – AI hỗ trợ hộ kinh doanh và buôn bán lẻ</t>
  </si>
  <si>
    <t>Võ Lê Hải Đăng; Đỗ Na Tra</t>
  </si>
  <si>
    <t>Trường Đại học Nguyễn Tất Thành</t>
  </si>
  <si>
    <t>KTE2026-003.png</t>
  </si>
  <si>
    <t>KTE2026-004</t>
  </si>
  <si>
    <t>Nghiên cứu và phát triển hệ thống gợi ý sản phẩm thương mại điện tử thích ứng động dựa trên mô hình ngôn ngữ lớn</t>
  </si>
  <si>
    <t>Vũ Quốc Vượng; Dương Thị Ngọc Lan</t>
  </si>
  <si>
    <t>Đại học Phenikaa</t>
  </si>
  <si>
    <t>KTE2026-004.png</t>
  </si>
  <si>
    <t>KTE2026-005</t>
  </si>
  <si>
    <t>Tối ưu hoá đa mục tiêu chi phí, thời gian và phát thải cho định tuyến phương tiện kết hợp lựa chọn kho trung gian trong vận tải chuỗi lạnh bằng thuật toán di truyền lai</t>
  </si>
  <si>
    <t>Nguyễn Võ Thùy Trang</t>
  </si>
  <si>
    <t>KTE2026-005.png</t>
  </si>
  <si>
    <t>KTE2026-006</t>
  </si>
  <si>
    <t>Phát triển website thương mại điện tử tích hợp AI agent hỗ trợ cá nhân hóa tư vấn khách hàng dựa trên phân tích dữ liệu đa kênh</t>
  </si>
  <si>
    <t>Phạm Hữu Cường; Nguyễn Duy An</t>
  </si>
  <si>
    <t>KTE2026-006.png</t>
  </si>
  <si>
    <t>KTE2026-007</t>
  </si>
  <si>
    <t>Tác động của logistics xanh đến hiệu quả tài chính của các doanh nghiệp vận tải Việt Nam: Vai trò trung gian của vốn nhân lực xanh, điều tiết của chuyển đổi số và chính sách chính phủ</t>
  </si>
  <si>
    <t>Phan Hữu Khoa; Lại Văn Thiên; Nguyễn Khánh Huyền; Ngô Thùy Linh</t>
  </si>
  <si>
    <t>Trường Đại học Thăng Long</t>
  </si>
  <si>
    <t>KTE2026-007.png</t>
  </si>
  <si>
    <t>KTE2026-008</t>
  </si>
  <si>
    <t>Ảnh hưởng của dịch vụ logistics xanh đến hành vi mua hàng trong tiêu dùng xanh thông qua ý định mua của Gen Z trong thời đại số</t>
  </si>
  <si>
    <t>Lê Thị Huỳnh Như; Lê Đỗ Như Ngọc; Mai Thị Mỹ Duyên; Trần Hoàng Tấn</t>
  </si>
  <si>
    <t>Trường Đại học Kinh tế - Tài chính TP. Hồ Chí Minh</t>
  </si>
  <si>
    <t>KTE2026-008.png</t>
  </si>
  <si>
    <t>KTE2026-009</t>
  </si>
  <si>
    <t>Nghiên cứu phát triển kế toán xanh gắn với quản lý phát thải carbon trong bối cảnh biến đổi khí hậu và hội nhập quốc tế</t>
  </si>
  <si>
    <t>Hoàng Thị Phương Hiền; Vũ Thị Thùy Trang</t>
  </si>
  <si>
    <t>Trường Đại học Nghệ An</t>
  </si>
  <si>
    <t>KTE2026-009.png</t>
  </si>
  <si>
    <t>KTE2026-010</t>
  </si>
  <si>
    <t>Ảnh hưởng của nhận thức về thao túng đánh giá trực tuyến đến ý định mua hàng trên Shopee Việt Nam: Vai trò của sự nghi ngờ, niềm tin và hiệu quả xác thực giao dịch</t>
  </si>
  <si>
    <t>Chế Quang Quốc Bảo; Võ Thị Hòa; Phạm Ngọc Khánh Băng; Huỳnh Nguyễn Nhựt Linh; Ngô Thị Ngọc Trâm</t>
  </si>
  <si>
    <t>Trường Đại học Công nghiệp TP. Hồ Chí Minh</t>
  </si>
  <si>
    <t>KTE2026-010.png</t>
  </si>
  <si>
    <t>KTE2026-011</t>
  </si>
  <si>
    <t>Từ phong cách lãnh đạo chuyển đổi xanh đến hiệu suất môi trường: Làm rõ cơ chế chánh niệm – hành vi tuần tự</t>
  </si>
  <si>
    <t>Hoàng Lê Kim Ngân</t>
  </si>
  <si>
    <t>Học viện Hàng không Việt Nam</t>
  </si>
  <si>
    <t>KTE2026-011.png</t>
  </si>
  <si>
    <t>KTE2026-012</t>
  </si>
  <si>
    <t>Ảnh hưởng của giá trị cảm nhận và chi phí đến sự hài lòng của khách hàng đối với dịch vụ logistics thương mại điện tử tại TP. Hồ Chí Minh</t>
  </si>
  <si>
    <t>Lê Quang Khánh; Nguyễn Đình Thông; Nguyễn Nhật Quang</t>
  </si>
  <si>
    <t>Trường Đại học Công nghệ TP. Hồ Chí Minh</t>
  </si>
  <si>
    <t>KTE2026-012.png</t>
  </si>
  <si>
    <t>KTE2026-013</t>
  </si>
  <si>
    <t>Tác động của nhận thức về “tẩy xanh” đến ý định nghỉ việc của nhân viên ngành nhà hàng và dịch vụ ăn uống tại thành phố Hồ Chí Minh</t>
  </si>
  <si>
    <t>Quang Bảo Nghi; Nguyễn Anh Thư; Dương Nguyễn Bảo Ngân; Nguyễn Thị Vân Anh; Nguyễn Huỳnh Hồng Cẩm</t>
  </si>
  <si>
    <t>KTE2026-013.png</t>
  </si>
  <si>
    <t>KTE2026-014</t>
  </si>
  <si>
    <t>Đánh giá hiệu quả các mô hình AI trong dự báo các chỉ tiêu kinh tế tài chính ngắn hạn</t>
  </si>
  <si>
    <t>Dương Thúy An; Vũ Đăng Khoa; Trần Bảo Khánh; Nghiêm Thu Thủy</t>
  </si>
  <si>
    <t>Học viện Tài chính</t>
  </si>
  <si>
    <t>KTE2026-014.png</t>
  </si>
  <si>
    <t>KTE2026-015</t>
  </si>
  <si>
    <t>Nghiên cứu các yếu tố ảnh hưởng đến năng lực ứng dụng generative AI trong hỗ trợ phân loại hàng hóa và xác định mã HS: Vai trò của AI literacy</t>
  </si>
  <si>
    <t>Phạm Tuyết Mai; Hoàng Thị Thanh Nga; Hoàng Ngọc Hoa; Đoàn Thị Bảo Châu; Bùi Huyền Băng</t>
  </si>
  <si>
    <t>Học viện Chính sách và Phát triển</t>
  </si>
  <si>
    <t>KTE2026-015.png</t>
  </si>
  <si>
    <t>KTE2026-016</t>
  </si>
  <si>
    <t>Đánh giá tác động của điểm số ESG kết hợp cảm xúc người tiêu dùng đến hiệu quả hoạt động của ngân hàng thương mại tại Việt Nam</t>
  </si>
  <si>
    <t>Dương Phước Tài; Đoàn Công Vinh; Trần Đình Vũ; Nguyễn Phạm Thùy Trang</t>
  </si>
  <si>
    <t>Trường Đại học Kinh tế - Luật, ĐHQG-HCM</t>
  </si>
  <si>
    <t>KTE2026-016.png</t>
  </si>
  <si>
    <t>KTE2026-017</t>
  </si>
  <si>
    <t>Ứng dụng công nghệ blockchain nhằm thúc đẩy hiệu suất chuỗi cung ứng xanh: Bằng chứng thực nghiệm từ ngành thủy sản xuất khẩu Việt Nam</t>
  </si>
  <si>
    <t>Trần Quang Huy; Nguyễn Ngọc Phúc An; Chu Thị Hồng Anh; Đỗ Hương Giang; Nguyễn Thị Huyền Trang</t>
  </si>
  <si>
    <t>Đại học Kinh tế Quốc dân</t>
  </si>
  <si>
    <t>KTE2026-017.png</t>
  </si>
  <si>
    <t>KTE2026-018</t>
  </si>
  <si>
    <t>Phân tích chi phí đối với người bệnh đột quỵ điều trị nội trú tại Bệnh viện Thống Nhất thành phố Hồ Chí Minh</t>
  </si>
  <si>
    <t>Nguyễn Thị Hồng Lan Thảo; Phạm Hoàng Việt Khanh; Lưu Gia Mẫn; Bùi Ngọc Lan Nhi; Phạm Quang Minh</t>
  </si>
  <si>
    <t>Đại học Y Dược TP. Hồ Chí Minh</t>
  </si>
  <si>
    <t>KTE2026-018.png</t>
  </si>
  <si>
    <t>KTE2026-019</t>
  </si>
  <si>
    <t>Tác động của chuyển đổi số và tích hợp chuỗi cung ứng đến hiệu suất chuỗi cung ứng, trong đó xem xét vai trò trung gian của chia sẻ thông tin và tính linh hoạt</t>
  </si>
  <si>
    <t>Nguyễn Nhật Lập; Nguyễn Thành Lâm; Trần Thị Kim Ngân</t>
  </si>
  <si>
    <t>Trường Đại học Công nghệ Kỹ thuật TP. Hồ Chí Minh</t>
  </si>
  <si>
    <t>KTE2026-019.png</t>
  </si>
  <si>
    <t>KTE2026-020</t>
  </si>
  <si>
    <t>Ứng dụng UAV vào kiểm kê kho logistics tầng cao</t>
  </si>
  <si>
    <t>Nguyễn Hồng Lam; La Trường Khánh; Văn Minh Thắng; Lê Trần Quỳnh Châu</t>
  </si>
  <si>
    <t>Trường Đại học Giao thông vận tải TP. Hồ Chí Minh</t>
  </si>
  <si>
    <t>KTE2026-020.png</t>
  </si>
  <si>
    <t>KTE2026-021</t>
  </si>
  <si>
    <t>Đề xuất các biện pháp để tối ưu hóa carbon footprint trong giao hàng chặng cuối (last mile delivery) ở Việt Nam</t>
  </si>
  <si>
    <t>Võ Ngọc Phương Thanh; Nguyễn Thị Mỹ Quỳnh; Đặng Chí Tâm; Nguyễn Thị Như Quỳnh</t>
  </si>
  <si>
    <t>KTE2026-021.png</t>
  </si>
  <si>
    <t>KTE2026-022</t>
  </si>
  <si>
    <t>Thực trạng và nguyên nhân thiếu hụt nguồn cung nhà ở xã hội trên địa bàn thành phố Hà Nội</t>
  </si>
  <si>
    <t>Lê Mai Ái Vân; Nguyễn Thị Thanh; Phạm Thị Quỳnh Anh; Nguyễn Thị Ảnh; Trần Thị Phương Thu</t>
  </si>
  <si>
    <t>Trường Đại học Kiến trúc Hà Nội</t>
  </si>
  <si>
    <t>KTE2026-022.png</t>
  </si>
  <si>
    <t>KTE2026-023</t>
  </si>
  <si>
    <t>Nghiên cứu ảnh hưởng của chính sách và khung pháp lý đối với việc sử dụng kết quả định giá bằng công cụ AVMs trong hoạt động cho vay thế chấp tại ngân hàng teccombank</t>
  </si>
  <si>
    <t>Nguyễn Thu Hường; Nguyễn Minh Hằng; Lê Thị Ngọc Khánh; Lê Đỗ Ngọc Linh</t>
  </si>
  <si>
    <t>KTE2026-023.png</t>
  </si>
  <si>
    <t>KTE2026-024</t>
  </si>
  <si>
    <t>Nghiên cứu động lực chuyển đổi phương tiện giao thông cá nhân của người dân thành phố Hà Nội trong bối cảnh biến đổi khí hậu</t>
  </si>
  <si>
    <t>Vũ Thế Vũ; Bùi Thị Quỳnh Anh; Trần Thị Ngọc Linh</t>
  </si>
  <si>
    <t>KTE2026-024.png</t>
  </si>
  <si>
    <t>KTE2026-025</t>
  </si>
  <si>
    <t>Ứng dụng công nghệ số trong quản lý thực phẩm cận date gắn với logistics ngược tại siêu thị Tops Market, phường Hà Đông, Hà Nội</t>
  </si>
  <si>
    <t>Võ Thị Ngọc Vinh; Trần Mai Thu Hoài; Nguyễn Bình Yên</t>
  </si>
  <si>
    <t>KTE2026-025.png</t>
  </si>
  <si>
    <t>KTE2026-026</t>
  </si>
  <si>
    <t>Ứng dụng công nghệ số trong quản trị logistics ngược: Nghiên cứu trường hợp xử lý hàng trả của công ty TNHH Shopee tại Việt Nam</t>
  </si>
  <si>
    <t>Phạm Nhật Vỹ; Vũ Duy Hoàn; Phạm Hà Vy; Mai Thị Phương Thảo</t>
  </si>
  <si>
    <t>KTE2026-026.png</t>
  </si>
  <si>
    <t>KTE2026-027</t>
  </si>
  <si>
    <t>Các nhân tố ảnh hưởng đến hành vi mua hàng ngẫu hứng trên sàn thương mại điện tử TikTok Shop với sinh viên 1 trường ĐH khối kỹ thuật - kiến trúc tại Hà Nội dưới sự tác động của trí tuệ nhân tạo</t>
  </si>
  <si>
    <t>Phạm Mai Hương; Trần Hải Đăng; Lê Thị Bảo Nhật; Vũ Duy Hiệp</t>
  </si>
  <si>
    <t>KTE2026-027.png</t>
  </si>
  <si>
    <t>KTE2026-028</t>
  </si>
  <si>
    <t>Nghiên cứu ứng dụng mô hình kho xanh trong phát triển logistics bền vững tại Công ty Cổ phần Dịch vụ Hàng hóa Sài Gòn</t>
  </si>
  <si>
    <t>Nguyễn Quốc Thống; Lê Tuyết Diễm; Lê Anh Trường; Lê Minh Thư; Lê Nguyễn Quốc Thắng</t>
  </si>
  <si>
    <t>KTE2026-028.png</t>
  </si>
  <si>
    <t>KTE2026-029</t>
  </si>
  <si>
    <t>Tác động của trí tuệ nhân tạo và chuyển đổi số đến định hướng nghề nghiệp của sinh viên Việt Nam trong thời đại 4.0</t>
  </si>
  <si>
    <t>Nguyễn Anh Thư; Trần Thị Ngọc Bích; Nguyễn Thanh Bình; Nguyễn Ngọc Xuân Nghi; Lê Ngọc Phương Thảo</t>
  </si>
  <si>
    <t>Trường Đại học Tài chính - Marketing</t>
  </si>
  <si>
    <t>KTE2026-029.png</t>
  </si>
  <si>
    <t>KTE2026-030</t>
  </si>
  <si>
    <t>Chảy chất xám vùng miền tại Việt Nam: Phân tích tác động của thu nhập và điều kiện kinh tế vùng đến hành vi di cư của người học vị cao</t>
  </si>
  <si>
    <t>Tạ Minh Công; Nguyễn Thùy Dương; Trần Phú Đông; Phạm Ngọc Phương Nghi; Nguyễn Phước Quý Sơn</t>
  </si>
  <si>
    <t>KTE2026-030.png</t>
  </si>
  <si>
    <t>KTE2026-031</t>
  </si>
  <si>
    <t>Greenfield warehouse location &amp; allocation using center-of-gravity and factor rating method</t>
  </si>
  <si>
    <t>Trương Nhật Hà; Phạm Bùi Đông Linh; Hà Ngọc Thanh Tâm</t>
  </si>
  <si>
    <t>Trường Đại học Quốc tế, ĐHQG-HCM</t>
  </si>
  <si>
    <t>KTE2026-031.png</t>
  </si>
  <si>
    <t>KTE2026-032</t>
  </si>
  <si>
    <t>Repurchase behavior toward Vietnam's OCOP products in the digital transformation context: The role of consumer ethnocentrism</t>
  </si>
  <si>
    <t>Nguyễn Hoàng Hiền; Nguyễn Phú Mạnh; Phạm Khánh Vy; Phạm Nguyễn Tố Uyên</t>
  </si>
  <si>
    <t>Trường Đại học Bách khoa, ĐHQG-HCM</t>
  </si>
  <si>
    <t>KTE2026-032.png</t>
  </si>
  <si>
    <t>KTE2026-033</t>
  </si>
  <si>
    <t>Application of geographic information systems (GIS) and mixed-integer linear programming for optimizing biomass factory location mapping in the Mekong Delta region, Vietnam</t>
  </si>
  <si>
    <t>Văn Nguyễn Công Hùng; Trần Lê Kim Ngọc; Nguyễn Ngọc Thái Ngân</t>
  </si>
  <si>
    <t>KTE2026-033.png</t>
  </si>
  <si>
    <t>KTE2026-034</t>
  </si>
  <si>
    <t>Hệ thống truy xuất nguồn gốc và đánh giá tính bền vững cho chuỗi cung ứng nông sản</t>
  </si>
  <si>
    <t>Nguyễn Dạ Thảo; Nguyễn Thế Hoàng; Đàm Tiến Vũ; Khúc Thế Hồng Phong</t>
  </si>
  <si>
    <t>KTE2026-034.png</t>
  </si>
  <si>
    <t>KTE2026-035</t>
  </si>
  <si>
    <t>Tác động của thương mại quốc tế đến sự sẵn sàng của chính phủ về trí thông minh nhân tạo (AI): Vai trò của thể chế</t>
  </si>
  <si>
    <t>Nguyễn Thị Vân; Trương Ngọc Trâm</t>
  </si>
  <si>
    <t>Trường Đại học Hoa Sen</t>
  </si>
  <si>
    <t>KTE2026-035.png</t>
  </si>
  <si>
    <t>KTE2026-036</t>
  </si>
  <si>
    <t>Tác động của thiên tai đối với thương mại quốc tế hàng hoá nông nghiệp</t>
  </si>
  <si>
    <t>Phạm Minh Thơ; Nguyễn Trần Mỹ Tâm</t>
  </si>
  <si>
    <t>KTE2026-036.png</t>
  </si>
  <si>
    <t>KTE2026-037</t>
  </si>
  <si>
    <t>Mối quan hệ giữa đổi mới sáng tạo và xuất khẩu: Nghiên cứu thực nghiệm trường hợp các doanh nghiệp Việt Nam bằng phương pháp hệ phương trình đồng thời 3SLS</t>
  </si>
  <si>
    <t>Nguyễn Dương Thị Anh Thư; Trần Thị Anh Thư; Phạm Thảo Nhi; Mai Nguyễn Ngọc Thảo; Lê Thu Trang</t>
  </si>
  <si>
    <t>KTE2026-037.png</t>
  </si>
  <si>
    <t>KTE2026-038</t>
  </si>
  <si>
    <t>The moderating role of foreign ownership in the export-employment growth nexus of Vietnamese firms and implications for the double-digit growth target</t>
  </si>
  <si>
    <t>Lưu Phương Trang; Phạm Thị Minh Trang; Đoàn Anh Vũ; Nguyễn Minh Châu; Quách Phan Châu Anh</t>
  </si>
  <si>
    <t>KTE2026-038.png</t>
  </si>
  <si>
    <t>KTE2026-039</t>
  </si>
  <si>
    <t>Phân bổ hạn ngạch và điều kiện hình thành giá trên thị trường các-bon Việt Nam: Bằng chứng từ 110 cơ sở và phiên giao dịch đầu tiên</t>
  </si>
  <si>
    <t>Phạm Vũ Ngọc Linh; Nguyễn Quyết Tiến</t>
  </si>
  <si>
    <t>KTE2026-039.png</t>
  </si>
  <si>
    <t>KTE2026-040</t>
  </si>
  <si>
    <t>Foreign direct investment, absorptive capacity and productivity: Cross-country evidence and implications for Viet Nam’s double-digit growth target</t>
  </si>
  <si>
    <t>Nguyễn Minh Châu; Đoàn Anh Vũ; Quách Phan Châu Anh; Phạm Thị Minh Trang; Lưu Phương Trang</t>
  </si>
  <si>
    <t>KTE2026-040.png</t>
  </si>
  <si>
    <t>KTE2026-041</t>
  </si>
  <si>
    <t>From AI foundations to GenAI adoption in logistics: Evidence from China and Vietnam</t>
  </si>
  <si>
    <t>Nguyễn Thu Hương; Lưu Nguyễn Ngọc Nhi</t>
  </si>
  <si>
    <t>KTE2026-041.png</t>
  </si>
  <si>
    <t>KTE2026-042</t>
  </si>
  <si>
    <t>Geoeconomic fragmentation and energy transition: A panel threshold analysis of environmental policy stringency</t>
  </si>
  <si>
    <t>Lê Thị Ngọc Diệp; Phan Thị Quỳnh Anh; Lê Thu Quỳnh</t>
  </si>
  <si>
    <t>KTE2026-042.png</t>
  </si>
  <si>
    <t>KTE2026-043</t>
  </si>
  <si>
    <t>Nghiên cứu các yếu tố ảnh hưởng đến quyết định tham gia nền kinh tế gig của sinh viên Trường Đại học Nghệ An</t>
  </si>
  <si>
    <t>Nguyễn Thị Hồng; Phạm Thị Thanh Phương</t>
  </si>
  <si>
    <t>KTE2026-043.png</t>
  </si>
  <si>
    <t>KTE2026-044</t>
  </si>
  <si>
    <t>Ý định mua chương trình bù trừ carbon tự nguyện của hành khách hàng không Việt Nam: Vai trò của chuẩn mực đạo đức và kiến thức môi trường</t>
  </si>
  <si>
    <t>Bùi Viết Thanh Vy; Trần Hửu Vinh; Nguyễn Khánh Linh; Nguyễn Đình Thế Anh</t>
  </si>
  <si>
    <t>KTE2026-044.png</t>
  </si>
  <si>
    <t>KTE2026-045</t>
  </si>
  <si>
    <t>A study on the influence of traditional northern Vietnamese accumulation values on the formation of emergency funds among young university students at Vietnam National University, Hanoi</t>
  </si>
  <si>
    <t>Lương Minh Hà Phương; Nguyễn Thị Trà My</t>
  </si>
  <si>
    <t>Trường Quốc tế, ĐHQG Hà Nội</t>
  </si>
  <si>
    <t>KTE2026-045.png</t>
  </si>
  <si>
    <t>KTE2026-046</t>
  </si>
  <si>
    <t>Geopolitical risk, leverage, and corporate volatility: Firm-level evidence from Vietnam</t>
  </si>
  <si>
    <t>Đinh Thị Ngọc Hiếu; Mai Hồng Hà; Trần Thị Ngọc Ánh</t>
  </si>
  <si>
    <t>KTE2026-046.png</t>
  </si>
  <si>
    <t>KTE2026-047</t>
  </si>
  <si>
    <t>Enhancing competitiveness through the ESG lens: A multi-method analysis of logistics enterprises in Ho Chi Minh City</t>
  </si>
  <si>
    <t>Lê Diệp Tín Nghĩa; Nguyễn Yến Ngọc; Trần Trung Hiếu; Lý Minh Thư; Nguyễn Hiền Ninh</t>
  </si>
  <si>
    <t>KTE2026-047.png</t>
  </si>
  <si>
    <t>KTE2026-048</t>
  </si>
  <si>
    <t>Nghiên cứu sự sẵn lòng chi trả thuế carbon đối với xăng dầu dùng cho phương tiện lưu thông tại thành phố Hồ Chí Minh</t>
  </si>
  <si>
    <t>Nguyễn Bạch Vinh Lan; Đoàn Ngọc Như Hảo; Trần Thành Đạt; Phan Nguyễn Trà My</t>
  </si>
  <si>
    <t>KTE2026-048.png</t>
  </si>
  <si>
    <t>KTE2026-049</t>
  </si>
  <si>
    <t>Ảnh hưởng của đầu tư công đến đầu tư tư nhân - nghiên cứu hiện tượng chi tiêu lấn át</t>
  </si>
  <si>
    <t>Tạ Thị Kiều Duyên; Trần Thu Huyền; Phan Thu Thảo; Nguyễn Hà Kim Thư</t>
  </si>
  <si>
    <t>Trường Đại học Mở TP. Hồ Chí Minh</t>
  </si>
  <si>
    <t>KTE2026-049.png</t>
  </si>
  <si>
    <t>KTE2026-050</t>
  </si>
  <si>
    <t>Các yếu tố tác động đến xuất khẩu gỗ từ Việt Nam sang EU: Vai trò của logistics</t>
  </si>
  <si>
    <t>Lê Nhật Anh; Nguyễn Trung Nhân; Phạm Thị Tề Mi</t>
  </si>
  <si>
    <t>Trường Đại học Văn Lang</t>
  </si>
  <si>
    <t>KTE2026-050.png</t>
  </si>
  <si>
    <t>KTE2026-051</t>
  </si>
  <si>
    <t>Ảnh hưởng của biến đổi khí hậu đến hiệu quả hoạt động của nông hộ: Vai trò của ứng dụng AI, công nghệ, chuyển đổi số</t>
  </si>
  <si>
    <t>Nguyễn Duy Phát; Lê Tôn Anh Tuấn; Nguyễn Tấn Phát; Huỳnh Thảo Ni; Phạm Thị Mỹ Hóa</t>
  </si>
  <si>
    <t>KTE2026-051.png</t>
  </si>
  <si>
    <t>KTE2026-052</t>
  </si>
  <si>
    <t>Tác động của tham gia kinh tế đêm đến giảm nghèo và bất bình đẳng của hộ gia đình: Nghiên cứu tại TP.HCM</t>
  </si>
  <si>
    <t>Huỳnh Hồng Ngọc; Phạm Trần Thảo Vy; Nguyễn Thuý Nhi; Thái Minh Hy; Doãn Quang Hưng</t>
  </si>
  <si>
    <t>KTE2026-052.png</t>
  </si>
  <si>
    <t>KTE2026-053</t>
  </si>
  <si>
    <t>Domestic carbon pricing: A boon or a bane for Vietnam’s trade risk under the EU carbon border adjustment mechanism?</t>
  </si>
  <si>
    <t>Cao Tường Vân; Phan Anh Trí; Nguyễn Phương Uyên</t>
  </si>
  <si>
    <t>KTE2026-053.png</t>
  </si>
  <si>
    <t>KTE2026-054</t>
  </si>
  <si>
    <t>Ảnh hưởng của dịch chuyển giáo dục liên thế hệ và chất lượng quản trị môi trường đến phát triển kinh tế xanh chất lượng cao tại Việt Nam</t>
  </si>
  <si>
    <t>Trần Huyền Trang; Hà Yến Nhi</t>
  </si>
  <si>
    <t>KTE2026-054.png</t>
  </si>
  <si>
    <t>KTE2026-055</t>
  </si>
  <si>
    <t>Tăng trưởng kinh tế và phát thải CO2: Bằng chứng toàn cầu về mối quan hệ phi tuyến và dự báo bằng mô hình học máy</t>
  </si>
  <si>
    <t>Lê Minh Hiếu; Đặng Thị Hải Hòa; Nguyễn Quốc Huân; Nguyễn Ngọc Bảo Trâm; Nguyễn Lê Thúy An</t>
  </si>
  <si>
    <t>KTE2026-055.png</t>
  </si>
  <si>
    <t>KTE2026-056</t>
  </si>
  <si>
    <t>Provincial disparities in economic resilience along Vietnam’s central coast: Composite-index and panel evidence</t>
  </si>
  <si>
    <t>Nguyễn Thị Minh Giang; Nguyễn Mai Hoa; Trần Thục Linh; Phạm Thị Quỳnh Như; Nguyễn Nguyên Kha</t>
  </si>
  <si>
    <t>Trường Đại học Kinh tế, Đại học Đà Nẵng</t>
  </si>
  <si>
    <t>KTE2026-056.png</t>
  </si>
  <si>
    <t>KTE2026-057</t>
  </si>
  <si>
    <t>An integrated perspective on green innovation, artificial intelligence, and global value chain participation for sustainable development: Direct and interaction effect analysis</t>
  </si>
  <si>
    <t>Trần Ngọc Hân; Châu Mẫn Khanh; Nguyễn Trúc Lam</t>
  </si>
  <si>
    <t>KTE2026-057.png</t>
  </si>
  <si>
    <t>KTE2026-058</t>
  </si>
  <si>
    <t>Tác động của phát triển hạ tầng số đến việc làm của phụ nữ tại Việt Nam: Góc nhìn từ mô hình kinh tế lượng không gian</t>
  </si>
  <si>
    <t>Trần Thị Hồng Vân; Hà Thị Yến Vy; Phùng Thị Thu Huyền; Phạm Phương Chi; Ngô Thị Lưu Thanh</t>
  </si>
  <si>
    <t>KTE2026-058.png</t>
  </si>
  <si>
    <t>KTE2026-059</t>
  </si>
  <si>
    <t>Mối liên hệ có điều kiện giữa hiệu quả chính phủ, thu nhập bình quân đầu người và năng lực cạnh tranh bền vững: Bằng chứng từ 42 nền kinh tế châu Á và hàm ý chính sách cho Việt Nam</t>
  </si>
  <si>
    <t>Phùng Trung Kiên; Trần Công Khải; Đoàn Hoàng Nam; Đào Minh Phát; Sầm Minh Quân</t>
  </si>
  <si>
    <t>Đại học Kinh tế TP. Hồ Chí Minh</t>
  </si>
  <si>
    <t>KTE2026-059.png</t>
  </si>
  <si>
    <t>KTE2026-060</t>
  </si>
  <si>
    <t>Renewable energy consumption and ecological footprint: The moderating role of climate vulnerability across different levels of economic development</t>
  </si>
  <si>
    <t>Lê Phương Nhi; Lê Thảo Như; Vũ Thị Hồng Ngân</t>
  </si>
  <si>
    <t>KTE2026-060.png</t>
  </si>
  <si>
    <t>KTE2026-061</t>
  </si>
  <si>
    <t>Hiệu ứng điều tiết từ chính sách tiền tệ đến hiệu quả đổi mới xanh trong bối cảnh số hóa tại các nước châu Á</t>
  </si>
  <si>
    <t>Phan Trần Hữu Đạt; Lê Quang Vinh; Lương Thị Thảo Vy</t>
  </si>
  <si>
    <t>KTE2026-061.png</t>
  </si>
  <si>
    <t>KTE2026-062</t>
  </si>
  <si>
    <t>Mối quan hệ tương tác động giữa thuế môi trường, đầu tư công xanh và tăng trưởng xanh: Bằng chứng từ phân tích tương quan wavelet</t>
  </si>
  <si>
    <t>Nguyễn Hoàng Thiên Trang; Phạm Ngọc Anh Thư; Lê Nguyễn Anh Thư; Phạm Đoàn Đình Thuyên; Nguyễn Ngọc Khánh Linh</t>
  </si>
  <si>
    <t>KTE2026-062.png</t>
  </si>
  <si>
    <t>KTE2026-063</t>
  </si>
  <si>
    <t>Các nhân tố ảnh hưởng đến sự hài lòng của khách hàng đối với chất lượng dịch vụ tại siêu thị Aeon Mall ở TP. Hồ Chí Minh</t>
  </si>
  <si>
    <t>Lê Trần Uyên Nhi; Bùi Ngọc Mai Quỳnh</t>
  </si>
  <si>
    <t>Trường Đại học Ngoại ngữ - Tin học TP. Hồ Chí Minh</t>
  </si>
  <si>
    <t>KTE2026-063.png</t>
  </si>
  <si>
    <t>KTE2026-064</t>
  </si>
  <si>
    <t>Nghiên cứu các nhân tố tác động đến lòng trung thành của khách hàng tại các điểm chạm số thông minh trên app Agribank Plus</t>
  </si>
  <si>
    <t>Nguyễn Thanh Bảo</t>
  </si>
  <si>
    <t>KTE2026-064.png</t>
  </si>
  <si>
    <t>KTE2026-065</t>
  </si>
  <si>
    <t>Các yếu tố ảnh hưởng đến quyết định sử dụng ví trả sau MoMo của sinh viên HUFLIT</t>
  </si>
  <si>
    <t>Lương Bảo Lộc; Nguyễn Nhật Hào</t>
  </si>
  <si>
    <t>KTE2026-065.png</t>
  </si>
  <si>
    <t>KTE2026-066</t>
  </si>
  <si>
    <t>Tác động của độ phức tạp kinh tế và phát triển tài chính đối với quá trình chuyển đổi năng lượng của Việt Nam</t>
  </si>
  <si>
    <t>Huỳnh Anh Huy; Nguyễn Vũ Ty; Phạm Minh Khôi; Vương Quốc Thịnh; Hoàng Thanh Trung</t>
  </si>
  <si>
    <t>KTE2026-066.png</t>
  </si>
  <si>
    <t>KTE2026-067</t>
  </si>
  <si>
    <t>Phát triển kinh tế tầm thấp tại thành phố Hồ Chí Minh: Kinh nghiệm quốc tế và các yếu tố ảnh hưởng đến quyết định sử dụng dịch vụ giao hàng bằng thiết bị bay không người lái (UAV)</t>
  </si>
  <si>
    <t>Lưu Nguyễn Quế Trân; Nguyễn Quốc Cường; Trần Phương Anh; Phạm Ngọc Tuấn; Nguyễn Thị Trang Ly</t>
  </si>
  <si>
    <t>KTE2026-067.png</t>
  </si>
  <si>
    <t>KTE2026-068</t>
  </si>
  <si>
    <t>Tác động của vốn đầu tư đến năng suất lao động tại các tỉnh vùng Đồng bằng sông Hồng: Bằng chứng từ dữ liệu bảng giai đoạn 2010–2024</t>
  </si>
  <si>
    <t>Lê Minh Thư; Nguyễn Hương Ly</t>
  </si>
  <si>
    <t>Trường Đại học Tài chính - Ngân hàng Hà Nội</t>
  </si>
  <si>
    <t>KTE2026-068.png</t>
  </si>
  <si>
    <t>KTE2026-069</t>
  </si>
  <si>
    <t>Các yếu tố ảnh hưởng đến mức độ sẵn sàng chấp nhận dịch vụ giao hàng chặng cuối bằng thiết bị bay không người lái (UAV) của người tiêu dùng tại thành phố Hồ Chí Minh</t>
  </si>
  <si>
    <t>Nguyễn Đình Vũ Hoàng</t>
  </si>
  <si>
    <t>KTE2026-069.png</t>
  </si>
  <si>
    <t>KTE2026-070</t>
  </si>
  <si>
    <t>Cost-based efficiency and effectiveness of truck-drone delivery in Ho Chi Minh City</t>
  </si>
  <si>
    <t>Trần Minh Thư; Trần Hoàng Mai Anh; Hà Nguyễn Tuấn Hùng</t>
  </si>
  <si>
    <t>KTE2026-070.png</t>
  </si>
  <si>
    <t>KTE2026-071</t>
  </si>
  <si>
    <t>From retrospective benchmarking to anticipatory policy: A data‑driven framework for governance indexing and forecasting using the Viet Nam provincial governance and public administration performance index (PAPI)</t>
  </si>
  <si>
    <t>Hoàng Ngọc Kim Sơn; Kiều Mai Hương</t>
  </si>
  <si>
    <t>Trường Đại học Kinh tế, ĐHQG Hà Nội</t>
  </si>
  <si>
    <t>KTE2026-071.png</t>
  </si>
  <si>
    <t>KTE2026-072</t>
  </si>
  <si>
    <t>Các yếu tố ảnh hưởng đến ý định mua nhà ở xã hội của người dân trên địa bàn TP. Hồ Chí Minh</t>
  </si>
  <si>
    <t>Lê Minh Hưng</t>
  </si>
  <si>
    <t>Trường Đại học Luật TP. Hồ Chí Minh</t>
  </si>
  <si>
    <t>KTE2026-072.png</t>
  </si>
  <si>
    <t>KTE2026-073</t>
  </si>
  <si>
    <t>Mô hình thu hút vốn đầu tư kết nối giao thông nông thôn vào phát triển nông nghiệp vùng Tây Nam Bộ: Ứng dụng mô hình AHP</t>
  </si>
  <si>
    <t>Hà Việt Bình An; Phạm Quỳnh Anh; Nguyễn Hoài Thu</t>
  </si>
  <si>
    <t>KTE2026-073.png</t>
  </si>
  <si>
    <t>KTE2026-074</t>
  </si>
  <si>
    <t>Tác động của độ mở thương mại và đổi mới sáng tạo đến chất lượng môi trường tại các nền kinh tế thành viên APEC</t>
  </si>
  <si>
    <t>Nguyễn Lê Mỹ Hạnh; Lại Thị Hồng Hạnh; Trần Ngọc Thúy Nghi</t>
  </si>
  <si>
    <t>KTE2026-074.png</t>
  </si>
  <si>
    <t>KTE2026-075</t>
  </si>
  <si>
    <t>From institutional capacity to carbon price signals: Institutional decoupling and carbon-pricing readiness configurations in 15 emerging and developing economies - an fsQCA analysis and the Vietnam case study</t>
  </si>
  <si>
    <t>Lê Hồng Anh; Nguyễn Châu Anh; Nguyễn Khánh Linh; Lê Minh Ngọc</t>
  </si>
  <si>
    <t>KTE2026-075.png</t>
  </si>
  <si>
    <t>KTE2026-076</t>
  </si>
  <si>
    <t>Tác động của chuyển đổi số và nghiên cứu và phát triển đến năng lực cạnh tranh toàn cầu: Trường hợp nghiên cứu các quốc gia OECD</t>
  </si>
  <si>
    <t>Hàng Ngọc Châu; Nguyễn Quỳnh Anh</t>
  </si>
  <si>
    <t>Đại học Cần Thơ</t>
  </si>
  <si>
    <t>KTE2026-076.png</t>
  </si>
  <si>
    <t>KTE2026-077</t>
  </si>
  <si>
    <t>Đánh giá hiệu quả kỹ thuật của các cảng container tại châu Á và khuyến nghị chính sách cho Việt Nam</t>
  </si>
  <si>
    <t>Đinh Hoàng Minh; Vũ Minh Thành; Hoàng Trần Dương Tú; Phạm Thanh Phương; Mai Vũ Nam Phong</t>
  </si>
  <si>
    <t>Học viện Ngân hàng</t>
  </si>
  <si>
    <t>KTE2026-077.png</t>
  </si>
  <si>
    <t>KTE2026-078</t>
  </si>
  <si>
    <t>Đa dạng hóa thị trường xuất khẩu và độ ổn định xuất khẩu của Việt Nam: Bằng chứng ở cấp độ HS6</t>
  </si>
  <si>
    <t>Lê Đình Quân; Nguyễn Thị Hà Chi; Đặng Ngọc Bích; Trần Minh Thúy; Nguyễn Thị Hòa</t>
  </si>
  <si>
    <t>KTE2026-078.png</t>
  </si>
  <si>
    <t>KTE2026-079</t>
  </si>
  <si>
    <t>Ứng dụng mô hình PLS SEM và machine learning trong phân tích sự hài lòng trong công việc của lao động gig tại Hà Nội: Tác động của sự tự chủ và kiểm soát thuật toán</t>
  </si>
  <si>
    <t>Lê Đức Minh; Vũ Tiến Đạt</t>
  </si>
  <si>
    <t>KTE2026-079.png</t>
  </si>
  <si>
    <t>KTE2026-080</t>
  </si>
  <si>
    <t>The dynamic effects of ‘shock therapy’ in transition economies: A synthetic difference – in – differences analysis</t>
  </si>
  <si>
    <t>Nguyễn Bách Nguyên; Vũ Gia Linh; Bạch Hương Lan</t>
  </si>
  <si>
    <t>KTE2026-080.png</t>
  </si>
  <si>
    <t>KTE2026-081</t>
  </si>
  <si>
    <t>Digital economy development and female employment: New evidence from OECD countries</t>
  </si>
  <si>
    <t>Đoàn Nguyễn Minh Tâm; Đặng Quỳnh Anh; Nguyễn Trâm Anh</t>
  </si>
  <si>
    <t>Phân hiệu Trường Đại học Ngoại thương tại TP. Hồ Chí Minh</t>
  </si>
  <si>
    <t>KTE2026-081.png</t>
  </si>
  <si>
    <t>KTE2026-082</t>
  </si>
  <si>
    <t>Tác động bất đối xứng của giá dầu đến cán cân thương mại châu Á: Cơ chế trung gian của lạm phát và vai trò điều tiết của an ninh năng lượng tiếp cận từ thực nghiệm panel NARDL</t>
  </si>
  <si>
    <t>Nguyễn Anh Tâm; Nguyễn Trường Thanh Tài; Nguyễn Thị Thu Hiền; Hồ Hoàng Thế Vinh</t>
  </si>
  <si>
    <t>KTE2026-082.png</t>
  </si>
  <si>
    <t>KTE2026-083</t>
  </si>
  <si>
    <t>Provincial investment sources and tourism revenue in Vietnam: Spatial spillovers and dynamic persistence</t>
  </si>
  <si>
    <t>Đỗ Văn Dương</t>
  </si>
  <si>
    <t>KTE2026-083.png</t>
  </si>
  <si>
    <t>KTE2026-084</t>
  </si>
  <si>
    <t>Mức độ tiếp xúc với chuyển dịch năng lượng và bất bình đẳng thu nhập cấp tỉnh tại Việt Nam: Vai trò điều tiết của chất lượng quản trị địa phương</t>
  </si>
  <si>
    <t>Phạm Kim Khánh; Đỗ Văn Dương; Nguyễn Thị Ánh Nguyệt; Nguyễn Bùi Huyền Trang</t>
  </si>
  <si>
    <t>KTE2026-084.png</t>
  </si>
  <si>
    <t>KTE2026-085</t>
  </si>
  <si>
    <t>Các yếu tố quyết định sự tăng trưởng du lịch đêm tại thành phố Hà Nội (Việt Nam): Tiếp cận dưới góc nhìn phương pháp học máy</t>
  </si>
  <si>
    <t>Trần Huyền Trang; Ngô Thị Minh Khánh; Nguyễn Hoàng Phương Trang</t>
  </si>
  <si>
    <t>KTE2026-085.png</t>
  </si>
  <si>
    <t>KTE2026-086</t>
  </si>
  <si>
    <t>Provincial administrative mergers and land-listing prices: Evidence from Vietnam's 2025 reform</t>
  </si>
  <si>
    <t>Trần Thục Anh; Trần Linh Giang; Mai Khánh Huyền</t>
  </si>
  <si>
    <t>KTE2026-086.png</t>
  </si>
  <si>
    <t>KTE2026-087</t>
  </si>
  <si>
    <t>Tác động phi tuyến của tiêu thụ năng lượng tái tạo đến tăng trưởng kinh tế: Vai trò điều tiết của phát triển tài chính</t>
  </si>
  <si>
    <t>Lê Thị Tuyết Ngân; Lê Nguyễn Hải My; Lê Thị Ngọc Thắm; Nguyễn Ngọc Như Ngân; Ngô Châu Quỳnh Na</t>
  </si>
  <si>
    <t>Trường Đại học Ngân hàng TP. Hồ Chí Minh</t>
  </si>
  <si>
    <t>KTE2026-087.png</t>
  </si>
  <si>
    <t>KTE2026-088</t>
  </si>
  <si>
    <t>Đề xuất mô hình dự báo nhu cầu năng lượng trong bối cảnh dữ liệu hạn chế: Nghiên cứu tại thị trường Việt Nam</t>
  </si>
  <si>
    <t>Nguyễn Đức Triển</t>
  </si>
  <si>
    <t>Trường Đại học Công nghệ Thông tin và Truyền thông Việt - Hàn, Đại học Đà Nẵng</t>
  </si>
  <si>
    <t>KTE2026-088.png</t>
  </si>
  <si>
    <t>KTE2026-089</t>
  </si>
  <si>
    <t>The asymmetric impact of technological intensity on environmental performance: Empirical evidence from an integrated PSM-CRQ and causal machine learning model in Vietnam</t>
  </si>
  <si>
    <t>Trần Tăng Mỹ Ngọc; Nguyễn Ngọc Phi Vỹ</t>
  </si>
  <si>
    <t>KTE2026-089.png</t>
  </si>
  <si>
    <t>KTE2026-090</t>
  </si>
  <si>
    <t>Energy intensity and export performance: A global panel data analysis of the moderating role of carbon pricing and renewable energy</t>
  </si>
  <si>
    <t>Lương Khánh Chi; Lê Minh Khôi; Hoàng Quỳnh Trang; Nguyễn Trung Thông</t>
  </si>
  <si>
    <t>KTE2026-090.png</t>
  </si>
  <si>
    <t>KTE2026-091</t>
  </si>
  <si>
    <t>Mô hình kho lạnh cộng đồng sử dụng năng lượng mặt trời phục vụ bảo quản nông sản tại Đồng bằng sông Cửu Long</t>
  </si>
  <si>
    <t>Phạm Ngọc Phước Sang; Nguyễn Minh Nghĩa; Nguyễn Mạnh Tuấn; Nguyễn Trung Nghị; Nguyễn Thùy Dương</t>
  </si>
  <si>
    <t>KTE2026-091.png</t>
  </si>
  <si>
    <t>KTE2026-092</t>
  </si>
  <si>
    <t>Ảnh hưởng của quản trị công ty và quản trị lợi nhuận đến thông tin bất cân xứng của các công ty niêm yết trên sở giao dịch chứng khoán TP. Hồ Chí Minh</t>
  </si>
  <si>
    <t>Trần Minh Tâm; Nguyễn Hà Lan Phương; Nguyễn Thị Trúc Ly; Lê Hà Thị Thuận; Đỗ Hoàng Thanh Vân</t>
  </si>
  <si>
    <t>KTE2026-092.png</t>
  </si>
  <si>
    <t>KTE2026-093</t>
  </si>
  <si>
    <t>Tác động của chất lượng báo cáo tài chính đến hiệu quả đầu tư của các công ty niêm yết: Vai trò điều tiết của cơ hội tăng trưởng và đặc điểm hội đồng quản trị</t>
  </si>
  <si>
    <t>Nguyễn Hà Lan Phương; Trần Minh Tâm; Nguyễn Thị Trúc Ly; Lê Hà Thị Thuận; Đỗ Hoàng Thanh Vân</t>
  </si>
  <si>
    <t>KTE2026-093.png</t>
  </si>
  <si>
    <t>KTE2026-094</t>
  </si>
  <si>
    <t>Mối quan hệ giữa chất lượng lợi nhuận và tính thanh khoản cổ phiếu: Vai trò điều tiết của cấu trúc sở hữu cổ phiếu và chất lượng kiểm toán</t>
  </si>
  <si>
    <t>Nguyễn Thị Trúc Ly; Trần Minh Tâm; Nguyễn Hà Lan Phương; Lê Hà Thị Thuận; Đỗ Hoàng Thanh Vân</t>
  </si>
  <si>
    <t>KTE2026-094.png</t>
  </si>
  <si>
    <t>KTE2026-095</t>
  </si>
  <si>
    <t>Ảnh hưởng của đặc điểm hội đồng quản trị đến chất lượng báo cáo tài chính của các công ty niêm yết trên HOSE</t>
  </si>
  <si>
    <t>Lê Hà Thị Thuận; Nguyễn Thị Trúc Ly; Trần Minh Tâm; Nguyễn Hà Lan Phương; Đỗ Hoàng Thanh Vân</t>
  </si>
  <si>
    <t>KTE2026-095.png</t>
  </si>
  <si>
    <t>KTE2026-096</t>
  </si>
  <si>
    <t>Đánh giá sự hài lòng của sinh viên đối với chất lượng đào tạo ngành kế toán tại Trường Đại học Tây Nguyên</t>
  </si>
  <si>
    <t>Bùi Ngọc Huyền; Nguyễn Ngọc Thạch</t>
  </si>
  <si>
    <t>Trường Đại học Tây Nguyên</t>
  </si>
  <si>
    <t>KTE2026-096.png</t>
  </si>
  <si>
    <t>KTE2026-097</t>
  </si>
  <si>
    <t>Tác động của tài chính toàn diện và thuế đến biến động giá nhà: Bằng chứng từ các thị trường trên thế giới</t>
  </si>
  <si>
    <t>Trần Ngọc Phương Dung; Nguyễn Thị Ngọc Linh; Đỗ Minh Khanh</t>
  </si>
  <si>
    <t>Trường Đại học Tôn Đức Thắng</t>
  </si>
  <si>
    <t>KTE2026-097.png</t>
  </si>
  <si>
    <t>KTE2026-098</t>
  </si>
  <si>
    <t>Nghiên cứu các nhân tố ảnh hưởng đến hiệu quả tài chính của doanh nghiệp bảo hiểm niêm yết tại Việt Nam</t>
  </si>
  <si>
    <t>Nguyễn Tuấn Kiệt; Đào Văn Trung Hiếu; Nguyễn Thị Lan</t>
  </si>
  <si>
    <t>Trường Đại học Mở Hà Nội</t>
  </si>
  <si>
    <t>KTE2026-098.png</t>
  </si>
  <si>
    <t>KTE2026-099</t>
  </si>
  <si>
    <t>Các nhân tố ảnh hưởng tới việc ứng dụng AI trong kế toán đối với các doanh nghiệp nhỏ và vừa trên địa bàn Hà Nội</t>
  </si>
  <si>
    <t>Vũ Thanh Hằng; Nguyễn Thị Hồng Ngát</t>
  </si>
  <si>
    <t>KTE2026-099.png</t>
  </si>
  <si>
    <t>KTE2026-100</t>
  </si>
  <si>
    <t>Tác động của chuyển đổi số trong kế toán đến hiệu quả hoạt động của các doanh nghiệp nhỏ và vừa trên địa bàn thành phố Hà Nội</t>
  </si>
  <si>
    <t>Nguyễn Thanh Loan; Hồ Thị Tố Uyên; Nguyễn Thị Hồng Vân</t>
  </si>
  <si>
    <t>KTE2026-100.png</t>
  </si>
  <si>
    <t>KTE2026-101</t>
  </si>
  <si>
    <t>Investigating the financial factors influencing the extent of ESG disclosure in Vietnamese listed firms</t>
  </si>
  <si>
    <t>Lê Xuân Dũng; Nguyễn Thị Hoàng Anh; Hoàng Hải Châm; Đỗ Công Anh</t>
  </si>
  <si>
    <t>Trường Đại học Giao thông vận tải</t>
  </si>
  <si>
    <t>KTE2026-101.png</t>
  </si>
  <si>
    <t>KTE2026-102</t>
  </si>
  <si>
    <t>Nghiên cứu tác động của chất lượng kiểm toán tới hiệu quả hoạt động của các doanh nghiệp niêm yết tại Việt Nam</t>
  </si>
  <si>
    <t>Trần Thị Hiền; Vũ Nguyễn Phương Giang; Triệu Mai Hoa</t>
  </si>
  <si>
    <t>KTE2026-102.png</t>
  </si>
  <si>
    <t>KTE2026-103</t>
  </si>
  <si>
    <t>Mối quan hệ giữa chất lượng thể chế và bất bình đẳng: Nghiên cứu định lượng ở các tỉnh thành Việt Nam</t>
  </si>
  <si>
    <t>Đỗ Hoàng Thanh Vân; Lê Hà Thị Thuận; Nguyễn Thị Trúc Ly; Trần Minh Tâm; Nguyễn Hà Lan Phương</t>
  </si>
  <si>
    <t>KTE2026-103.png</t>
  </si>
  <si>
    <t>KTE2026-104</t>
  </si>
  <si>
    <t>Ảnh hưởng của sự đa dạng hóa thu nhập đến tính ổn định tài chính của các ngân hàng TMCP Việt Nam</t>
  </si>
  <si>
    <t>Đinh Văn Hiệp; Nguyễn Hoàng Long; Nguyễn Như Anh</t>
  </si>
  <si>
    <t>KTE2026-104.png</t>
  </si>
  <si>
    <t>KTE2026-105</t>
  </si>
  <si>
    <t>Ảnh hưởng của quản trị công ty và quản trị lợi nhuận đến thông tin bất cân xứng của các công ty niêm yết trên HOSE</t>
  </si>
  <si>
    <t>Nguyễn Hoàng Long; Đinh Văn Hiệp; Nguyễn Như Anh</t>
  </si>
  <si>
    <t>KTE2026-105.png</t>
  </si>
  <si>
    <t>KTE2026-106</t>
  </si>
  <si>
    <t>Các yếu tố ảnh hưởng đến hiệu quả hoạt động tài chính của các công ty ngành vận tải và logistics niêm yết trên thị trường chứng khoán Việt Nam</t>
  </si>
  <si>
    <t>Nguyễn Như Anh; Đinh Văn Hiệp; Nguyễn Hoàng Long</t>
  </si>
  <si>
    <t>KTE2026-106.png</t>
  </si>
  <si>
    <t>KTE2026-107</t>
  </si>
  <si>
    <t>Ảnh hưởng của nhận thức ESG và đầu tư bền vững đến ý định đầu tư của nhà đầu tư cá nhân tại TP.HCM</t>
  </si>
  <si>
    <t>Bùi Trần Thanh Tuyền</t>
  </si>
  <si>
    <t>KTE2026-107.png</t>
  </si>
  <si>
    <t>KTE2026-108</t>
  </si>
  <si>
    <t>The impact of geopolitical risk on financial development: The moderating role of natural resources</t>
  </si>
  <si>
    <t>Nguyễn Văn Tuấn Đạt</t>
  </si>
  <si>
    <t>KTE2026-108.png</t>
  </si>
  <si>
    <t>KTE2026-109</t>
  </si>
  <si>
    <t>Ảnh hưởng của cấu trúc vốn và hiệu quả hoạt động đến rủi ro phá sản của các doanh nghiệp phi tài chính niêm yết tại Việt Nam</t>
  </si>
  <si>
    <t>Nguyễn Thị Ngọc Anh; Nguyễn Khánh Linh; Nguyễn Diệu Anh; Phạm Hoàng Quân</t>
  </si>
  <si>
    <t>KTE2026-109.png</t>
  </si>
  <si>
    <t>KTE2026-110</t>
  </si>
  <si>
    <t>The impact of FTSE Russell market reclassification on stock returns and volatility: Evidence from Vietnam</t>
  </si>
  <si>
    <t>Nguyễn Mạnh Tiến; Nguyễn Phương Thảo; Phạm Thị Minh Thủy; Tạ Thị Thanh Thảo; Đào Huy Phúc</t>
  </si>
  <si>
    <t>KTE2026-110.png</t>
  </si>
  <si>
    <t>KTE2026-111</t>
  </si>
  <si>
    <t>Key determinants of EUA price dynamics in the EU emissions trading system</t>
  </si>
  <si>
    <t>Đặng Mỹ Ngọc; Vũ Hải Nam</t>
  </si>
  <si>
    <t>KTE2026-111.png</t>
  </si>
  <si>
    <t>KTE2026-112</t>
  </si>
  <si>
    <t>Trade credit and sustainable growth - evidence from Vietnamese listed firms</t>
  </si>
  <si>
    <t>Nguyễn Thu Hiền; Nguyễn Hải Anh; Trần Thị Thuỳ Dương; Hoàng Khánh Hà</t>
  </si>
  <si>
    <t>KTE2026-112.png</t>
  </si>
  <si>
    <t>KTE2026-113</t>
  </si>
  <si>
    <t>Nghiên cứu các yếu tố ảnh hưởng đến hành vi quản lý tài chính cá nhân và sự tác động đến sức khỏe tài chính của sinh viên các trường đại học tại thành phố Hồ Chí Minh</t>
  </si>
  <si>
    <t>Lý Quỳnh Thảo Nguyên; Nguyễn Hà My; Võ Anh Nguyên; Huỳnh Thị Ngọc Vi; Lê Mai Tường Vy</t>
  </si>
  <si>
    <t>KTE2026-113.png</t>
  </si>
  <si>
    <t>KTE2026-114</t>
  </si>
  <si>
    <t>Tác động của AI đến sự thay đổi nghề nghiệp kế toán và kiểm toán: Vai trò trung gian của tự động hóa</t>
  </si>
  <si>
    <t>Lê Ngọc Ánh; Lâm Ngọc Linh; Cấn Thị Xuân Mai; Lâm Thị Phương Hoa; Trần Ngọc Nhi</t>
  </si>
  <si>
    <t>KTE2026-114.png</t>
  </si>
  <si>
    <t>KTE2026-115</t>
  </si>
  <si>
    <t>Chính sách chi tiêu công đối với giảm nghèo bền vững ở Việt Nam</t>
  </si>
  <si>
    <t>Đặng Ngọc Anh; Vũ Minh Hằng; Lại Anh Đào; Nguyễn Ngọc Thảo Anh; Dương Trần Phương Linh</t>
  </si>
  <si>
    <t>KTE2026-115.png</t>
  </si>
  <si>
    <t>KTE2026-116</t>
  </si>
  <si>
    <t>Tác động của tăng trưởng xanh, FDI và tài chính xanh lên phát thải CO2 ở các nước Đông Nam Á</t>
  </si>
  <si>
    <t>Nguyễn Thanh Phương; Nguyễn Thị Xuân Mai; Giang Nhật Minh; Vũ Lê Xuân Nhi; Hồ Khánh Như</t>
  </si>
  <si>
    <t>KTE2026-116.png</t>
  </si>
  <si>
    <t>KTE2026-117</t>
  </si>
  <si>
    <t>Quản trị công ty và điểm số ESG: Vai trò điều tiết của chất lượng quy định pháp lý tại các nước mới nổi</t>
  </si>
  <si>
    <t>Nguyễn Quỳnh Vy Thảo; Phạm Thị Mai Thương; Nguyễn Ngọc Phương Thanh; Lê Thanh Ngân</t>
  </si>
  <si>
    <t>KTE2026-117.png</t>
  </si>
  <si>
    <t>KTE2026-118</t>
  </si>
  <si>
    <t>Nghiên cứu các nhân tố tác động đến chất lượng thông tin kế toán của các doanh nghiệp khu vực xã Phú Quới, tỉnh Vĩnh Long</t>
  </si>
  <si>
    <t>Phạm Ngọc Tím</t>
  </si>
  <si>
    <t>Trường Đại học Cửu Long</t>
  </si>
  <si>
    <t>KTE2026-118.png</t>
  </si>
  <si>
    <t>KTE2026-119</t>
  </si>
  <si>
    <t>Mức độ sẵn sàng sử dụng trí tuệ nhân tạo (AI) trong quản lý tài chính cá nhân của sinh viên tại thành phố Hồ Chí Minh</t>
  </si>
  <si>
    <t>Đỗ Đăng Hoàng Phúc; Nguyễn Thị Anh Thư; Nguyễn Bùi Cẩm Tiên; Huỳnh Bảo Tiên; Nguyễn Huỳnh Sông Lam</t>
  </si>
  <si>
    <t>KTE2026-119.png</t>
  </si>
  <si>
    <t>KTE2026-120</t>
  </si>
  <si>
    <t>Các yếu tố ảnh hưởng đến hành vi tiêu dùng xanh của thế hệ z và thực hành tái sử dụng tài nguyên trong mô hình kinh tế tuần hoàn</t>
  </si>
  <si>
    <t>Nguyễn Thanh Tùng; Thái An Khang; Đinh Quốc Hạo</t>
  </si>
  <si>
    <t>KTE2026-120.png</t>
  </si>
  <si>
    <t>KTE2026-121</t>
  </si>
  <si>
    <t>Finwise AI - ứng dụng AI hỗ trợ quy hoạch tài chính và tư vấn đầu tư cá nhân tại Việt Nam</t>
  </si>
  <si>
    <t>Nguyễn Thu Hương; Phạm Hoàng Phi; Nguyễn Thị Thu Trang</t>
  </si>
  <si>
    <t>KTE2026-121.png</t>
  </si>
  <si>
    <t>KTE2026-122</t>
  </si>
  <si>
    <t>Phát triển nền tảng web TuVanAI ứng dụng trí tuệ nhân tạo hỗ trợ phân tích báo cáo tài chính tiếng việt cho doanh nghiệp nhỏ và nhà đầu tư cá nhân tại Việt Nam</t>
  </si>
  <si>
    <t>Nguyễn Nhã Trân; Phạm Hoàng Phi; Nguyễn Thị Thu Trang; Nguyễn Sang Doanh Doanh; Võ Huy Hoàng</t>
  </si>
  <si>
    <t>KTE2026-122.png</t>
  </si>
  <si>
    <t>KTE2026-123</t>
  </si>
  <si>
    <t>Nghiên cứu các yếu tố ảnh hưởng đến khả năng tự bảo vệ trước lừa đảo tài chính số của sinh viên DNTU và đề xuất mô hình ứng dụng ScamCheck</t>
  </si>
  <si>
    <t>Đỗ Ngọc Thanh Trúc; Lê Tuấn Anh; Phan Thị Kim Khuyên</t>
  </si>
  <si>
    <t>Trường Đại học Công nghệ Đồng Nai</t>
  </si>
  <si>
    <t>KTE2026-123.png</t>
  </si>
  <si>
    <t>KTE2026-124</t>
  </si>
  <si>
    <t>Tác động của tài chính xanh đến hiệu quả doanh nghiệp thông qua logistics xanh: Nghiên cứu tại các doanh nghiệp trên địa bàn thành phố Đồng Nai</t>
  </si>
  <si>
    <t>Phạm Anh Thư; Trần Đinh Kim Huệ; Lư Hoàng Ánh; Nguyễn Quang Vinh; Trần Đoàn Phương Uyên</t>
  </si>
  <si>
    <t>KTE2026-124.png</t>
  </si>
  <si>
    <t>KTE2026-125</t>
  </si>
  <si>
    <t>Giải pháp tài chính xanh hỗ trợ doanh nghiệp trong các khu công nghiệp tại Đồng Nai chuyển đổi sang mô hình chuỗi cung ứng logistics ngược và cộng sinh công nghiệp</t>
  </si>
  <si>
    <t>Phạm Quỳnh Anh; Đặng Thị Minh Hằng; Nguyễn Cẩm Duyên; Nguyễn Hoàng Kim Phúc; Lê Phạm Tuyết Trinh</t>
  </si>
  <si>
    <t>KTE2026-125.png</t>
  </si>
  <si>
    <t>KTE2026-126</t>
  </si>
  <si>
    <t>Nghiên cứu các nhân tố ảnh hưởng đến sử dụng dịch vụ ví điện tử trong thanh toán của người lao động tại tỉnh Vĩnh Long</t>
  </si>
  <si>
    <t>Phạm Thanh Tòng; Nguyễn Thị Mỹ Ngọc; Danh Thị Yến Quỳnh</t>
  </si>
  <si>
    <t>KTE2026-126.png</t>
  </si>
  <si>
    <t>KTE2026-127</t>
  </si>
  <si>
    <t>Các nhân tố ảnh hưởng đến ý định khởi nghiệp trong lĩnh vực fintech của sinh viên trên địa bàn thành phố Hồ Chí Minh</t>
  </si>
  <si>
    <t>Lê Thị Diệu; Hứa Vỹ Hà; Nguyễn Thị Hồng Diễm; Nguyễn Lữ Quỳnh Hương; Trần Ngọc Diễm Khuyên</t>
  </si>
  <si>
    <t>KTE2026-127.png</t>
  </si>
  <si>
    <t>KTE2026-128</t>
  </si>
  <si>
    <t>Các yếu tố ảnh hưởng đến việc chấp nhận và sử dụng trí tuệ nhân tạo AI trong ứng dụng thanh toán số của sinh viên tại một trường đại học trên địa bàn thành phố Hồ Chí Minh</t>
  </si>
  <si>
    <t>Nguyễn Thị Hồng Nhi; Đinh Trường Thịnh; Bùi Đức Duy; Võ Dương Khắc Hưng; Lê Nguyễn Khoa Thy</t>
  </si>
  <si>
    <t>KTE2026-128.png</t>
  </si>
  <si>
    <t>KTE2026-129</t>
  </si>
  <si>
    <t>Tác động của trí tuệ nhân tạo và chi tiêu chính phủ đến tăng trưởng kinh tế</t>
  </si>
  <si>
    <t>Phan Mai Bình</t>
  </si>
  <si>
    <t>KTE2026-129.png</t>
  </si>
  <si>
    <t>KTE2026-130</t>
  </si>
  <si>
    <t>Mức độ thay đổi cơ cấu nguồn vốn và hiệu quả tài chính: Bằng chứng từ các doanh nghiệp sản xuất niêm yết tại Việt Nam</t>
  </si>
  <si>
    <t>Thái Hồng Minh; Dương Quốc Trung; Trần Trường Thịnh; Hoàng Quốc Việt; Chu Thùy Dương</t>
  </si>
  <si>
    <t>KTE2026-130.png</t>
  </si>
  <si>
    <t>KTE2026-131</t>
  </si>
  <si>
    <t>Bank corporate governance, risk taking and bank performance evidence in Vietnam</t>
  </si>
  <si>
    <t>Nguyễn Hà Linh; Lê Uyên Diệu Thảo</t>
  </si>
  <si>
    <t>KTE2026-131.png</t>
  </si>
  <si>
    <t>KTE2026-132</t>
  </si>
  <si>
    <t>Tác động của đặc điểm của hội đồng quản trị đến việc công bố thông tin trách nhiệm xã hội của các doanh nghiệp niêm yết tại Việt Nam</t>
  </si>
  <si>
    <t>Lương Tú Linh; Trần Thị Yến Nhung; Trần Thị Thuý Diễm</t>
  </si>
  <si>
    <t>KTE2026-132.png</t>
  </si>
  <si>
    <t>KTE2026-133</t>
  </si>
  <si>
    <t>Ứng dụng phương pháp học máy dự báo khả năng khách hàng rời bỏ dịch vụ của ngân hàng</t>
  </si>
  <si>
    <t>Trịnh Khiết Như; Hoàng Ngọc Linh; Bùi Minh Anh; Nguyễn Xuân Bách; Nguyễn Hương Thảo Ly</t>
  </si>
  <si>
    <t>KTE2026-133.png</t>
  </si>
  <si>
    <t>KTE2026-134</t>
  </si>
  <si>
    <t>Làm phẳng lợi nhuận, quản lý vốn và ổn định ngân hàng: Bằng chứng từ các ngân hàng thương mại cổ phần tại Việt Nam</t>
  </si>
  <si>
    <t>Trần Thị Hương; Phạm Thị Ngọc Mai; Trần Đức Hưng Hà; Nguyễn Hoàng Lan Anh; Nguyễn Viết Trường</t>
  </si>
  <si>
    <t>KTE2026-134.png</t>
  </si>
  <si>
    <t>KTE2026-135</t>
  </si>
  <si>
    <t>Ảnh hưởng của tiêu chuẩn ESG đến giá cổ phiếu doanh nghiệp niêm yết trên sàn HOSE</t>
  </si>
  <si>
    <t>Phạm Minh Ngọc; Vũ Đình Thuần</t>
  </si>
  <si>
    <t>KTE2026-135.png</t>
  </si>
  <si>
    <t>KTE2026-136</t>
  </si>
  <si>
    <t>Nghiên cứu tác động của so sánh xã hội trực tuyến đến ý định và hành vi sử dụng tín dụng đen trực tuyến của giới trẻ Hà Nội</t>
  </si>
  <si>
    <t>Vũ Thị Thu Trang; Nguyễn Viết Trường; Hồ Thị Khánh Linh; Nguyễn Thị Thanh Vân; Nguyễn Hà Trang</t>
  </si>
  <si>
    <t>KTE2026-136.png</t>
  </si>
  <si>
    <t>KTE2026-137</t>
  </si>
  <si>
    <t>Tác động của chiến lược tài chính doanh nghiệp tới chất lượng công bố thông tin ESG - nghiên cứu thực tiễn tại các doanh nghiệp phi tài chính niêm yết trên thị trường chứng khoán Việt Nam</t>
  </si>
  <si>
    <t>Đặng Thị Phương Thảo; Bùi Khánh Linh; Hoàng Văn Anh Quân; Nguyễn Hải Ninh; Đỗ Văn Sơn</t>
  </si>
  <si>
    <t>KTE2026-137.png</t>
  </si>
  <si>
    <t>KTE2026-138</t>
  </si>
  <si>
    <t>Mối quan hệ giữa các yếu tố truyền thông xanh trên mạng xã hội và hành vi tiêu dùng xanh của sinh viên Trường Đại học Bình Dương</t>
  </si>
  <si>
    <t>Nguyễn Thị Mỹ Liên; Nguyễn Ngọc Thùy Trang; Nguyễn Thị Hương Quỳnh; Huỳnh Hải Đăng; Huỳnh Ngọc Sương Sương</t>
  </si>
  <si>
    <t>Trường Đại học Bình Dương</t>
  </si>
  <si>
    <t>KTE2026-138.png</t>
  </si>
  <si>
    <t>KTE2026-140</t>
  </si>
  <si>
    <t>Năng lực cạnh tranh của trung tâm tài chính quốc tế và phát triển tài chính nội địa: Bằng chứng thực nghiệm quốc tế và hàm ý cho Việt Nam</t>
  </si>
  <si>
    <t>Lê Nguyễn Phương Thảo; Nguyễn Thị Thùy Dương; Nguyễn Thị Thu Thủy; Nguyễn Thị Ánh Vy; Hồ Thị Ly Mỹ</t>
  </si>
  <si>
    <t>KTE2026-140.png</t>
  </si>
  <si>
    <t>KTE2026-141</t>
  </si>
  <si>
    <t>Ảnh hưởng của ô nhiễm không khí, công bố trách nhiệm xã hội đến thận trọng kế toán tại các công ty niêm yết trên thị trường chứng khoán Việt Nam</t>
  </si>
  <si>
    <t>Huỳnh Lê Thảo Vy</t>
  </si>
  <si>
    <t>Trường Đại học Văn Hiến</t>
  </si>
  <si>
    <t>KTE2026-141.png</t>
  </si>
  <si>
    <t>KTE2026-142</t>
  </si>
  <si>
    <t>Ứng dụng các mô hình học máy trong dự báo kiệt quệ tài chính của các doanh nghiệp bất động sản niêm yết trên thị trường chứng khoán Việt Nam, tích hợp ESG và chuyển đổi số</t>
  </si>
  <si>
    <t>Nguyễn Hoàng Thanh Nguyên; Lê Thị Vân Nhi; Hoàng Thị Thảo Nguyên; Phạm Thị Quỳnh Như; Đỗ Thị Minh Ngọc</t>
  </si>
  <si>
    <t>KTE2026-142.png</t>
  </si>
  <si>
    <t>KTE2026-143</t>
  </si>
  <si>
    <t>Quyết định đầu tư trong kỷ nguyên AI tạo sinh khi sử dụng mô hình ngôn ngữ lớn (LLM) của nhà đầu tư cá nhân</t>
  </si>
  <si>
    <t>Vũ Lê Hồng Ngọc; Trần Ngọc Dung; Đỗ Anh Thư; Nguyễn Minh Anh</t>
  </si>
  <si>
    <t>KTE2026-143.png</t>
  </si>
  <si>
    <t>KTE2026-144</t>
  </si>
  <si>
    <t>Ứng dụng mô hình SOBC trong nghiên cứu việc sử dụng dịch vụ mua trước, trả sau ở người tiêu dùng trẻ trong bối cảnh chuyển đổi số</t>
  </si>
  <si>
    <t>Nguyễn Phương Anh; Nguyễn Quỳnh Chi; Mai Khánh Linh; Phạm Thị Khánh Linh; Hoàng Minh Phúc</t>
  </si>
  <si>
    <t>KTE2026-144.png</t>
  </si>
  <si>
    <t>KTE2026-145</t>
  </si>
  <si>
    <t>Giải mã truyền dẫn tỷ giá, sự ảnh hưởng của rủi ro địa chính trị và các đứt gãy cấu trúc đến lạm phát</t>
  </si>
  <si>
    <t>Bùi Thị Thục Trinh; Quách Khả Danh; Huỳnh Gia Khánh</t>
  </si>
  <si>
    <t>KTE2026-145.png</t>
  </si>
  <si>
    <t>KTE2026-146</t>
  </si>
  <si>
    <t>Conditional correlation and volatility spillover between crude oil market and Vietnam’s securities market</t>
  </si>
  <si>
    <t>Sái Thùy Linh; Vũ Ngọc Ánh; Vũ Thu Hà; Mai Hoàng Quỳnh Anh; Lê Anh Minh</t>
  </si>
  <si>
    <t>KTE2026-146.png</t>
  </si>
  <si>
    <t>KTE2026-147</t>
  </si>
  <si>
    <t>Ảnh hưởng của kế toán xanh và quản trị doanh nghiệp đến giá trị doanh nghiệp niêm yết tại Việt Nam theo mức độ nhạy cảm với môi trường ngành</t>
  </si>
  <si>
    <t>Phạm Đức Hùng; Phạm Thu Hương; Hoàng Thị Linh; Hồ Thị Thảo Nguyên; Nguyễn Phương Anh</t>
  </si>
  <si>
    <t>KTE2026-147.png</t>
  </si>
  <si>
    <t>KTE2026-148</t>
  </si>
  <si>
    <t>Ứng dụng trí tuệ nhân tạo tạo sinh (GenAI) trong phân tích tính bền vững: Đo lường greenwashing cho ngân hàng thương mại ở Việt Nam</t>
  </si>
  <si>
    <t>Lê Lệ Quyên; Nguyễn Lê Nhật Khanh; Trần Diễm Quỳnh; Nguyễn Như Khải; Lê Thanh Toàn</t>
  </si>
  <si>
    <t>KTE2026-148.png</t>
  </si>
  <si>
    <t>KTE2026-149</t>
  </si>
  <si>
    <t>Tác động của các thành viên da đen trong đội ngũ quản trị cấp cao đối với rủi ro về danh tiếng của doanh nghiệp: Một nghiên cứu tại các công ty Mỹ</t>
  </si>
  <si>
    <t>Nguyễn Thành Trung; Hoàng Đăng Anh Việt; Huỳnh Tiến Thịnh; Phan Nhật Hào</t>
  </si>
  <si>
    <t>KTE2026-149.png</t>
  </si>
  <si>
    <t>KTE2026-150</t>
  </si>
  <si>
    <t>Tác động của quản trị công ty đến chất lượng thông tin báo cáo tài chính: Nghiên cứu trên các doanh nghiệp niêm yết tại sở giao dịch chứng khoán thành phố Hồ Chí Minh (HOSE)</t>
  </si>
  <si>
    <t>Ung Thị Phương Nhi; Nguyễn Trần Ngọc Hân; Đoàn Nguyễn Anh Thư; Nguyễn Thanh Hằng; Phạm Nguyễn Kiều My</t>
  </si>
  <si>
    <t>KTE2026-150.png</t>
  </si>
  <si>
    <t>KTE2026-151</t>
  </si>
  <si>
    <t>Green finance under pressure: How U.S. presidential policy reshape volatility connectedness among sustainable assets and gold</t>
  </si>
  <si>
    <t>Đỗ Trần Như Quỳnh; Nguyễn Lê Tú Anh; Dương Thanh Ngân; Huỳnh Mỹ Hạnh; Phạm Vũ Phước Thịnh</t>
  </si>
  <si>
    <t>KTE2026-151.png</t>
  </si>
  <si>
    <t>KTE2026-152</t>
  </si>
  <si>
    <t>Do geopolitical shocks make labor costs stickier? International evidence</t>
  </si>
  <si>
    <t>Nguyễn Lê Anh Kiệt; Huỳnh Lê Bảo Trân</t>
  </si>
  <si>
    <t>KTE2026-152.png</t>
  </si>
  <si>
    <t>KTE2026-153</t>
  </si>
  <si>
    <t>Tác động của dịch vụ thuế điện tử và hóa đơn điện tử đến hành vi tuân thủ thuế của hộ kinh doanh: Phân tích vai trò trung gian của nhận thức rủi ro bị phát hiện và chi phí tuân thủ trong bối cảnh thực thi nghị định 68/2026/NĐ-CP tại TP.HCM</t>
  </si>
  <si>
    <t>Nguyễn Thiên Tước; Nguyễn Lê Yến Nhi; Ngô Anh Thư; Đào Hoàng Oanh</t>
  </si>
  <si>
    <t>KTE2026-153.png</t>
  </si>
  <si>
    <t>KTE2026-154</t>
  </si>
  <si>
    <t>Tài chính số toàn diện và khả năng chống chịu tài chính của hộ gia đình trong bối cảnh phơi nhiễm khí hậu tại Việt Nam</t>
  </si>
  <si>
    <t>Dương Nguyễn Kim Ngân; Trịnh Thiên Thanh Trà; Lê Quốc Huy</t>
  </si>
  <si>
    <t>KTE2026-154.png</t>
  </si>
  <si>
    <t>KTE2026-155</t>
  </si>
  <si>
    <t>Digitalization and carbon emissions in middle-income countries: The moderating roles of non-government long-term funding</t>
  </si>
  <si>
    <t>Nguyễn Phúc Nhật Khanh; Trần Mỹ Anh; Nguyễn Hoàng Gia Nghi; Lê Vũ Hải My; Lê Hà Tường Vy</t>
  </si>
  <si>
    <t>KTE2026-155.png</t>
  </si>
  <si>
    <t>KTE2026-156</t>
  </si>
  <si>
    <t>Các nhân tố ảnh hưởng đến ý định vận dụng kế toán quản trị chi phí tại các doanh nghiệp nhỏ và vừa trên địa bàn thành phố Cần Thơ</t>
  </si>
  <si>
    <t>Nguyễn Thị Kim Tuyết; Nguyễn Nhã Mi; Tô Ngọc Quyên</t>
  </si>
  <si>
    <t>Trường Đại học Tây Đô</t>
  </si>
  <si>
    <t>KTE2026-156.png</t>
  </si>
  <si>
    <t>KTE2026-157</t>
  </si>
  <si>
    <t>Các yếu tố ảnh hưởng đến ý định sử dụng dịch vụ mua trước trả sau của sinh viên Trường Cao đẳng Kỹ thuật Cao Thắng</t>
  </si>
  <si>
    <t>Trần Thị Kiều Linh; Lê Quang Vinh; Nguyễn Phúc Tài; Tạ Duy Tài; Phùng Yến Vy</t>
  </si>
  <si>
    <t>Trường Cao đẳng Kỹ thuật Cao Thắng</t>
  </si>
  <si>
    <t>KTE2026-157.png</t>
  </si>
  <si>
    <t>KTE2026-158</t>
  </si>
  <si>
    <t>Các nhân tố ảnh hưởng đến ý định sử dụng phần mềm kế toán trên nền tảng điện toán di động của các doanh nghiệp nhỏ và vừa tại thành phố Cần Thơ</t>
  </si>
  <si>
    <t>Nguyễn Thị Tuệ Minh; Nguyễn Thị Hiếu; Hứa Hoàng Minh</t>
  </si>
  <si>
    <t>KTE2026-158.png</t>
  </si>
  <si>
    <t>KTE2026-159</t>
  </si>
  <si>
    <t>Các yếu tố ảnh hưởng đến ý định sử dụng dịch vụ buy now pay later trong mua sắm trực tuyến của thế hệ Gen Z tại thành phố Hồ Chí Minh</t>
  </si>
  <si>
    <t>Phan Thanh Trực; Hồ Đắc Phát; Nguyễn Công Đức; Võ Trần Minh Danh</t>
  </si>
  <si>
    <t>KTE2026-159.png</t>
  </si>
  <si>
    <t>KTE2026-160</t>
  </si>
  <si>
    <t>Thực trạng và xu hướng phát triển thanh toán không dùng tiền mặt tại Việt Nam giai đoạn 2022–2026</t>
  </si>
  <si>
    <t>Nguyễn Minh Nhật; Nguyễn Ngọc Thọ; Ngô Phúc Khang</t>
  </si>
  <si>
    <t>KTE2026-160.png</t>
  </si>
  <si>
    <t>KTE2026-161</t>
  </si>
  <si>
    <t>Các yếu tố ảnh hưởng đến ý định chấp nhận sử dụng dịch vụ số ứng dụng công nghệ blockchain của khách hàng cá nhân tại Việt Nam</t>
  </si>
  <si>
    <t>Nguyễn Hoàng Phong</t>
  </si>
  <si>
    <t>KTE2026-161.png</t>
  </si>
  <si>
    <t>KTE2026-162</t>
  </si>
  <si>
    <t>Vai trò của fintech xanh trong việc thúc đẩy bền vững môi trường tại Việt Nam thông qua các dự án ESG</t>
  </si>
  <si>
    <t>Nguyễn Thị Thanh Hương; Nguyễn Đăng Khôi; Mai Khánh Duy</t>
  </si>
  <si>
    <t>Trường Đại học Công Thương TP. Hồ Chí Minh</t>
  </si>
  <si>
    <t>KTE2026-162.png</t>
  </si>
  <si>
    <t>KTE2026-163</t>
  </si>
  <si>
    <t>Ảnh hưởng của quá trình phát triển các doanh nghiệp fintech đến sự ổn định của hệ thống ngân hàng thương mại Việt Nam</t>
  </si>
  <si>
    <t>Võ Văn Bình; Nguyễn Thanh Hóa; Nguyễn Tuyết Anh; Bùi Nguyễn Minh Thư; Nguyễn Thái Thùy Anh</t>
  </si>
  <si>
    <t>KTE2026-163.png</t>
  </si>
  <si>
    <t>KTE2026-164</t>
  </si>
  <si>
    <t>Nghiên cứu chính sách thuế xanh nhằm thúc đẩy phát triển bền vững ở Việt Nam</t>
  </si>
  <si>
    <t>Bùi Nguyễn Minh Thư; Nguyễn Thái Thùy Anh; Huỳnh Ánh Nguyệt; Hồ Thị Thanh Tuyền; Nguyễn Phúc Gia Hòa</t>
  </si>
  <si>
    <t>KTE2026-164.png</t>
  </si>
  <si>
    <t>KTE2026-165</t>
  </si>
  <si>
    <t>Vai trò trung gian của hiểu biết tài chính đến ý định sử dụng dịch vụ fintech của ngân hàng thương mại đối với thế hệ z tại thành phố Hồ Chí Minh</t>
  </si>
  <si>
    <t>Bùi Phước Bảo Hân; Nguyễn Thị Minh Thư; Lê Nguyễn Như Quỳnh; Trần Tiểu Yến; Nguyễn Lê Tuyết Nhi</t>
  </si>
  <si>
    <t>KTE2026-165.png</t>
  </si>
  <si>
    <t>KTE2026-166</t>
  </si>
  <si>
    <t>Tín dụng xanh và hiệu quả tài chính của ngân hàng thương mại cổ phần tại Việt Nam: Vai trò điều tiết của quy mô</t>
  </si>
  <si>
    <t>Đinh Thị Bích Ngọc; Đinh Thị Kiều Oanh; Trần Đông Trường; Phạm An Khương; Nguyễn Nhật Hạ Tin</t>
  </si>
  <si>
    <t>KTE2026-166.png</t>
  </si>
  <si>
    <t>KTE2026-167</t>
  </si>
  <si>
    <t>Mối liên hệ bất đối xứng giữa công nghệ xanh, phát triển tài chính, bất định chính sách kinh tế và tính bền vững môi trường tại Việt Nam</t>
  </si>
  <si>
    <t>Trần Hoàng Minh Ánh; Phan Như Trúc Huyền; Ngô Nguyễn Tường Vy; Nguyễn Phương Thảo; Trương Thị Mỹ Trà</t>
  </si>
  <si>
    <t>KTE2026-167.png</t>
  </si>
  <si>
    <t>KTE2026-168</t>
  </si>
  <si>
    <t>Tác động của dịch vụ mua trước, trả sau (BNPL) đến hành vi mua sắm bốc đồng và rủi ro tài chính của thế hệ z: Bằng chứng thực nghiệm tại thành phố Hồ Chí Minh</t>
  </si>
  <si>
    <t>Trần Lê Thanh Trúc; Nguyễn Ngọc Duy Anh; Nguyễn Thị Như Ý; Bùi Thị Kiều Tiên; Trương Quang Thanh Phúc</t>
  </si>
  <si>
    <t>KTE2026-168.png</t>
  </si>
  <si>
    <t>KTE2026-169</t>
  </si>
  <si>
    <t>Vận dụng phương pháp bao dữ liệu để đo lường hiệu quả hoạt động tại Ngân hàng TMCP Đầu tư và Phát triển Việt Nam</t>
  </si>
  <si>
    <t>Lê Thị Trang; Phạm Thị Trang; Phạm Ngọc Phượng; Lê Thị Thanh Hiền; Đào Thị Thủy</t>
  </si>
  <si>
    <t>Trường Đại học Hồng Đức</t>
  </si>
  <si>
    <t>KTE2026-169.png</t>
  </si>
  <si>
    <t>KTE2026-170</t>
  </si>
  <si>
    <t>When intelligent payments build trust but trigger anxiety: Understanding millennials’ continuance intention</t>
  </si>
  <si>
    <t>Nguyễn Hoàng Mai Linh</t>
  </si>
  <si>
    <t>KTE2026-170.png</t>
  </si>
  <si>
    <t>KTE2026-171</t>
  </si>
  <si>
    <t>Understanding the role of service co-creation literacy in enhancing customer loyalty on fintech platforms</t>
  </si>
  <si>
    <t>Nguyễn Khánh Ngọc</t>
  </si>
  <si>
    <t>KTE2026-171.png</t>
  </si>
  <si>
    <t>KTE2026-172</t>
  </si>
  <si>
    <t>Các yếu tố ảnh hưởng đến ý định sử dụng robo-advisor như công cụ hỗ trợ ra quyết định của nhà đầu tư chứng khoán cá nhân: Vai trò trung gian của niềm tin nhận thức về năng lực và tính chính trực</t>
  </si>
  <si>
    <t>Phạm Thùy Linh</t>
  </si>
  <si>
    <t>Viện Nghiên cứu và Đào tạo Việt - Anh, Đại học Đà Nẵng</t>
  </si>
  <si>
    <t>KTE2026-172.png</t>
  </si>
  <si>
    <t>KTE2026-173</t>
  </si>
  <si>
    <t>Climate stress, investor attention and downside risk in global financial markets: A machine learning analysis</t>
  </si>
  <si>
    <t>Hoàng Minh Hiếu</t>
  </si>
  <si>
    <t>Trường Đại học Ngoại thương</t>
  </si>
  <si>
    <t>KTE2026-173.png</t>
  </si>
  <si>
    <t>KTE2026-174</t>
  </si>
  <si>
    <t>From AI optimism to climate skepticism: AI adoption, climate transition risk, and cost of equity capital in ASEAN</t>
  </si>
  <si>
    <t>Vũ Quốc Mạnh; Vũ Thị Hà Trang; Nguyễn Lưu Vân Khánh; Hoàng Vũ Quỳnh Anh</t>
  </si>
  <si>
    <t>KTE2026-174.png</t>
  </si>
  <si>
    <t>KTE2026-175</t>
  </si>
  <si>
    <t>Các nhân tố ảnh hưởng tới khả năng chống chịu và phục hồi của thị trường chứng khoán Việt Nam trong cú sốc thuế đối ứng năm 2025</t>
  </si>
  <si>
    <t>Trần Quốc Thái; Phạm Hạnh Nguyên; Nguyễn Thúc Quỳnh Chi; Lương Mạnh Đức; Hoàng Minh Anh</t>
  </si>
  <si>
    <t>KTE2026-175.png</t>
  </si>
  <si>
    <t>KTE2026-176</t>
  </si>
  <si>
    <t>Tác động của hành vi tránh thuế và chất lượng quản trị hành chính địa phương đến mức độ chấp nhận rủi ro của doanh nghiệp: Bằng chứng thực nghiệm từ các doanh nghiệp niêm yết Việt Nam</t>
  </si>
  <si>
    <t>Phạm Vũ Thanh Nhàn; Chu Phương Thảo; Trần Linh Giang; Hoàng Thảo Linh; Lê Thị Minh Trâm</t>
  </si>
  <si>
    <t>KTE2026-176.png</t>
  </si>
  <si>
    <t>KTE2026-177</t>
  </si>
  <si>
    <t>Tích hợp tài chính hành vi vào quản trị rủi ro tài chính định lượng: Mô hình phòng vệ rủi ro danh mục thích ứng theo trạng thái tâm lý thị trường – bằng chứng từ thị trường chứng khoán Việt Nam</t>
  </si>
  <si>
    <t>Đỗ Thành Đạt</t>
  </si>
  <si>
    <t>KTE2026-177.png</t>
  </si>
  <si>
    <t>KTE2026-178</t>
  </si>
  <si>
    <t>Tác động của chu kỳ kinh tế đến hiệu quả tài chính của các ngân hàng mục tiêu hậu M&amp;A tại Việt Nam: Trường hợp các giao dịch mua bán cổ phần chiến lược</t>
  </si>
  <si>
    <t>Lưu Thị Phương Nhung; Đỗ Minh Châu; Bùi Đức Hiếu; Bùi Diệu Linh</t>
  </si>
  <si>
    <t>KTE2026-178.png</t>
  </si>
  <si>
    <t>KTE2026-179</t>
  </si>
  <si>
    <t>Thiết kế mô hình hỗ trợ cộng đồng 3C nhằm nâng cao năng lực tuân thủ thuế của hộ kinh doanh trong môi trường số</t>
  </si>
  <si>
    <t>Châu Hoàng Phi Khanh</t>
  </si>
  <si>
    <t>Trường Cao đẳng Kinh tế Đối ngoại</t>
  </si>
  <si>
    <t>KTE2026-179.png</t>
  </si>
  <si>
    <t>KTE2026-180</t>
  </si>
  <si>
    <t>A-COMPASS: Mô hình đánh giá mức độ đáp ứng và khoảng cách năng lực theo vị trí việc làm cho sinh viên kế toán trình độ cao đẳng</t>
  </si>
  <si>
    <t>Vũ Thị Thanh Trang; Nguyễn Thị Khánh Huyền; Danh Thùy Vân; Nguyễn Trọng Hào; Nguyễn Xuân Thành</t>
  </si>
  <si>
    <t>KTE2026-180.png</t>
  </si>
  <si>
    <t>KTE2026-181</t>
  </si>
  <si>
    <t>Các yếu tố ảnh hưởng đến mức độ sẵn sàng công bố thông tin ESG của doanh nghiệp nhỏ và vừa trong bối cảnh chuyển đổi số kế toán</t>
  </si>
  <si>
    <t>Lương Thị Kim Oanh; Nguyễn Thị Hồng Phúc; Phan Thị Thùy An; Phan Vĩ Khang; Phạm Trang Nhung</t>
  </si>
  <si>
    <t>KTE2026-181.png</t>
  </si>
  <si>
    <t>KTE2026-182</t>
  </si>
  <si>
    <t>Những nhân tố tác động đến áp dụng kế toán xanh tại các doanh nghiệp sản xuất trên địa bàn thành phố Hồ Chí Minh</t>
  </si>
  <si>
    <t>Vũ Thị Minh Thư; Nguyễn Thị Thanh Thảo; Đào Thị Yến Vy</t>
  </si>
  <si>
    <t>KTE2026-182.png</t>
  </si>
  <si>
    <t>KTE2026-183</t>
  </si>
  <si>
    <t>The impact of the anchoring and adjustment bias on analysts’ forecast: Empirical evidence from VN30</t>
  </si>
  <si>
    <t>Ngô Thị Anh Thư; Phạm Thị Thanh Tuyền; Nguyễn Hoàng Yến Nhi; Võ Huỳnh Thảo Nhi</t>
  </si>
  <si>
    <t>KTE2026-183.png</t>
  </si>
  <si>
    <t>KTE2026-184</t>
  </si>
  <si>
    <t>The Lunar New Year effect on trading behaviors: Evidence from the Vietnam gold market</t>
  </si>
  <si>
    <t>Võ Nguyên Phúc; Đào Thị Hồng Ngọc; Trương Phú Hưng; Lâm Kim Vy; Đỗ Minh Nhiên</t>
  </si>
  <si>
    <t>KTE2026-184.png</t>
  </si>
  <si>
    <t>KTE2026-185</t>
  </si>
  <si>
    <t>Tác động của Basel III đến hiệu quả hoạt động và rủi ro tín dụng của ngân hàng thương mại tại ASEAN-5: Bài học kinh nghiệm cho Việt Nam</t>
  </si>
  <si>
    <t>Nguyễn Thị Nhật Thanh; Phan Huy Minh; Bùi Đình Quân; Trần Phương Thanh</t>
  </si>
  <si>
    <t>KTE2026-185.png</t>
  </si>
  <si>
    <t>KTE2026-186</t>
  </si>
  <si>
    <t>Tác động của rủi ro chuyển đổi đến hoạt động cho vay ngân hàng: Bằng chứng thực nghiệm từ Việt Nam</t>
  </si>
  <si>
    <t>Phan Thị Phương Diễm</t>
  </si>
  <si>
    <t>KTE2026-186.png</t>
  </si>
  <si>
    <t>KTE2026-187</t>
  </si>
  <si>
    <t>Tác động của lan truyền biến động liên ngành đến rủi ro hệ thống trên thị trường của ngành ngân hàng tại Việt Nam</t>
  </si>
  <si>
    <t>Khuất Thu Hiền; Lê Ngọc Linh; Nguyễn Thị Ngọc Dung; Vũ Hải Đăng</t>
  </si>
  <si>
    <t>KTE2026-187.png</t>
  </si>
  <si>
    <t>KTE2026-188</t>
  </si>
  <si>
    <t>Tác động lan truyền rủi ro từ thị trường tài sản toàn cầu đến thị trường chứng khoán Việt Nam</t>
  </si>
  <si>
    <t>Nguyễn An Hồng; Trần Phương Nhung; Dương Mai Anh; Trần Diệu Vy; Nguyễn Thu Hà</t>
  </si>
  <si>
    <t>KTE2026-188.png</t>
  </si>
  <si>
    <t>KTE2026-189</t>
  </si>
  <si>
    <t>The impact of digital financial inclusion on ESG performance in Asian countries during the 2010–2024 period: The moderating role of financial development</t>
  </si>
  <si>
    <t>Trần Đình Khải; Nguyễn Huy Tùng Dương; Vũ Mạnh Tuấn; Lê Chí Dũng; Đinh Đức Tùng</t>
  </si>
  <si>
    <t>KTE2026-189.png</t>
  </si>
  <si>
    <t>KTE2026-190</t>
  </si>
  <si>
    <t>Banks’ risk-taking behaviour and systemic risk: A network perspective</t>
  </si>
  <si>
    <t>Bùi Yến Nhi; Phạm Thị Xuân</t>
  </si>
  <si>
    <t>KTE2026-190.png</t>
  </si>
  <si>
    <t>KTE2026-191</t>
  </si>
  <si>
    <t>Tác động của chất lượng báo cáo tài chính và kỳ hạn nợ đến hiệu quả đầu tư của các doanh nghiệp niêm yết tại Việt Nam trong giai đoạn 2019 - 2023</t>
  </si>
  <si>
    <t>Đỗ Xuân Anh; Vương Đặng Phương Anh; Trần Đức Duy; Phạm Phương Lan; Bùi Thị Minh Thư</t>
  </si>
  <si>
    <t>KTE2026-191.png</t>
  </si>
  <si>
    <t>KTE2026-192</t>
  </si>
  <si>
    <t>Digital transformation intensity and firm cost efficiency: Evidence of a nonlinear relationship from Vietnamese listed firms/ Cường độ chuyển đổi số và hiệu quả chi phí của doanh nghiệp: Bằng chứng về mối quan hệ phi tuyến tính từ các doanh nghiệp niêm yết tại Việt Nam</t>
  </si>
  <si>
    <t>Nguyễn Ngọc Thủy Tiên; Nguyễn Thùy Linh; Trần Thúy Thu</t>
  </si>
  <si>
    <t>KTE2026-192.png</t>
  </si>
  <si>
    <t>KTE2026-193</t>
  </si>
  <si>
    <t>Economic policy uncertainty, geopolitical risk, and the disposition effect: Evidence from capital gains overhang in Vietnam</t>
  </si>
  <si>
    <t>Nghiêm Gia Khánh; Nguyễn Thị Yến Anh; Lê Ngọc Khánh; Triệu Phương Ninh</t>
  </si>
  <si>
    <t>KTE2026-193.png</t>
  </si>
  <si>
    <t>KTE2026-194</t>
  </si>
  <si>
    <t>Managerial overconfidence and accounting conservatism: Evidence from Vietnam</t>
  </si>
  <si>
    <t>Nguyễn Hoàng Khánh Linh; Lê Huỳnh Minh Châu; Trần Thị Thanh Duyên; Nguyễn Phan Thùy Dung; Mai Hồ Hoàng Diệp</t>
  </si>
  <si>
    <t>KTE2026-194.png</t>
  </si>
  <si>
    <t>KTE2026-195</t>
  </si>
  <si>
    <t>The impact of sustainable development goals disclosure on earnings management: Evidence from Vietnamese listed firms</t>
  </si>
  <si>
    <t>Hà Nguyễn Trâm Anh; Nguyễn Thanh Hải; Nguyễn Thị Kim Ngân</t>
  </si>
  <si>
    <t>KTE2026-195.png</t>
  </si>
  <si>
    <t>KTE2026-196</t>
  </si>
  <si>
    <t>Ảnh hưởng của hạn chế tài chính doanh nghiệp đến sự gian lận và trì hoãn trong việc công bố báo cáo tài chính</t>
  </si>
  <si>
    <t>Trần Đức Anh; Nguyễn Thành Vinh; Nguyễn Thu Hà; Nguyễn Ngọc Thanh Đa; Nguyễn Kiều Lan Vy</t>
  </si>
  <si>
    <t>KTE2026-196.png</t>
  </si>
  <si>
    <t>KTE2026-197</t>
  </si>
  <si>
    <t>The effect of the science and technology development fund on firm performance: Evidence from Vietnamese listed companies</t>
  </si>
  <si>
    <t>Nguyễn Phước Nguyên; Đỗ Khánh Như; Trần Mai Phương</t>
  </si>
  <si>
    <t>KTE2026-197.png</t>
  </si>
  <si>
    <t>KTE2026-198</t>
  </si>
  <si>
    <t>Mô hình mô phỏng xếp hạng tín dụng doanh nghiệp dựa trên học máy cho các doanh nghiệp niêm yết tại Việt Nam</t>
  </si>
  <si>
    <t>Nguyễn Ngọc Đạt; Nguyễn Thị Kim Hằng; Nguyễn Cao Trung Thông; Lê Huỳnh Mỹ Tâm; Nguyễn Thị Bích Ngọc</t>
  </si>
  <si>
    <t>KTE2026-198.png</t>
  </si>
  <si>
    <t>KTE2026-199</t>
  </si>
  <si>
    <t>Cảm xúc nhà đầu tư trên mạng xã hội: Tín hiệu dẫn dắt hay phản ứng trước biến động thị trường chứng khoán Việt Nam</t>
  </si>
  <si>
    <t>Phan Thị Hoài Thanh; Nguyễn Thị Thuỳ; Lê Thành Vinh</t>
  </si>
  <si>
    <t>Trường Kinh tế, Đại học Bách khoa Hà Nội</t>
  </si>
  <si>
    <t>KTE2026-199.png</t>
  </si>
  <si>
    <t>KTE2026-200</t>
  </si>
  <si>
    <t>Tác động của đa dạng hóa danh mục cho vay đến sự ổn định tài chính của ngân hàng thương mại Việt Nam: Tiếp cận bằng mô hình học máy</t>
  </si>
  <si>
    <t>Nguyễn Thị Phương Linh; Trần Hoàng Thanh Trúc; Nguyễn Hoàng Anh Thư; Phạm Việt Y; Ngô Hoàng Khánh Duy</t>
  </si>
  <si>
    <t>KTE2026-200.png</t>
  </si>
  <si>
    <t>KTE2026-203</t>
  </si>
  <si>
    <t>Nâng cao hiệu quả dự báo thị trường chứng khoán Việt Nam bằng mô hình GRU tích hợp phân tích cảm xúc và mô hình ngôn ngữ lớn (large language model - LLM)</t>
  </si>
  <si>
    <t>Nguyễn Hoàng Biển; Trần Thị Thu Trang; Nguyễn Ngọc Trâm Anh</t>
  </si>
  <si>
    <t>KTE2026-203.png</t>
  </si>
  <si>
    <t>KTE2026-204</t>
  </si>
  <si>
    <t>Tác động lan toả của Bitcoin đến thị trường chứng khoán Việt Nam: Bằng chứng từ mô hình DCC-GARCH</t>
  </si>
  <si>
    <t>Nguyễn Dương Lập; Nguyễn Ngọc Gia Hân</t>
  </si>
  <si>
    <t>KTE2026-204.png</t>
  </si>
  <si>
    <t>KTE2026-205</t>
  </si>
  <si>
    <t>Dự báo tỷ giá hối đoái dựa trên các thuật toán học máy và tối ưu hóa siêu tham số</t>
  </si>
  <si>
    <t>Nguyễn Phương Quỳnh; Trần Thị Thu Hằng; Lê Ngọc Quỳnh; Nguỵ Hoàng Hy; Tôn Thất Bảo Thịnh</t>
  </si>
  <si>
    <t>KTE2026-205.png</t>
  </si>
  <si>
    <t>KTE2026-206</t>
  </si>
  <si>
    <t>Tối ưu hóa danh mục đầu tư động bằng hybrid deep reinforcement learning bằng chứng thực nghiệm từ thị trường chứng khoán Hoa Kỳ và Việt Nam</t>
  </si>
  <si>
    <t>Nguyễn Thiện Hoài; Trương Công Phát; Ngô Quang Hùng</t>
  </si>
  <si>
    <t>KTE2026-206.png</t>
  </si>
  <si>
    <t>KTE2026-207</t>
  </si>
  <si>
    <t>Firm performance under environmental regulation: Evidence from Vietnam’s 2020 environmental protection law</t>
  </si>
  <si>
    <t>Đinh Diệu Hiền; Nguyễn Ngân Giang</t>
  </si>
  <si>
    <t>KTE2026-207.png</t>
  </si>
  <si>
    <t>KTE2026-208</t>
  </si>
  <si>
    <t>Từ tín hiệu đến chi trả: Rủi ro cơ sở và ngưỡng khả thi của bảo hiểm tham số kích hoạt bằng cảm biến Wi-Fi không tiếp xúc</t>
  </si>
  <si>
    <t>Đinh Văn Nam</t>
  </si>
  <si>
    <t>KTE2026-208.png</t>
  </si>
  <si>
    <t>KTE2026-209</t>
  </si>
  <si>
    <t>The impact of personal financial education on the intention to pursue a career in personal financial planning among students in economics-related fields in Vietnam</t>
  </si>
  <si>
    <t>Đỗ Thị Tiểu Luận; Bùi Phương Ly; Trần Thị Minh Nguyệt; Nguyễn Thu Trang; Nguyễn Thanh Bình</t>
  </si>
  <si>
    <t>KTE2026-209.png</t>
  </si>
  <si>
    <t>KTE2026-210</t>
  </si>
  <si>
    <t>Nghiên cứu năng lực số của nhân lực kế toán và tác động của năng lực số của nhân lực kế toán đến chuyển đổi số trong doanh nghiệp - trường hợp tại các doanh nghiệp vừa và nhỏ tỉnh Thanh Hóa</t>
  </si>
  <si>
    <t>Bùi Thanh Hằng; Phạm Khánh Ly; Trần Thị Phương Anh; Trần Ngọc Huyền; Nguyễn Thị Khánh Linh</t>
  </si>
  <si>
    <t>KTE2026-210.png</t>
  </si>
  <si>
    <t>KTE2026-211</t>
  </si>
  <si>
    <t>Đo lường rủi ro thông qua value at risk và expected shortfall tiếp cận bằng mô hình học máy có điều kiện ứng dụng cho danh mục đầu tư và các chỉ số thị trường trên thị trường chứng khoán Việt Nam</t>
  </si>
  <si>
    <t>Trần Xuân Phát; Phan Văn Hồng Nguyên; Nguyễn Bích Duyên</t>
  </si>
  <si>
    <t>KTE2026-211.png</t>
  </si>
  <si>
    <t>KTE2026-212</t>
  </si>
  <si>
    <t>Nhận thức về sự sẵn lòng chi trả của khách hàng cho mỹ phẩm xanh: Vai trò của niềm tin, giá trị cảm nhận và sự hoài nghi xanh</t>
  </si>
  <si>
    <t>Nguyễn Hoàng Thanh Nhã; Trần Kim Anh; Nguyễn Cao Cát Tường; Phạm Minh Thơ; Nguyễn Trần Mỹ Tâm</t>
  </si>
  <si>
    <t>KTE2026-212.png</t>
  </si>
  <si>
    <t>KTE2026-213</t>
  </si>
  <si>
    <t>Awareness and adoption of circular economy in supply chains for sustainable development: The role of technology and policy solutions</t>
  </si>
  <si>
    <t>Đặng Nguyễn Nhật Bảo; Huỳnh Nguyễn Hoàng Phúc; Văn Nguyễn Kiện Quân</t>
  </si>
  <si>
    <t>KTE2026-213.png</t>
  </si>
  <si>
    <t>KTE2026-214</t>
  </si>
  <si>
    <t>The role of AI-generated green marketing content in driving sustainable consumption intentions in Vietnam</t>
  </si>
  <si>
    <t>Nguyễn Anh Khoa</t>
  </si>
  <si>
    <t>KTE2026-214.png</t>
  </si>
  <si>
    <t>KTE2026-215</t>
  </si>
  <si>
    <t>How customer attitudes towards rebranding change their behaviors?</t>
  </si>
  <si>
    <t>Lê Ngọc Xuân Hoa; Huỳnh Lê Vân Anh; Lê Ngọc Anh</t>
  </si>
  <si>
    <t>KTE2026-215.png</t>
  </si>
  <si>
    <t>KTE2026-216</t>
  </si>
  <si>
    <t>Ngành khách sạn 5.0: Năng lực động, đổi mới xanh và hiệu quả bền vững trong bối cảnh môi trường biến động</t>
  </si>
  <si>
    <t>Đặng Minh Thư; Đoàn Trương Đan Quỳnh</t>
  </si>
  <si>
    <t>KTE2026-216.png</t>
  </si>
  <si>
    <t>KTE2026-217</t>
  </si>
  <si>
    <t>Nghiên cứu tác động của bối cảnh thương mại giai đoạn hậu COVID-19 đến hoạt động xuất nhập khẩu của Việt Nam</t>
  </si>
  <si>
    <t>Trương Ngọc Bích Thùy; Hồ Ý Nhi</t>
  </si>
  <si>
    <t>KTE2026-217.png</t>
  </si>
  <si>
    <t>KTE2026-218</t>
  </si>
  <si>
    <t>Vai trò của thực hành quản trị nguồn nhân lực hướng tới hạnh phúc đến hành vi phản tác dụng của nhân viên</t>
  </si>
  <si>
    <t>Phan Hoàng Anh; Đinh Thị Bích Phương; Nguyễn Võ Minh Thuận</t>
  </si>
  <si>
    <t>KTE2026-218.png</t>
  </si>
  <si>
    <t>KTE2026-219</t>
  </si>
  <si>
    <t>Tác động của chánh niệm xanh đến khả năng phục hồi tổ chức và hạnh phúc bền vững của nhân viên: Vai trò trung gian của tự hiệu quả xanh và hành vi đổi mới xanh dưới sự điều tiết của lãnh đạo chuyển đổi xanh</t>
  </si>
  <si>
    <t>Vũ Việt Hoàng; Nguyễn Trần Thu Phương; Nguyễn Khánh Linh</t>
  </si>
  <si>
    <t>KTE2026-219.png</t>
  </si>
  <si>
    <t>KTE2026-220</t>
  </si>
  <si>
    <t>Ảnh hưởng của quản trị nguồn nhân lực xanh và lãnh đạo khởi nghiệp xanh đến hành vi xanh của nhân viên: Vai trò của trung gian của trách nhiệm xã hội và bầu không khí tâm lý xanh</t>
  </si>
  <si>
    <t>Nguyễn Khánh Linh; Ngô Thị Ngọc Tuyết; Võ Thành Luân</t>
  </si>
  <si>
    <t>KTE2026-220.png</t>
  </si>
  <si>
    <t>KTE2026-221</t>
  </si>
  <si>
    <t>Ảnh hưởng của tâm lý FOMO đến hành vi tiêu dùng của thế hệ Gen Z trên các sàn thương mại điện tử</t>
  </si>
  <si>
    <t>Nguyễn Thị Huyền; Đặng Tuyết Ly; Phan Thị Minh Chi</t>
  </si>
  <si>
    <t>KTE2026-221.png</t>
  </si>
  <si>
    <t>KTE2026-222</t>
  </si>
  <si>
    <t>Ứng dụng AI trong cá nhân hóa trải nghiệm mua sắm mỹ phẩm trên sàn thương mại điện tử Shopee tại Việt Nam</t>
  </si>
  <si>
    <t>Đoàn Thị Thanh Quyến; Nguyễn Thị Hồng Ngọc; Nguyễn Thị Bích Nguyệt</t>
  </si>
  <si>
    <t>KTE2026-222.png</t>
  </si>
  <si>
    <t>KTE2026-223</t>
  </si>
  <si>
    <t>Nghiên cứu các yếu tố ảnh hưởng đến quyết định mua hàng bốc đồng trên các sàn thương mại điện tử của thế hệ Gen Z tại tỉnh Gia Lai</t>
  </si>
  <si>
    <t>Nguyễn Hoàng Trình; Nguyễn Bảo Ý; Võ Huỳnh Na; Thao Thị Yến Vy; Hoàng Kim Tuyến</t>
  </si>
  <si>
    <t>Trường Đại học Quy Nhơn</t>
  </si>
  <si>
    <t>KTE2026-223.png</t>
  </si>
  <si>
    <t>KTE2026-224</t>
  </si>
  <si>
    <t>Các yếu tố tác động đến xuất khẩu gạo Việt Nam sang Nam Phi</t>
  </si>
  <si>
    <t>Trần Phạm Bảo Linh</t>
  </si>
  <si>
    <t>KTE2026-224.png</t>
  </si>
  <si>
    <t>KTE2026-225</t>
  </si>
  <si>
    <t>Supply chain resilience of Vietnam-EU sea route against geopolitical risks: Evidence from the Red Sea crisis and Suez disruption</t>
  </si>
  <si>
    <t>Nguyễn Phương Anh; Trần Thùy Trang; Bùi Thị Thùy Trang; Đỗ Thị Huyền Trang</t>
  </si>
  <si>
    <t>KTE2026-225.png</t>
  </si>
  <si>
    <t>KTE2026-226</t>
  </si>
  <si>
    <t>Ảnh hưởng của nhận thức về “tẩy xanh” (greenwashing) đến niềm tin thương hiệu và ý định mua hàng bền vững của Gen Z tại Hà Nội</t>
  </si>
  <si>
    <t>Lê Vân Anh; Lương Hải Anh; Nguyễn Khánh Huyền; Hoàng Thị Thúy Hiền; Lê Trần Tường Vy</t>
  </si>
  <si>
    <t>KTE2026-226.png</t>
  </si>
  <si>
    <t>KTE2026-227</t>
  </si>
  <si>
    <t>Nghiên cứu các nhân tố ảnh hưởng đến ý định sử dụng phương tiện giao thông xanh của sinh viên trên địa bàn tỉnh Nghệ An</t>
  </si>
  <si>
    <t>Bạch Thị Nhi; Bùi Thị Linh</t>
  </si>
  <si>
    <t>KTE2026-227.png</t>
  </si>
  <si>
    <t>KTE2026-228</t>
  </si>
  <si>
    <t>Ảnh hưởng của TikTok marketing đến hành vi mua sắm của thế hệ z tại Trường Đại học Nghệ An</t>
  </si>
  <si>
    <t>Đinh Nguyễn Tuệ Nhi</t>
  </si>
  <si>
    <t>KTE2026-228.png</t>
  </si>
  <si>
    <t>KTE2026-229</t>
  </si>
  <si>
    <t>Tăng cường ứng dụng công nghệ số để phát triển du lịch bền vững tỉnh Quảng Trị</t>
  </si>
  <si>
    <t>Nguyễn Thị Thanh Lan; Nguyễn Trần Ngọc Hoài; Hoàng Huyền Trang</t>
  </si>
  <si>
    <t>KTE2026-229.png</t>
  </si>
  <si>
    <t>KTE2026-230</t>
  </si>
  <si>
    <t>Ứng dụng logistics xanh nhằm giảm thiểu tác động tới môi trường tại tỉnh Nghệ An</t>
  </si>
  <si>
    <t>Nguyễn Thị Thu Phương</t>
  </si>
  <si>
    <t>KTE2026-230.png</t>
  </si>
  <si>
    <t>KTE2026-231</t>
  </si>
  <si>
    <t>Đánh giá tác động của việc sử dụng nhiên liệu LNG trong logistics đến hiệu quả hoạt động và kinh tế trong chuỗi cung ứng xuất khẩu nông sản Việt Nam</t>
  </si>
  <si>
    <t>Hồ Thị Trang Nhung</t>
  </si>
  <si>
    <t>KTE2026-231.png</t>
  </si>
  <si>
    <t>KTE2026-232</t>
  </si>
  <si>
    <t>Nghiên cứu các động lực hình thành sự chấp nhận của người tiêu dùng đối với mỹ phẩm xanh từ vi tảo: Trường hợp tại thành phố Hồ Chí Minh và một số tỉnh phía Nam</t>
  </si>
  <si>
    <t>Bùi Ngọc Hiếu Thảo; Trần Đông Sun</t>
  </si>
  <si>
    <t>KTE2026-232.png</t>
  </si>
  <si>
    <t>KTE2026-233</t>
  </si>
  <si>
    <t>Nghiên cứu hành vi mua sắm bốc đồng của người tiêu dùng tại thành phố Đà Nẵng trong bối cảnh thương mại xã hội thông qua màn hình thứ hai</t>
  </si>
  <si>
    <t>Nguyễn Thanh Tĩnh; Nguyễn Phạm Mỹ Duyên; Phan Thị Bạch Tuyết; Tạ Thị Lệ Quyên</t>
  </si>
  <si>
    <t>Trường Đại học Đông Á</t>
  </si>
  <si>
    <t>KTE2026-233.png</t>
  </si>
  <si>
    <t>KTE2026-234</t>
  </si>
  <si>
    <t>Ảnh hưởng của trò chơi hóa (gamification) trong thương mại điện tử đến quyết định mua hàng của sinh viên. Trường hợp nghiên cứu tại một cơ sở giáo dục đại học công lập ở TP. HCM</t>
  </si>
  <si>
    <t>Phan Anh Đạt</t>
  </si>
  <si>
    <t>Trường Đại học Lao động - Xã hội (CS2)</t>
  </si>
  <si>
    <t>KTE2026-234.png</t>
  </si>
  <si>
    <t>KTE2026-235</t>
  </si>
  <si>
    <t>Tác động của logistics xanh đối với xuất khẩu hàng hoá thân thiện với môi trường</t>
  </si>
  <si>
    <t>Nguyễn Thị Hồng; Nguyễn Tuấn Hùng; Nguyễn Thị Ngân; Nguyễn Ngọc Phương</t>
  </si>
  <si>
    <t>KTE2026-235.png</t>
  </si>
  <si>
    <t>KTE2026-236</t>
  </si>
  <si>
    <t>Corporate social responsibility disclosure and corporate financial performance: The role of board gender diversity in Vietnamese listed financial and real estate companies</t>
  </si>
  <si>
    <t>Nguyễn Xuân Đức; Phạm Minh Tân</t>
  </si>
  <si>
    <t>KTE2026-236.png</t>
  </si>
  <si>
    <t>KTE2026-237</t>
  </si>
  <si>
    <t>Hiệu ứng FOMO và hành vi tiêu dùng Gen Z trong nền kinh tế số: Nghiên cứu trường hợp sinh viên của Phân hiệu Học viện Hành chính và Quản trị công tại thành phố Hồ Chí Minh</t>
  </si>
  <si>
    <t>Nguyễn Ngọc Sang; Bùi Thị Hồng Đào; Phạm Thị Diệu Linh; Lê Quyền Trân; Võ Thị Thanh Tuyền</t>
  </si>
  <si>
    <t>Học viện Hành chính và Quản trị công</t>
  </si>
  <si>
    <t>KTE2026-237.png</t>
  </si>
  <si>
    <t>KTE2026-238</t>
  </si>
  <si>
    <t>The sociocultural impact of learning, environmentalism, and ethnocentrism on customer engagement with locally pro-environmental products</t>
  </si>
  <si>
    <t>Nguyễn Thị Phương Thảo; Nguyễn Thị Đan Phượng; Võ Hà Gia Minh; Hồ Mạnh Thắng</t>
  </si>
  <si>
    <t>KTE2026-238.png</t>
  </si>
  <si>
    <t>KTE2026-239</t>
  </si>
  <si>
    <t>The impact of green brand trust and brand love on parents’ intention to choose eco-labeled summer camps in Vietnam: The moderating role of parental mindfulness</t>
  </si>
  <si>
    <t>Nguyễn Thu Trang</t>
  </si>
  <si>
    <t>KTE2026-239.png</t>
  </si>
  <si>
    <t>KTE2026-240</t>
  </si>
  <si>
    <t>The impact of the fear of missing out (FOMO) on the impulsive online shopping behavior via TikTok livestream in Vietnam</t>
  </si>
  <si>
    <t>Ngô Vân Giang; Vương Thị Bích Ngọc; Đỗ Hải Yến; Nguyễn Mai Thu Trang</t>
  </si>
  <si>
    <t>KTE2026-240.png</t>
  </si>
  <si>
    <t>KTE2026-241</t>
  </si>
  <si>
    <t>Ảnh hưởng của chuyển đổi đến hiệu quả cá nhân hoá trải nghiệm khách hàng trong khách sạn từ 4 - 5 sao tại thành phố Hồ Chí Minh</t>
  </si>
  <si>
    <t>Bùi Đoàn Trâm Anh; Phạm Võ Kim Ngân</t>
  </si>
  <si>
    <t>KTE2026-241.png</t>
  </si>
  <si>
    <t>KTE2026-242</t>
  </si>
  <si>
    <t>Tương tác cận xã hội và suy giảm tự kiểm soát trong hành vi mua sắm bốc đồng: Bằng chứng từ phân tích điều kiện cần và đủ tại thành phố Hồ Chí Minh</t>
  </si>
  <si>
    <t>Phạm Phương Anh; Lê Nguyễn Bảo Ly; Nguyễn Trần Mỹ Uyên; Hồ Như Thuỷ; Nguyễn Thị Thanh Hằng</t>
  </si>
  <si>
    <t>KTE2026-242.png</t>
  </si>
  <si>
    <t>KTE2026-243</t>
  </si>
  <si>
    <t>Ảnh hưởng của livestream marketing đến ý định mua hàng trực tuyến của người dùng Gen X: Vai trò trung gian của niềm tin</t>
  </si>
  <si>
    <t>Nguyễn Thị Như Quỳnh; Lê Vũ Linh Nguyên</t>
  </si>
  <si>
    <t>KTE2026-243.png</t>
  </si>
  <si>
    <t>KTE2026-244</t>
  </si>
  <si>
    <t>Sự chấp nhận thanh toán không tiền mặt của người tiêu dùng thuộc thế hệ Gen Z và millennials tại thành phố Hồ Chí Minh trong bối cảnh chuyển đổi số</t>
  </si>
  <si>
    <t>Phạm Ngọc Thảo Trang; Phạm Ngọc Mai Phương</t>
  </si>
  <si>
    <t>KTE2026-244.png</t>
  </si>
  <si>
    <t>KTE2026-245</t>
  </si>
  <si>
    <t>Tác động chuyển đổi số đến hiệu suất ESG trong các doanh nghiệp logistics tại thành phố Hồ Chí Minh: Vai trò điều tiết của quy mô doanh nghiệp</t>
  </si>
  <si>
    <t>Phan Anh Thư; Phạm Thị Yến Nhi; Đoàn Dự</t>
  </si>
  <si>
    <t>KTE2026-245.png</t>
  </si>
  <si>
    <t>KTE2026-246</t>
  </si>
  <si>
    <t>From CSR to brand love: Exploring the mediating mechanism of brand trust in campaigns featuring virtual influencers (từ CSR đến tình yêu thương hiệu: Khám phá cơ chế trung gian của niềm tin thương hiệu trong các chiến dịch với người ảnh hưởng ảo)</t>
  </si>
  <si>
    <t>Nguyễn Mai Phương</t>
  </si>
  <si>
    <t>KTE2026-246.png</t>
  </si>
  <si>
    <t>KTE2026-247</t>
  </si>
  <si>
    <t>Ứng dụng mô hình cấu trúc tuyến tính (SEM) nghiên cứu mối quan hệ các yếu tố ảnh hưởng đến hành vi nhảy việc của lực lượng lao động thế hệ z trong ngành bán lẻ</t>
  </si>
  <si>
    <t>Nguyễn Minh Thư; Hoàng Lê Phương Thảo; Nguyễn Huỳnh Anh Thư</t>
  </si>
  <si>
    <t>KTE2026-247.png</t>
  </si>
  <si>
    <t>KTE2026-248</t>
  </si>
  <si>
    <t>Ảnh hưởng của phát trực tiếp đến hành vi mua hàng ngẫu hứng: Vai trò của trải nghiệm dòng chảy và thái độ người dùng về hình thức mua trước trả sau</t>
  </si>
  <si>
    <t>Võ Doãn Gia Hân</t>
  </si>
  <si>
    <t>KTE2026-248.png</t>
  </si>
  <si>
    <t>KTE2026-249</t>
  </si>
  <si>
    <t>Tác động của trải nghiệm logistics đầu – cuối đến sự hài lòng và ý định mua lại trực tuyến của khách hàng tại TP. Hồ Chí Minh</t>
  </si>
  <si>
    <t>Nguyễn Thị Minh Thư; Nguyễn Thị Hồng Mơ; Lê Lương Gia Thuận</t>
  </si>
  <si>
    <t>KTE2026-249.png</t>
  </si>
  <si>
    <t>KTE2026-250</t>
  </si>
  <si>
    <t>Nỗi đau cảm xúc từ tẩy xanh: Cảm nhận bị phản bội thúc đẩy hành vi tẩy chay thương hiệu ở người tiêu dùng Gen Z như thế nào</t>
  </si>
  <si>
    <t>Nguyễn Hoàng Khánh Ngọc; Đoàn Ngọc Minh Khánh</t>
  </si>
  <si>
    <t>KTE2026-250.png</t>
  </si>
  <si>
    <t>KTE2026-251</t>
  </si>
  <si>
    <t>Nhân vật ảo, mua sắm thật: Vai trò của tính nhân hóa và tính tương tác trong thương mại livestream do người có ảnh hưởng ảo thực hiện</t>
  </si>
  <si>
    <t>Trương Hà Vy; Hoàng Nhật Vy; Võ Doãn Gia Hân</t>
  </si>
  <si>
    <t>KTE2026-251.png</t>
  </si>
  <si>
    <t>KTE2026-252</t>
  </si>
  <si>
    <t>Từ scandal người nổi tiếng đến tẩy chay thương hiệu: Giải mã cơ chế hình thành ý định của Gen Z</t>
  </si>
  <si>
    <t>Trần Thanh Nhã; Đàm Gia Hưng; Nguyễn Hồ Gia Bảo; Đặng Nguyễn Kim Tú; Đàm Nguyễn Hữu Thịnh</t>
  </si>
  <si>
    <t>KTE2026-252.png</t>
  </si>
  <si>
    <t>KTE2026-253</t>
  </si>
  <si>
    <t>Thực trạng vận tải hàng hóa và các điều kiện chuyển đổi vận tải xanh tại Đồng Nai giai đoạn 2019–2024 hướng tới mục tiêu Net Zero</t>
  </si>
  <si>
    <t>Lê Nguyễn Bảo Trân; Phạm Thị Huyền Trang</t>
  </si>
  <si>
    <t>KTE2026-253.png</t>
  </si>
  <si>
    <t>KTE2026-254</t>
  </si>
  <si>
    <t>Các nhân tố tác động đến việc tham khảo đánh giá sản phẩm nhằm thúc đẩy định mua sắm trực tuyến của sinh viên khối ngành kinh tế trên địa bàn thành phố Hồ Chí Minh</t>
  </si>
  <si>
    <t>Hồ Minh Thuận; Hứa Thị Ngọc Anh; Đoàn Thị Tuyết Uyên; Nguyễn Hoàng Bảo Trân; Trần Tuấn Vỹ</t>
  </si>
  <si>
    <t>KTE2026-254.png</t>
  </si>
  <si>
    <t>KTE2026-255</t>
  </si>
  <si>
    <t>Giải mã cơ chế hình thành ý định mua hàng của người tiêu dùng dưới áp lực thời gian trong thương mại livestream tại Việt Nam: Góc nhìn tích hợp đa lý thuyết SOR, TAM và ELM</t>
  </si>
  <si>
    <t>Trần Ngọc Bảo Trân; Võ Ngọc Thùy Linh; Đoàn Trang Thu Bội; Phạm Ngọc Duy; Đinh Nguyễn Minh Trí</t>
  </si>
  <si>
    <t>KTE2026-255.png</t>
  </si>
  <si>
    <t>KTE2026-256</t>
  </si>
  <si>
    <t>Trusting the digital self: Exploring the psychological mechanism of 3D virtual try-on adoption among young fashion consumers</t>
  </si>
  <si>
    <t>Nguyễn Thị Loan</t>
  </si>
  <si>
    <t>Trường Đại học CMC</t>
  </si>
  <si>
    <t>KTE2026-256.png</t>
  </si>
  <si>
    <t>KTE2026-257</t>
  </si>
  <si>
    <t>Virtual voices, real behaviors: The impact of AI influencers on health-promoting intention in Vietnam</t>
  </si>
  <si>
    <t>Ngô Tiến Công; Phan Thị Thanh Thủy; Kim Xuân Mai</t>
  </si>
  <si>
    <t>KTE2026-257.png</t>
  </si>
  <si>
    <t>KTE2026-258</t>
  </si>
  <si>
    <t>Mở rộng mô hình TPB: Vai trò của trí tuệ nhân tạo trong việc thúc đẩy ý định mua hàng xanh</t>
  </si>
  <si>
    <t>Phạm Minh Quang; Liên Uyển Nhu; Lê Phương Ánh; Nguyễn Anh Quốc</t>
  </si>
  <si>
    <t>KTE2026-258.png</t>
  </si>
  <si>
    <t>KTE2026-259</t>
  </si>
  <si>
    <t>Nghiên cứu ảnh hưởng của hiệu ứng FOMO đến hành vi mua sắm online của Gen Z tại Hà Nội</t>
  </si>
  <si>
    <t>Hoàng Mạnh Hùng; Ngô Thanh Vân; Lê Vũ Yến Khanh; Nguyễn Mạnh Thoại</t>
  </si>
  <si>
    <t>KTE2026-259.png</t>
  </si>
  <si>
    <t>KTE2026-260</t>
  </si>
  <si>
    <t>Tác động của ứng dụng ERP trong doanh nghiệp dệt may đến người tiêu dùng cuối cùng ở Việt Nam</t>
  </si>
  <si>
    <t>Trần Thị Thu Thành; Hồ Thị Thùy Linh; Vũ Thanh An</t>
  </si>
  <si>
    <t>KTE2026-260.png</t>
  </si>
  <si>
    <t>KTE2026-261</t>
  </si>
  <si>
    <t>Tác động của hình ảnh văn hóa dân gian trong quảng cáo đến cảm xúc và lòng trung thành thương hiệu của giới trẻ tại thành phố Hồ Chí Minh: Nghiên cứu trong ngành thực phẩm và đồ uống (F&amp;B)</t>
  </si>
  <si>
    <t>Võ Xuân Đại; Nguyễn Thị Thanh Diễm; Nguyễn Như Cầm</t>
  </si>
  <si>
    <t>KTE2026-261.png</t>
  </si>
  <si>
    <t>KTE2026-262</t>
  </si>
  <si>
    <t>Tác động của chatbot và trợ lý ảo đến chất lượng dịch vụ logistics khách hàng</t>
  </si>
  <si>
    <t>Vũ Khánh Linh; Nguyễn Quỳnh Trang; Nguyễn Diệu Linh</t>
  </si>
  <si>
    <t>KTE2026-262.png</t>
  </si>
  <si>
    <t>KTE2026-263</t>
  </si>
  <si>
    <t>Nghiên cứu tác động của quảng cáo bằng video ngắn dựa trên AI đến hành vi mua sắm sản phẩm thời trang của sinh viên tại thành phố Hồ Chí Minh</t>
  </si>
  <si>
    <t>Đào Chí Mãi; Lê Thị Mỹ Phúc</t>
  </si>
  <si>
    <t>Phân hiệu Trường Đại học Giao thông vận tải tại TP. Hồ Chí Minh</t>
  </si>
  <si>
    <t>KTE2026-263.png</t>
  </si>
  <si>
    <t>KTE2026-264</t>
  </si>
  <si>
    <t>Nghiên cứu tác động của các nhân tố cá nhân đến hành vi đổi mới sáng tạo của sinh viên tại thành phố Hồ Chí Minh</t>
  </si>
  <si>
    <t>Trương Thị Diễm Phúc; Đinh Thảo Vy; Nguyễn Thị Kim Hiếu; Huỳnh Quốc Duy; Đoàn Mẫn Đạt</t>
  </si>
  <si>
    <t>KTE2026-264.png</t>
  </si>
  <si>
    <t>KTE2026-265</t>
  </si>
  <si>
    <t>Động lực học tập của sinh viên trong môi trường học tập vi mô (micro-learning): Nghiên cứu trường hợp chiến dịch LearnOnTikTok tại thành phố Hồ Chí Minh</t>
  </si>
  <si>
    <t>Hứa Phương Quỳnh; Nguyễn Hoàng Nhật; Lâm Thị Mộng Băng</t>
  </si>
  <si>
    <t>KTE2026-265.png</t>
  </si>
  <si>
    <t>KTE2026-266</t>
  </si>
  <si>
    <t>Trải nghiệm tương tác với chatbot AI trong mua sắm trực tuyến: Phân tích vai trò của đặc tính chatbot, thái độ và nhận thức về nhân hóa</t>
  </si>
  <si>
    <t>Hà Kim Yến; Nguyễn Huỳnh Thụy Vy; Nguyễn Huy Phúc</t>
  </si>
  <si>
    <t>KTE2026-266.png</t>
  </si>
  <si>
    <t>KTE2026-267</t>
  </si>
  <si>
    <t>Ảnh hưởng của khủng hoảng bản sắc nghề nghiệp trong việc đưa ra quyết định chọn nghề của sinh viên tại thành phố Hồ Chí Minh</t>
  </si>
  <si>
    <t>Đào Thị Thúy Hằng; Dương Thị Mỹ Xuân; Phan Trương Hoài Bảo</t>
  </si>
  <si>
    <t>KTE2026-267.png</t>
  </si>
  <si>
    <t>KTE2026-268</t>
  </si>
  <si>
    <t>Những yếu tố ảnh hưởng đến định hướng nghề nghiệp của sinh viên Trường Đại học Tài chính-Quản trị kinh doanh</t>
  </si>
  <si>
    <t>Phạm Hà Phương; Nguyễn Thị Vân Anh; Phạm Phương Anh</t>
  </si>
  <si>
    <t>KTE2026-268.png</t>
  </si>
  <si>
    <t>KTE2026-269</t>
  </si>
  <si>
    <t>Năng lực cạnh tranh, niềm tin vào năng lượng khởi nghiệp và ý định khởi nghiệp bền vững của sinh viên đại học: Vai trò điều tiết của sự nhạy bén</t>
  </si>
  <si>
    <t>Võ Thị Mai Trinh; Đoàn Như Ngọc</t>
  </si>
  <si>
    <t>KTE2026-269.png</t>
  </si>
  <si>
    <t>KTE2026-270</t>
  </si>
  <si>
    <t>From green commitment to corporate sustainability: A staged digital – green conversion model</t>
  </si>
  <si>
    <t>Nguyễn Hoàng Trà My; Lê Huỳnh Ngọc Dung; Nguyễn Ngọc Thanh Trà</t>
  </si>
  <si>
    <t>KTE2026-270.png</t>
  </si>
  <si>
    <t>KTE2026-271</t>
  </si>
  <si>
    <t>Ảnh hưởng từ nội dung do người dùng tạo ra đến hành vi mua hàng ngẫu hứng trên TikTok của thế hệ Gen Z tại thành phố Hồ Chí Minh</t>
  </si>
  <si>
    <t>Đỗ Phạm Thảo Nguyên; Nguyễn Thị Thuý Hoài; Lê Huỳnh Ngọc Dung; Lê Đặng Đông Nguyên</t>
  </si>
  <si>
    <t>KTE2026-271.png</t>
  </si>
  <si>
    <t>KTE2026-272</t>
  </si>
  <si>
    <t>Phân tích yếu tố ảnh hưởng tới hành vi mua hàng sản phẩm ngành hàng tiêu dùng nhanh (FMCG) có bao bì tái chế của người tiêu dùng Gen Z tại Hà Nội</t>
  </si>
  <si>
    <t>Cù Thị Mai Anh; Tô Tôn Như; Mai Phương Thảo</t>
  </si>
  <si>
    <t>KTE2026-272.png</t>
  </si>
  <si>
    <t>KTE2026-273</t>
  </si>
  <si>
    <t>When AI becomes the streamer: How AI-powered digital hosts shape consumer purchase intentions in livestream commerce</t>
  </si>
  <si>
    <t>Trần Nhật Lam; Nguyễn Ngọc Anh; Huỳnh Quang Thái; Nguyễn Thanh Nhàn; Đặng Ngọc Yến</t>
  </si>
  <si>
    <t>Trường Đại học FPT</t>
  </si>
  <si>
    <t>KTE2026-273.png</t>
  </si>
  <si>
    <t>KTE2026-274</t>
  </si>
  <si>
    <t>Ảnh hưởng của văn hóa giao tiếp trong kinh doanh đến hiệu quả phối hợp giao nhận quốc tế tuyến Việt – Trung: Nghiên cứu thực tiễn tại Công ty Cổ phần Giao nhận Vận tải Quốc tế LACCO</t>
  </si>
  <si>
    <t>Nguyễn Minh Ngọc</t>
  </si>
  <si>
    <t>Trường Đại học Công nghệ Miền Đông</t>
  </si>
  <si>
    <t>KTE2026-274.png</t>
  </si>
  <si>
    <t>KTE2026-275</t>
  </si>
  <si>
    <t>Ảnh hưởng của quảng cáo hình ảnh do AI tạo ra đến niềm tin thương hiệu và ý định mua hàng của sinh viên tại Đồng Nai: Nghiên cứu trong lĩnh vực F&amp;B</t>
  </si>
  <si>
    <t>Hồ Thị Hoàng Vân; Võ Thanh Ngân; Nguyễn Thanh Xuân</t>
  </si>
  <si>
    <t>KTE2026-275.png</t>
  </si>
  <si>
    <t>KTE2026-276</t>
  </si>
  <si>
    <t>The impact of vintage visual design cues on online purchase intention and willingness to pay: The mediating roles of vintage anemoia and personal nostalgia</t>
  </si>
  <si>
    <t>Lâm Gia Bảo; Nguyễn Đức Huy; Lê Thị Tường Vi; Võ Trương Yến Vy; Tô Ngọc Lan Anh</t>
  </si>
  <si>
    <t>KTE2026-276.png</t>
  </si>
  <si>
    <t>KTE2026-277</t>
  </si>
  <si>
    <t>Tác động của trải nghiệm mua hàng đến ý định mua lặp lại trên sàn thương mại điện tử của sinh viên nghiên cứu tại Trường Đại học Công nghệ Miền Đông</t>
  </si>
  <si>
    <t>Cao Hữu Bảo; Nguyễn Trần Phương Anh; Nguyễn Mộng Cầm; Nguyễn Đức Thành Trung</t>
  </si>
  <si>
    <t>KTE2026-277.png</t>
  </si>
  <si>
    <t>KTE2026-278</t>
  </si>
  <si>
    <t>Ảnh hưởng của quảng cáo số về tiêu dùng xanh trên TikTok đến hành vi FOMO và xu hướng tiêu dùng xanh của sinh viên tại các trường đại học trên địa bàn TP.HCM</t>
  </si>
  <si>
    <t>Tề Ngọc Bảo Trâm</t>
  </si>
  <si>
    <t>KTE2026-278.png</t>
  </si>
  <si>
    <t>KTE2026-279</t>
  </si>
  <si>
    <t>Ảnh hưởng của virtual influencer đến ý định mua của Gen Z tại thành phố Hồ Chí Minh</t>
  </si>
  <si>
    <t>Võ Nhựt Khởi; Nguyễn Trần Yến Nhi; Châu Thị Huỳnh Như</t>
  </si>
  <si>
    <t>KTE2026-279.png</t>
  </si>
  <si>
    <t>KTE2026-280</t>
  </si>
  <si>
    <t>Các yếu tố ảnh hưởng đến phát triển logistics lạnh xanh cho doanh nghiệp xuất khẩu nông sản tại thành phố Đồng Nai</t>
  </si>
  <si>
    <t>Bùi Thị Oanh; Nguyễn Thị Tường Vy; Nguyễn Xuân Bảo; Trần Đăng Khoa; Võ Lâm Minh Hòa</t>
  </si>
  <si>
    <t>KTE2026-280.png</t>
  </si>
  <si>
    <t>KTE2026-281</t>
  </si>
  <si>
    <t>Ảnh hưởng của quảng cáo xanh trên mạng xã hội đến ý định mua của Gen Z tại Việt Nam: Vai trò trung gian của FOMO</t>
  </si>
  <si>
    <t>Nguyễn Tuấn Hùng; Phạm Văn Long; Phạm Ngọc Thơ</t>
  </si>
  <si>
    <t>KTE2026-281.png</t>
  </si>
  <si>
    <t>KTE2026-282</t>
  </si>
  <si>
    <t>Các yếu tố ảnh hưởng đến quyết định sử dụng trí tuệ nhân tạo của sinh viên các trường đại học tại thành phố Hồ Chí Minh</t>
  </si>
  <si>
    <t>Nguyễn Phi Tân; Tạ Đình Khôi Nguyên</t>
  </si>
  <si>
    <t>KTE2026-282.png</t>
  </si>
  <si>
    <t>KTE2026-283</t>
  </si>
  <si>
    <t>The impact of greenwashing on green purchasing behavior: The moderating role of blockchain-based traceability technology</t>
  </si>
  <si>
    <t>Nguyễn Thành Trung; Phan Thị Thu Cẩm; Ngô Gia Hân; Nguyễn Thị Hồng Ngọc</t>
  </si>
  <si>
    <t>KTE2026-283.png</t>
  </si>
  <si>
    <t>KTE2026-284</t>
  </si>
  <si>
    <t>Examining chatbots’ core attributes in shaping generation Z customer behavior within e-commerce context in Vietnam: An application of SOBC model</t>
  </si>
  <si>
    <t>Nguyễn Thị Ngọc Linh; Lê Thanh Ngọc Linh; Hồ Phạm Mai Lê; Đỗ Kim Ngân; Triệu Yến Nhi</t>
  </si>
  <si>
    <t>KTE2026-284.png</t>
  </si>
  <si>
    <t>KTE2026-285</t>
  </si>
  <si>
    <t>Cấu trúc thông tin trong đánh giá trực tuyến đa thuộc tính: Tiếp cận dựa trên phương pháp xử lý ngôn ngữ tự nhiên</t>
  </si>
  <si>
    <t>Ngô Thị Nhã Trang; Huỳnh Ngọc Thục Trinh</t>
  </si>
  <si>
    <t>KTE2026-285.png</t>
  </si>
  <si>
    <t>KTE2026-286</t>
  </si>
  <si>
    <t>Tác động của các hoạt động tiếp thị trên mạng xã hội đến ý định mua hàng của người tiêu dùng trên TikTok Shop: Vai trò trung gian của sự tin tưởng và sự gắn kết của khách hàng</t>
  </si>
  <si>
    <t>Nguyễn Thị Thoa; Hoàng Thị Thanh Thủy; Huỳnh Thị Trang</t>
  </si>
  <si>
    <t>Trường Cao đẳng Công thương TP. Hồ Chí Minh</t>
  </si>
  <si>
    <t>KTE2026-286.png</t>
  </si>
  <si>
    <t>KTE2026-287</t>
  </si>
  <si>
    <t>Nghiên cứu các yếu tố ảnh hưởng đến hoạt động marketing xanh trong môi trường thương mại điện tử dưới góc nhìn của sinh viên thành phố Hồ Chí Minh</t>
  </si>
  <si>
    <t>Phạm Thị Bích Viên; Nguyễn Hồng Hân; Trương Huệ Mẫn</t>
  </si>
  <si>
    <t>KTE2026-287.png</t>
  </si>
  <si>
    <t>KTE2026-288</t>
  </si>
  <si>
    <t>Ảnh hưởng của greenwashing và thái độ thương hiệu đến ý định mua sản phẩm của Gen Z tại thành phố Hồ Chí Minh</t>
  </si>
  <si>
    <t>Nguyễn Phúc Hậu; Trần Đình Quang Nhật; Trần Thị Huyền Trang; Lê Thị Ngọc Tình</t>
  </si>
  <si>
    <t>KTE2026-288.png</t>
  </si>
  <si>
    <t>KTE2026-289</t>
  </si>
  <si>
    <t>Nghiên cứu các yếu tố ảnh hưởng đến ý định tham gia hoạt động thiện nguyện của sinh viên tại TP.HCM</t>
  </si>
  <si>
    <t>Nguyễn Hữu Cảnh; Nguyễn Yến Nhi</t>
  </si>
  <si>
    <t>KTE2026-289.png</t>
  </si>
  <si>
    <t>KTE2026-290</t>
  </si>
  <si>
    <t>Tác động lưỡng cực của quản trị nguồn nhân lực định hướng trí tuệ nhân tạo đến hạnh phúc nơi làm việc: Cơ chế trung gian tâm lý - hành vi và vai trò điều tiết của tái cấu trúc nhiệm vụ</t>
  </si>
  <si>
    <t>Nguyễn Phương Linh; Lê Phạm Ngọc Hà; Bùi An Huy; Lê Ngọc Linh; Lê Nhật Minh</t>
  </si>
  <si>
    <t>KTE2026-290.png</t>
  </si>
  <si>
    <t>KTE2026-291</t>
  </si>
  <si>
    <t>Nghiên cứu tác động mạng xã hội đến hành vi tiêu dùng của thế hệ Gen Alpha tại khu vực tỉnh Tây Ninh</t>
  </si>
  <si>
    <t>Phạm Huỳnh Cẩm Tú; Đặng Nguyễn Duy</t>
  </si>
  <si>
    <t>KTE2026-291.png</t>
  </si>
  <si>
    <t>KTE2026-292</t>
  </si>
  <si>
    <t>How digital transformation drives employee innovation in SMEs: A moderated mediation perspective</t>
  </si>
  <si>
    <t>Đào Phương Hạnh; Vũ Diệu Kiều Anh; Đỗ Bảo Quyên; Nguyễn Minh Tuấn</t>
  </si>
  <si>
    <t>KTE2026-292.png</t>
  </si>
  <si>
    <t>KTE2026-293</t>
  </si>
  <si>
    <t>Determinants of digital trust among digital consumer in the digital era: The moderating role of perceived AI and deepfake risk</t>
  </si>
  <si>
    <t>Nguyễn Thị Trà My; Hoàng Nguyễn Ngọc Hân; Lê Trung Nhật; Ngô Thị Thùy Trâm; Ngô Thị Mỹ Yến</t>
  </si>
  <si>
    <t>KTE2026-293.png</t>
  </si>
  <si>
    <t>KTE2026-294</t>
  </si>
  <si>
    <t>Stimulus matters: How entertainment, usefulness, and social presence on TikTok drive purchase intention through short video content – driven digital dependency among Vietnam National University students</t>
  </si>
  <si>
    <t>Nguyễn Thị Hồng Phương; Phan Công Huỳnh Hương</t>
  </si>
  <si>
    <t>KTE2026-294.png</t>
  </si>
  <si>
    <t>KTE2026-295</t>
  </si>
  <si>
    <t>Động lực tiêu dùng hợp tác và ý định tham gia giao dịch trực tuyến hàng hóa đã qua sử dụng của người tiêu dùng tại thành phố Hồ Chí Minh</t>
  </si>
  <si>
    <t>Nguyễn Hà Duy</t>
  </si>
  <si>
    <t>KTE2026-295.png</t>
  </si>
  <si>
    <t>KTE2026-296</t>
  </si>
  <si>
    <t>The online shopping cart abandonment behavior on e-commerce platforms among Gen Z in Vietnam: Causes and solutions</t>
  </si>
  <si>
    <t>Nguyễn Thị Thanh Thảo; Phạm Minh Phương; Nguyễn Thu Huyền; Hoàng Lê Hương Giang</t>
  </si>
  <si>
    <t>KTE2026-296.png</t>
  </si>
  <si>
    <t>KTE2026-297</t>
  </si>
  <si>
    <t>Các đặc điểm của AI streamer ảnh hưởng đến ý định mua hàng trong live commerce</t>
  </si>
  <si>
    <t>Lê Thị Hải Nhi; Trần Thị Na; Đỗ Quốc Khánh; Vũ Trọng Huy; Đỗ Hữu Nghĩa</t>
  </si>
  <si>
    <t>KTE2026-297.png</t>
  </si>
  <si>
    <t>KTE2026-298</t>
  </si>
  <si>
    <t>Ảnh hưởng của quảng cáo bằng trí tuệ nhân tạo đến hành vi mua sắm ngẫu hứng của người tiêu dùng tại thành phố Hồ Chí Minh: Tiếp cận theo mô hình S-O-R</t>
  </si>
  <si>
    <t>Nguyễn Thanh Huấn; Quach Thị Kim Chi; Trần Khánh Hưng; Nguyễn Thúy Nhiên; Nguyễn Thị Trinh</t>
  </si>
  <si>
    <t>KTE2026-298.png</t>
  </si>
  <si>
    <t>KTE2026-299</t>
  </si>
  <si>
    <t>Các yếu tố ảnh hưởng đến ý định chuyển đổi xanh trong doanh nghiệp logistics tại TP. Hồ Chí Minh giai đoạn 2021-2025</t>
  </si>
  <si>
    <t>Lê Nguyễn Phi Long; Trần Kim Ngân; Vũ Thị Trang</t>
  </si>
  <si>
    <t>Trường Đại học Thủ Dầu Một</t>
  </si>
  <si>
    <t>KTE2026-299.png</t>
  </si>
  <si>
    <t>KTE2026-300</t>
  </si>
  <si>
    <t>Các yếu tố tác động đến sự hài lòng của sinh viên Trường Đại học Thủ Dầu Một đối với dịch vụ chuyển phát nhanh J&amp;T Express</t>
  </si>
  <si>
    <t>Lê Thị Mai; Lê Nguyễn Phi Long; Trần Kim Ngân; Dương Thị Khánh Ly</t>
  </si>
  <si>
    <t>KTE2026-300.png</t>
  </si>
  <si>
    <t>KTE2026-301</t>
  </si>
  <si>
    <t>The impact of blockchain-based traceability and perceived environmental practices on perceived greenwashing and purchase behavior of imported agricultural products in Vietnam: The role of green trust</t>
  </si>
  <si>
    <t>Phan Khánh Linh; Hoàng Thị Quỳnh Hoa; Cao Như Huyền; Võ Thị Nhật Hoàng</t>
  </si>
  <si>
    <t>KTE2026-301.png</t>
  </si>
  <si>
    <t>KTE2026-302</t>
  </si>
  <si>
    <t>Nghiên cứu ảnh hưởng của mạng xã hội TikTok đến ý định mua hàng xanh của giới trẻ trên địa bàn Bắc Trung Bộ</t>
  </si>
  <si>
    <t>Trần Thị Trinh; Đinh Thị Thu Hà; Nguyễn Thị Hoa; Nguyễn Quỳnh Chi</t>
  </si>
  <si>
    <t>Trường Đại học Vinh</t>
  </si>
  <si>
    <t>KTE2026-302.png</t>
  </si>
  <si>
    <t>KTE2026-303</t>
  </si>
  <si>
    <t>Lãnh đạo hỗ trợ và kết quả làm việc của nhân viên bán thời gian trong ngành thực phẩm - đồ uống: Vai trò của sự hài lòng công việc và sự rõ ràng vai trò</t>
  </si>
  <si>
    <t>Nguyễn Thị Ngọc Mai; Thân Thị Quỳnh Hương; Trần Nhật Phương; Huỳnh Duy Tùng; Vũ Ánh Tuyết</t>
  </si>
  <si>
    <t>Học viện Công nghệ Bưu chính Viễn thông</t>
  </si>
  <si>
    <t>KTE2026-303.png</t>
  </si>
  <si>
    <t>KTE2026-304</t>
  </si>
  <si>
    <t>Augmentation or fallback? A dual-process model of AI autonomy and human-AI teaming in surrogate shopping</t>
  </si>
  <si>
    <t>Lý Hoàng Anh; Phạm Ngọc Thanh Bình; Ngô Thị Khánh Nhi; Nguyễn Thiện Nhân</t>
  </si>
  <si>
    <t>KTE2026-304.png</t>
  </si>
  <si>
    <t>KTE2026-305</t>
  </si>
  <si>
    <t>Ảnh hưởng của độ ‘cool’ thương hiệu đến hành vi ủng hộ thương hiệu thông qua sở hữu tâm lý trong các cộng đồng thương hiệu ảo ngành thời trang</t>
  </si>
  <si>
    <t>Nguyễn Lê Vy</t>
  </si>
  <si>
    <t>KTE2026-305.png</t>
  </si>
  <si>
    <t>KTE2026-306</t>
  </si>
  <si>
    <t>Tác động của đánh giá sao trong niềm tin cảm nhận khi mua sắm trực tuyến trên Shopee của người tiêu dùng trẻ khu vực thành phố Hồ Chí Minh</t>
  </si>
  <si>
    <t>Trần Hoàng Hải; Mai Khánh Duy; Trần Lê Minh; Huỳnh Quốc Tuấn; Trần Trí Dũng</t>
  </si>
  <si>
    <t>KTE2026-306.png</t>
  </si>
  <si>
    <t>KTE2026-307</t>
  </si>
  <si>
    <t>Phản ứng bất cân xứng của người tiêu dùng đối với thương hiệu và KOL trong khủng hoảng quảng cáo sai lệch: Vai trò của tiêu điểm truyền thông và tính hai mặt của sự đồng nhất với KOL</t>
  </si>
  <si>
    <t>Hứa Đức Trọng; Phan Mạnh Khải; Bùi Thị Cẩm Vân; Nguyễn Thanh Thảo Tiên; Huỳnh Trung Thiện</t>
  </si>
  <si>
    <t>KTE2026-307.png</t>
  </si>
  <si>
    <t>KTE2026-308</t>
  </si>
  <si>
    <t>Các yếu tố ảnh hưởng đến niềm tin của Gen Z đối với thông tin ESG do doanh nghiệp truyền thông tại thành phố Hồ Chí Minh: Vai trò của nhận thức greenwashing</t>
  </si>
  <si>
    <t>Hoàng Phương Uyên; Trần Thị Thanh Tâm</t>
  </si>
  <si>
    <t>KTE2026-308.png</t>
  </si>
  <si>
    <t>KTE2026-309</t>
  </si>
  <si>
    <t>Designing human-centered AI chatbots: How conversational humanization, consumer personality, and shopping goals shape purchase intention</t>
  </si>
  <si>
    <t>Nguyễn Ngọc Minh Thư; Phạm Bảo Khánh Ngân; Châu Gia Linh; Võ Duy Hoàng</t>
  </si>
  <si>
    <t>KTE2026-309.png</t>
  </si>
  <si>
    <t>KTE2026-310</t>
  </si>
  <si>
    <t>Các yếu tố ảnh hưởng đến hành vi mua ngẫu hứng trên nền tảng TikTok của Gen Z tại thành phố Hà Nội</t>
  </si>
  <si>
    <t>Nguyễn Đỗ Anh Thư; Nguyễn Thị Trà My; Lê Phương Linh; Nguyễn Thúy Hường; Dương Thị Hải Hà</t>
  </si>
  <si>
    <t>Trường Đại học Thủ đô Hà Nội</t>
  </si>
  <si>
    <t>KTE2026-310.png</t>
  </si>
  <si>
    <t>KTE2026-311</t>
  </si>
  <si>
    <t>Tích hợp mô hình UTAUT-TTF nhằm nghiên cứu các yếu tố thúc đẩy hành vi sử dụng tuyến metro số 1 cho mục đích du lịch văn hóa của du khách tại thành phố Hồ Chí Minh: Góc nhìn mới về vai trò của giao thông công cộng</t>
  </si>
  <si>
    <t>Phan Nguyễn Xuân Mai; Hoàng Thái Khánh Huyền; Đỗ Thị Phương Thủy; Nguyễn Lê Phương Thuỳ</t>
  </si>
  <si>
    <t>KTE2026-311.png</t>
  </si>
  <si>
    <t>KTE2026-312</t>
  </si>
  <si>
    <t>Ảnh hưởng của trí tuệ nhân tạo (AI) đến niềm tin thương hiệu của Gen Z tại thành phố Hồ Chí Minh</t>
  </si>
  <si>
    <t>Đặng Hà Thanh; Phạm Thị Hà Trang; Lê Thị Yến Nhi; Phạm Thị Hồng Thủy</t>
  </si>
  <si>
    <t>KTE2026-312.png</t>
  </si>
  <si>
    <t>KTE2026-313</t>
  </si>
  <si>
    <t>Các yếu tố ảnh hưởng đến ý định sử dụng phương thức thanh toán mua trước trả sau (BNPL) trong mua sắm trực tuyến của người tiêu dùng tại thành phố Hồ Chí Minh</t>
  </si>
  <si>
    <t>Trần Ngọc Vấn; Hồ Thị Cẩm Tiên; Phùng Thị Thùy Như; Trần Quang Phát Huy</t>
  </si>
  <si>
    <t>KTE2026-313.png</t>
  </si>
  <si>
    <t>KTE2026-314</t>
  </si>
  <si>
    <t>Nghiên cứu ý định mua sản phẩm xanh của thế hệ z dưới tác động của đánh giá video từ người có sức ảnh hưởng: Tái định vị vai trò hoài nghi quảng cáo xanh</t>
  </si>
  <si>
    <t>Trần Trung Kiên; Lê Trần Thục Như</t>
  </si>
  <si>
    <t>KTE2026-314.png</t>
  </si>
  <si>
    <t>KTE2026-315</t>
  </si>
  <si>
    <t>Các yếu tố ảnh hưởng đến quyết định mua sắm trực tuyến hàng tiêu dùng nhanh (FMCG) của sinh viên tại thành phố Hồ Chí Minh: Sự phát triển của FMCG trong chuyển đổi số</t>
  </si>
  <si>
    <t>Trương Quang Khải; Nguyễn Hoàng Lan Nhi; Đỗ Bảo Nguyên</t>
  </si>
  <si>
    <t>KTE2026-315.png</t>
  </si>
  <si>
    <t>KTE2026-316</t>
  </si>
  <si>
    <t>Các yếu tố quyết định sự thành công của việc triển khai bảo trì năng suất toàn diện (TPM) tại các doanh nghiệp sản xuất ở Việt Nam</t>
  </si>
  <si>
    <t>Lưu Nguyễn Thảo Nguyên; Định Tuấn; Vũ Thanh Tùng</t>
  </si>
  <si>
    <t>KTE2026-316.png</t>
  </si>
  <si>
    <t>KTE2026-317</t>
  </si>
  <si>
    <t>Các yếu tố tác động đến ý định tham gia thương mại điện tử xuyên biên giới của giới trẻ Việt Nam</t>
  </si>
  <si>
    <t>Đặng Phúc Thiên; Nguyễn Hoàng Dung; Trương Nhật Trường; Mai Khánh Thuận</t>
  </si>
  <si>
    <t>KTE2026-317.png</t>
  </si>
  <si>
    <t>KTE2026-318</t>
  </si>
  <si>
    <t>Giải mã greenwashing qua cơ chế nhận thức - cảm xúc - hành vi. Vai trò trung gian của niềm tin trong việc hình thành ý định mua hàng xanh của người tiêu dùng tại thành phố Hồ Chí Minh</t>
  </si>
  <si>
    <t>Trần Thị Kim Ngân; Đinh Ngọc Tuyền; Phạm Thị Thơm; Võ Thị Cẩm Tú</t>
  </si>
  <si>
    <t>KTE2026-318.png</t>
  </si>
  <si>
    <t>KTE2026-319</t>
  </si>
  <si>
    <t>Physical versus mental humanlikeness: Which drives purchase intention? The moderating role of luminary in virtual influencer marketing</t>
  </si>
  <si>
    <t>Nguyễn Anh Phương; Lê Trần Thanh Tú; Nguyễn Hoàng Cát Tiên</t>
  </si>
  <si>
    <t>KTE2026-319.png</t>
  </si>
  <si>
    <t>KTE2026-320</t>
  </si>
  <si>
    <t>Ảnh hưởng của logistics xanh đến sự hài lòng và sự trung thành của thế hệ trẻ tại thành phố Hồ Chí Minh trong mua sắm trực tuyến</t>
  </si>
  <si>
    <t>Nguyễn Thị Cẩm Nhung; Nguyễn Lê Hồng Phường; Nguyễn Trần Lệ Quyên</t>
  </si>
  <si>
    <t>KTE2026-320.png</t>
  </si>
  <si>
    <t>KTE2026-321</t>
  </si>
  <si>
    <t>Ảnh hưởng của greenwashing đến ý định mua hàng xanh của người tiêu dùng tại thành phố Hồ Chí Minh</t>
  </si>
  <si>
    <t>Nguyễn Thanh Tân; Nguyễn Hoàng Mai Duyên; Lê Thị Triệu Vi; Trần Thị Mai Quỳnh</t>
  </si>
  <si>
    <t>KTE2026-321.png</t>
  </si>
  <si>
    <t>KTE2026-322</t>
  </si>
  <si>
    <t>Ảnh hưởng của nỗi sợ bỏ lỡ và tình yêu thương hiệu đến hành vi mua sắm cưỡng chế đối với Gen Z tại thành phố Hồ Chí Minh: Vai trò trung gian của niềm đam mê thương hiệu cưỡng bức</t>
  </si>
  <si>
    <t>Nguyễn Quang Bình; Lý Gia Huy; Ngô Thị Diễm Hương; Nguyễn Vũ Khánh Ngân; Nguyễn Ngọc Kim Thư</t>
  </si>
  <si>
    <t>KTE2026-322.png</t>
  </si>
  <si>
    <t>KTE2026-323</t>
  </si>
  <si>
    <t>Thương hiệu cá nhân trên TikTok Shop và tác động đến hành vi mua hàng online của Gen Z Việt Nam</t>
  </si>
  <si>
    <t>Bùi Thị Thu Nguyên</t>
  </si>
  <si>
    <t>Trường Đại học Hải Phòng</t>
  </si>
  <si>
    <t>KTE2026-323.png</t>
  </si>
  <si>
    <t>KTE2026-324</t>
  </si>
  <si>
    <t>Tác động của sự tương tác với trí tuệ nhân tạo tạo sinh (GAI) đến kết quả học tập của sinh viên tại Đồng Nai: Vai trò trung gian của sự gắn kết học tập</t>
  </si>
  <si>
    <t>Đỗ Nguyễn Thảo Vân; Nguyễn Thị Khánh Linh</t>
  </si>
  <si>
    <t>Trường Đại học Lạc Hồng</t>
  </si>
  <si>
    <t>KTE2026-324.png</t>
  </si>
  <si>
    <t>KTE2026-325</t>
  </si>
  <si>
    <t>The impact of electronic word-of-mouth on enrollment intention at an IELTS training center</t>
  </si>
  <si>
    <t>Ngô Phước Tài</t>
  </si>
  <si>
    <t>KTE2026-325.png</t>
  </si>
  <si>
    <t>KTE2026-326</t>
  </si>
  <si>
    <t>Perceived pun characteristics and electronic word-of-mouth intention in social commerce advertising</t>
  </si>
  <si>
    <t>Nguyễn Hồng Phúc</t>
  </si>
  <si>
    <t>KTE2026-326.png</t>
  </si>
  <si>
    <t>KTE2026-327</t>
  </si>
  <si>
    <t>Phygital museum experience and cultural engagement (Gen Z)</t>
  </si>
  <si>
    <t>Nguyễn Võ Yến Phương</t>
  </si>
  <si>
    <t>KTE2026-327.png</t>
  </si>
  <si>
    <t>KTE2026-328</t>
  </si>
  <si>
    <t>Impulsive to compulsive: A study on the factors affecting buying behavior on TikTok Live and its potential progression to compulsive buying among Vietnam youth</t>
  </si>
  <si>
    <t>Nguyễn Thị Thanh Hiền; Đàm Thị Mỹ Tâm; Phạm Anh Thy; Nguyễn Thị Phương Uyên</t>
  </si>
  <si>
    <t>KTE2026-328.png</t>
  </si>
  <si>
    <t>KTE2026-329</t>
  </si>
  <si>
    <t>Exploring how AI chatbots influence customer loyalty among generation Z on e-commerce platforms</t>
  </si>
  <si>
    <t>Phạm Trần Cát Tường</t>
  </si>
  <si>
    <t>KTE2026-329.png</t>
  </si>
  <si>
    <t>KTE2026-330</t>
  </si>
  <si>
    <t>Try it on, keep it on? How augmented reality shapes purchase and return intentions in online fashion retailing</t>
  </si>
  <si>
    <t>Đỗ Phương Uyên</t>
  </si>
  <si>
    <t>KTE2026-330.png</t>
  </si>
  <si>
    <t>KTE2026-331</t>
  </si>
  <si>
    <t>Understanding phygital brand experience in beauty retail: The roles of utility-oriented and immersion-oriented cues</t>
  </si>
  <si>
    <t>Lưu Thị Thu Hương</t>
  </si>
  <si>
    <t>KTE2026-331.png</t>
  </si>
  <si>
    <t>KTE2026-332</t>
  </si>
  <si>
    <t>Investigating the impact of AI virtual streamer attributes on willingness to buy of viewers in the live streaming context</t>
  </si>
  <si>
    <t>Cao Hoàng Trúc Tâm</t>
  </si>
  <si>
    <t>KTE2026-332.png</t>
  </si>
  <si>
    <t>KTE2026-333</t>
  </si>
  <si>
    <t>The dark side of digital finance: Analyzing the impact of ‘buy now, pay later’ (BNPL) services on impulsive consumption and financial self - control among Gen Z</t>
  </si>
  <si>
    <t>Nguyễn Minh Thương</t>
  </si>
  <si>
    <t>KTE2026-333.png</t>
  </si>
  <si>
    <t>KTE2026-334</t>
  </si>
  <si>
    <t>Phân tích các yếu tố ảnh hưởng đến năng lực sáng tạo của sinh viên Trường Đại học Bạc Liêu</t>
  </si>
  <si>
    <t>Liêu Huỳnh Bảo Nghi; Trần Bá Duy; Lê Nhật Huy; Đặng Chí Thông</t>
  </si>
  <si>
    <t>Trường Đại học Bạc Liêu</t>
  </si>
  <si>
    <t>KTE2026-334.png</t>
  </si>
  <si>
    <t>KTE2026-335</t>
  </si>
  <si>
    <t>Nghiên cứu biến động giá đất ở trên địa bàn xã Thạch Thất, thành phố Hà Nội</t>
  </si>
  <si>
    <t>Nguyễn Minh Ngọc; Đào Thị Thu Hương; Tạ Thị Minh Phương; Nguyễn Hoàng Hiệp</t>
  </si>
  <si>
    <t>Trường Đại học Tài nguyên và Môi trường Hà Nội</t>
  </si>
  <si>
    <t>KTE2026-335.png</t>
  </si>
  <si>
    <t>KTE2026-336</t>
  </si>
  <si>
    <t>Đánh giá các yếu tố ảnh hưởng đến giá đất ở trên địa bàn xã Thường Tín, thành phố Hà Nội</t>
  </si>
  <si>
    <t>Lê Thị Mỹ Duyên; Nguyễn Minh Huyền; Nguyễn Gia Hưng; Nguyễn Trọng Hải Đăng; Trần Công Khải</t>
  </si>
  <si>
    <t>KTE2026-336.png</t>
  </si>
  <si>
    <t>KTE2026-337</t>
  </si>
  <si>
    <t>Driven by warm-glow and trust, threatened by greenwashing: The mediating mechanisms of usefulness and satisfaction in fintech continuance intention among generation Z</t>
  </si>
  <si>
    <t>Ngô Anh Kiệt; Nguyễn Minh Khôi; Nguyễn Hồng Vũ Hân</t>
  </si>
  <si>
    <t>KTE2026-337.png</t>
  </si>
  <si>
    <t>KTE2026-338</t>
  </si>
  <si>
    <t>Đánh giá sự hài lòng và ý định hành vi của hành khách đối với việc ứng dụng công nghệ sinh trắc học trong thủ tục hàng không tại nhà ga T3, Cảng hàng không quốc tế Tân Sơn Nhất</t>
  </si>
  <si>
    <t>Nguyễn Thị Mỹ Duyên; Điểu Đoàn Nam Phương; Đồng Khánh Châu; Nguyễn Ngọc Anh Thư</t>
  </si>
  <si>
    <t>KTE2026-338.png</t>
  </si>
  <si>
    <t>KTE2026-339</t>
  </si>
  <si>
    <t>Nghiên cứu ứng dụng mô hình Prophet trong dự báo nhu cầu và quản trị rủi ro chuỗi cung ứng cho doanh nghiệp gia công bao bì: Áp dụng tại công ty cổ phần TJP</t>
  </si>
  <si>
    <t>Nguyễn Thế Thiện Anh; Lưu Thị Dương; Nguyễn Thu Giang; Đặng Thị Hồng Nga; Bùi Thị Mai Ly</t>
  </si>
  <si>
    <t>KTE2026-339.png</t>
  </si>
  <si>
    <t>KTE2026-340</t>
  </si>
  <si>
    <t>Khung trưởng thành số cho doanh nghiệp du lịch Việt Nam: Từ cơ sở lý thuyết tới thực tiễn triển khai. Trường hợp nghiên cứu: Bảo tàng gốm Bát Tràng</t>
  </si>
  <si>
    <t>Lê Hồng Dương; Đặng Đình Khôi</t>
  </si>
  <si>
    <t>KTE2026-340.png</t>
  </si>
  <si>
    <t>KTE2026-341</t>
  </si>
  <si>
    <t>Giải pháp phát triển logistics xanh trong chuỗi cung ứng gạo xuất khẩu Đồng bằng sông Cửu Long hướng đến Net Zero</t>
  </si>
  <si>
    <t>Nguyễn Phương Thảo; Nguyễn Thị Linh Nhi; Bùi Lan Anh; Nguyễn Thị Ngọc Yến</t>
  </si>
  <si>
    <t>KTE2026-341.png</t>
  </si>
  <si>
    <t>KTE2026-342</t>
  </si>
  <si>
    <t>Thiết kế hệ thống quản lý thu gom pin xe điện thông qua ứng dụng GIS, AI và mô hình MDVRP</t>
  </si>
  <si>
    <t>Nguyễn Nhật Huy; Phạm Thiên Lộc; Nguyễn Đức Thanh Tấn; Nguyễn Thị Bích Trâm</t>
  </si>
  <si>
    <t>KTE2026-342.png</t>
  </si>
  <si>
    <t>KTE2026-343</t>
  </si>
  <si>
    <t>Factors shaping public intention of autonomous drone delivery services based on the TPB model</t>
  </si>
  <si>
    <t>Nguyễn Hoàng Quang Huy; Hồ Đắc Anh Thi; Võ Ngọc Trung Kiên; Nguyễn Trúc Linh</t>
  </si>
  <si>
    <t>KTE2026-343.png</t>
  </si>
  <si>
    <t>KTE2026-344</t>
  </si>
  <si>
    <t>Ảnh hưởng của người phản định hướng tiêu dùng (de-influencer) đến sự kháng cự mua sắm sản phẩm thời trang nhanh của thế hệ z tại Việt Nam</t>
  </si>
  <si>
    <t>Phan Thị Thu Thủy; Đinh Thị Quỳnh Hương; Phạm Bá Gia Nhất; Đào Thu Huyền; Trịnh Hoàng Thảo Nhi</t>
  </si>
  <si>
    <t>KTE2026-344.png</t>
  </si>
  <si>
    <t>KTE2026-345</t>
  </si>
  <si>
    <t>An ninh mạng và hiệu quả hoạt động doanh nghiệp: Bằng chứng từ bộ chỉ số an ninh mạng dựa trên mô hình trí tuệ nhân tạo SecureBERT</t>
  </si>
  <si>
    <t>Nguyễn Minh Khoa</t>
  </si>
  <si>
    <t>KTE2026-345.png</t>
  </si>
  <si>
    <t>KTE2026-346</t>
  </si>
  <si>
    <t>Ứng dụng mô hình học sâu PhoBERT trong phân tích cảm xúc eWOM: Thực nghiệm thị trường sách trong thương mại điện tử tại Việt Nam</t>
  </si>
  <si>
    <t>Nguyễn Phạm Uyên Phương; Nguyễn Đình Thái Dương</t>
  </si>
  <si>
    <t>KTE2026-346.png</t>
  </si>
  <si>
    <t>KTE2026-347</t>
  </si>
  <si>
    <t>Thực hành bền vững, đổi mới sáng tạo và năng lực xuất khẩu: Bằng chứng thực nghiệm về tính bổ trợ theo từng trụ cột tại các doanh nghiệp khu vực châu Á</t>
  </si>
  <si>
    <t>Nguyễn Trần Nam; An Đức Trung; Lê Vũ Nhật Quang; Vũ Quốc Anh; Nguyễn Tuấn Đạt</t>
  </si>
  <si>
    <t>KTE2026-347.png</t>
  </si>
  <si>
    <t>KTE2026-348</t>
  </si>
  <si>
    <t>From belief to betrayal: The psychological mechanisms linking greenwashing to brand avoidance</t>
  </si>
  <si>
    <t>Nguyễn Khưu Thu Hồng; Nguyễn Ngọc Thùy Anh; Lê Nhã Duyên; Lê Phương Linh; Trần Anh Khôi</t>
  </si>
  <si>
    <t>KTE2026-348.png</t>
  </si>
  <si>
    <t>KTE2026-349</t>
  </si>
  <si>
    <t>Nâng cao giá trị tài sản thương hiệu xanh trong ngành mỹ phẩm thuần chay: Góc nhìn từ sự nhận thức của người tiêu dùng về hành vi xanh trá hình</t>
  </si>
  <si>
    <t>Vũ Quỳnh Ly; Đặng Bá Công; Nguyễn Thị Hà Vy</t>
  </si>
  <si>
    <t>Trường Khoa học liên ngành và Nghệ thuật, ĐHQG Hà Nội</t>
  </si>
  <si>
    <t>KTE2026-349.png</t>
  </si>
  <si>
    <t>KTE2026-350</t>
  </si>
  <si>
    <t>Tác động của tái định vị đến tài sản thương hiệu: Bằng chứng thực nghiệm từ Vinamilk</t>
  </si>
  <si>
    <t>Hoàng Minh Anh; Ngô Hương Giang; Nguyễn Hồ Quỳnh Hương; Trần Minh Khuê</t>
  </si>
  <si>
    <t>KTE2026-350.png</t>
  </si>
  <si>
    <t>KTE2026-351</t>
  </si>
  <si>
    <t>Tác động của nội dung do người dùng tạo đến ý định mua hàng trực tuyến của khách hàng trên các nền tảng mạng xã hội tại Việt Nam</t>
  </si>
  <si>
    <t>Trần Thị Xuân Diễm; Phạm Trang Linh</t>
  </si>
  <si>
    <t>KTE2026-351.png</t>
  </si>
  <si>
    <t>KTE2026-352</t>
  </si>
  <si>
    <t>Tác động của văn hóa thần tượng và truyền thông xã hội đến ý định mua vé tham gia sự kiện biểu diễn nghệ thuật quy mô lớn tại Việt Nam</t>
  </si>
  <si>
    <t>Lê Thị Cẩm Tú; Nguyễn Phương Anh</t>
  </si>
  <si>
    <t>KTE2026-352.png</t>
  </si>
  <si>
    <t>KTE2026-353</t>
  </si>
  <si>
    <t>Các yếu tố thúc đẩy niềm tin vào khuyến nghị của generative AI và ảnh hưởng đến ý định tiêu dùng xanh của Gen Z: Tiếp cận từ mô hình ELM (elaboration likelihood model) và lý thuyết kháng cự đổi mới</t>
  </si>
  <si>
    <t>Thái Gia Bảo</t>
  </si>
  <si>
    <t>KTE2026-353.png</t>
  </si>
  <si>
    <t>KTE2026-354</t>
  </si>
  <si>
    <t>Tác động của influencer trên nền tảng mạng xã hội đến ý định mua sản phẩm thời trang bền vững của Gen Z tại thành phố Hồ Chí Minh</t>
  </si>
  <si>
    <t>Trần Như An; Trương Thế Đặng</t>
  </si>
  <si>
    <t>KTE2026-354.png</t>
  </si>
  <si>
    <t>KTE2026-355</t>
  </si>
  <si>
    <t>Hành vi mua hàng ngẫu hứng của sinh viên thông qua livestream trên nền tảng TikTok: Vai trò của người có tầm ảnh hưởng, tương tác giả xã hội, và sự nhạy cảm với ưu đãi</t>
  </si>
  <si>
    <t>Trần Quỳnh Anh; Phan Hương Giang; Nguyễn Thị Hiền; Hồ Ngọc Diễm Hương</t>
  </si>
  <si>
    <t>KTE2026-355.png</t>
  </si>
  <si>
    <t>KTE2026-356</t>
  </si>
  <si>
    <t>Nhận thức rủi ro và cơ hội trong thị trường tài sản mã hóa dưới điều kiện bất định quy định có cấu trúc: Bằng chứng từ Việt Nam</t>
  </si>
  <si>
    <t>Trịnh Viết Thỏa</t>
  </si>
  <si>
    <t>KTE2026-356.png</t>
  </si>
  <si>
    <t>KTE2026-357</t>
  </si>
  <si>
    <t>From evaluation to execution: A three-stage model of SPayLater adoption for electronics purchases on Shopee in Vietnam</t>
  </si>
  <si>
    <t>Nguyễn Duy Mỹ Ngọc</t>
  </si>
  <si>
    <t>KTE2026-357.png</t>
  </si>
  <si>
    <t>KTE2026-358</t>
  </si>
  <si>
    <t>Livestream influencer characteristics and cosmetic purchase intention: The roles of emotional trust and livestream engagement</t>
  </si>
  <si>
    <t>Nguyễn Bảo Quỳnh Uyên; Bùi Thảo Ngân</t>
  </si>
  <si>
    <t>KTE2026-358.png</t>
  </si>
  <si>
    <t>KTE2026-359</t>
  </si>
  <si>
    <t>Nghiên cứu ảnh hưởng của trải nghiệm cá nhân hóa dựa trên trí tuệ nhân tạo đến lòng trung thành của người dùng TikTok tại Việt Nam</t>
  </si>
  <si>
    <t>Lê Thị Khả Duyên</t>
  </si>
  <si>
    <t>KTE2026-359.png</t>
  </si>
  <si>
    <t>KTE2026-360</t>
  </si>
  <si>
    <t>When green capital becomes green reputation: The mediating role of green innovation and the moderating role of organizational slack</t>
  </si>
  <si>
    <t>Nguyễn Đào Hồng Hạnh</t>
  </si>
  <si>
    <t>KTE2026-360.png</t>
  </si>
  <si>
    <t>KTE2026-361</t>
  </si>
  <si>
    <t>What drives users to choose public charging stations? Evidence from Vietnam in urban and long-distance contexts</t>
  </si>
  <si>
    <t>Nguyễn Thu Hòa; Nguyễn Cao Minh An</t>
  </si>
  <si>
    <t>KTE2026-361.png</t>
  </si>
  <si>
    <t>KTE2026-362</t>
  </si>
  <si>
    <t>Ảnh hưởng của năng lực tạo sinh AI đến kết quả học tập của sinh viên Trường Đại học Kỹ thuật - Công nghệ Cần Thơ: Vai trò trung gian của tự điều chỉnh học tập</t>
  </si>
  <si>
    <t>Phan Ngọc Mai; Trần Thái Thảo Nguyên; Trần Thị Mỹ Kiều; Nguyễn Thị Liễu Nhi</t>
  </si>
  <si>
    <t>Trường Đại học Kỹ thuật Công nghệ Cần Thơ</t>
  </si>
  <si>
    <t>KTE2026-362.png</t>
  </si>
  <si>
    <t>KTE2026-363</t>
  </si>
  <si>
    <t>Các yếu tố ảnh hưởng đến hành vi mua hàng ngẫu hứng của sinh viên tại các trường đại học trên địa bàn thành phố Hồ Chí Minh</t>
  </si>
  <si>
    <t>Hà Văn Lợi; Đặng Hữu Minh; Lê Thị Mỹ Hạnh</t>
  </si>
  <si>
    <t>Trường Đại học Văn hóa TP. Hồ Chí Minh</t>
  </si>
  <si>
    <t>KTE2026-363.png</t>
  </si>
  <si>
    <t>KTE2026-364</t>
  </si>
  <si>
    <t>Các yếu tố ảnh hưởng đến ý định thương mại hóa sản phẩm từ các cuộc thi khoa học của sinh viên Trường Đại học Kỹ thuật - Công nghệ Cần Thơ</t>
  </si>
  <si>
    <t>Huỳnh Văn Mến; Trần Thị Minh Ngọc; Bùi Trần Tuyết Sương; Nguyễn Thị Ngọc Thảo</t>
  </si>
  <si>
    <t>KTE2026-364.png</t>
  </si>
  <si>
    <t>KTE2026-365</t>
  </si>
  <si>
    <t>Ảnh hưởng của công nghệ thực tế ảo tăng cường (AR) đến ý định mua hàng trực tuyến: Sự khác biệt giữa khách hàng Gen Z và Gen Y trên địa bàn Hà Nội khi mua sắm các sản phẩm mỹ phẩm</t>
  </si>
  <si>
    <t>Lương Thanh Thủy; Nguyễn Hải Anh; Hoàng Lan Hương; Nguyễn Ngọc Linh; Lê Thị Hải Yến</t>
  </si>
  <si>
    <t>KTE2026-365.png</t>
  </si>
  <si>
    <t>KTE2026-366</t>
  </si>
  <si>
    <t>Ảnh hưởng của thông tin quy trình và giải thích quy trình đến ý định tiếp tục tham gia ứng tuyển trong quy trình tuyển dụng có ứng dụng công nghệ AI của ứng viên Gen Z tại TP.HCM: Vai trò trung gian của cảm nhận công bằng, cơ hội thể hiện và sự bất an cảm xúc</t>
  </si>
  <si>
    <t>Nguyễn Ngọc Yến Nhi; Trần Lệ Quyên; Trương Triệu Khải; Phạm Thuỷ Hiền; Đinh Thị Thu Thuỷ</t>
  </si>
  <si>
    <t>KTE2026-366.png</t>
  </si>
  <si>
    <t>KTE2026-367</t>
  </si>
  <si>
    <t>Ảnh hưởng của đánh giá trực tuyến đến quyết định mua hàng của thanh niên trên sàn thương mại điện tử hiện nay</t>
  </si>
  <si>
    <t>Nguyễn Hải Anh; Võ Huyền Anh; Nguyễn Thị Lam Giang; Nguyễn Thị Ngọc Hoa; Phạm Diễm Quỳnh</t>
  </si>
  <si>
    <t>Học viện Báo chí và Tuyên truyền</t>
  </si>
  <si>
    <t>KTE2026-367.png</t>
  </si>
  <si>
    <t>KTE2026-368</t>
  </si>
  <si>
    <t>Các yếu tố liên quan đến ý định tiếp tục sử dụng ứng dụng ShopeeFood của sinh viên tại trường đại học: Nghiên cứu khảo sát cắt ngang</t>
  </si>
  <si>
    <t>Lục Minh Đăng; Nguyễn Thị Hồng Sa; Nguyễn Hồng Giang; Đỗ Đặng Phương Thảo; Nguyễn Thị Phương Thùy</t>
  </si>
  <si>
    <t>Trường Đại học Gia Định</t>
  </si>
  <si>
    <t>KTE2026-368.png</t>
  </si>
  <si>
    <t>KTE2026-369</t>
  </si>
  <si>
    <t>Các yếu tố ảnh hưởng đến ý định khởi nghiệp của sinh viên khối ngành kinh tế</t>
  </si>
  <si>
    <t>Trần Lê Kiều My; Lê Trần Thanh Trang; Bùi Yến Nhi; Nguyễn Thị Hồng Phương; Phạm Xuân Trang</t>
  </si>
  <si>
    <t>KTE2026-369.png</t>
  </si>
  <si>
    <t>KTE2026-370</t>
  </si>
  <si>
    <t>The impact of servant leadership on innovative work behavior of generation Y employees in the e-commerce sector in Ho Chi Minh City: The roles of psychological empowerment, leader-member exchange, core self-evaluation, and power distance orientation</t>
  </si>
  <si>
    <t>Phan Thị Cẩm Tú; Võ Thị Ái My; Đỗ Thị Ánh Linh</t>
  </si>
  <si>
    <t>KTE2026-370.png</t>
  </si>
  <si>
    <t>KTE2026-371</t>
  </si>
  <si>
    <t>Phát triển mô hình kinh tế tuần hoàn trong thương mại điện tử: Giải pháp giảm thiểu rác thải bao bì và hướng tới tối ưu hóa logistics chặng cuối tại thành phố Hồ Chí Minh</t>
  </si>
  <si>
    <t>Trần Đình Thanh; Trần Thảo Ly; Nguyễn Thị Mỹ Khang; Châu Thành Phú; Nguyễn Thị Gấm Hoa</t>
  </si>
  <si>
    <t>KTE2026-371.png</t>
  </si>
  <si>
    <t>KTE2026-372</t>
  </si>
  <si>
    <t>Nghiên cứu tác động của chuyển đổi số và năng lực sáng tạo xanh đến hiệu quả bền vững (ESG) của các doanh nghiệp vừa và nhỏ (SMEs) tại Việt Nam: Xây dựng khung chỉ số đánh giá và cẩm nang lộ trình chuyển đổi kép</t>
  </si>
  <si>
    <t>Bùi Đình Phúc; Lâm Vũ Như; Ngô Thanh Phong; Lê Bảo Xuyên; Nguyễn Trần Khả Nhi</t>
  </si>
  <si>
    <t>KTE2026-372.png</t>
  </si>
  <si>
    <t>KTE2026-373</t>
  </si>
  <si>
    <t>AI FOMO: Cách thuật toán cá nhân hóa tạo ra cảm giác khẩn cấp và thúc đẩy hành vi mua của Gen Z</t>
  </si>
  <si>
    <t>Đỗ Bảo Châu; Phạm Khánh Vy; Nguyễn Ngọc Anh Thơ</t>
  </si>
  <si>
    <t>KTE2026-373.png</t>
  </si>
  <si>
    <t>KTE2026-374</t>
  </si>
  <si>
    <t>Các yếu tố ảnh hưởng đến ý định sử dụng trợ lý trí tuệ nhân tạo (AI) trong lập kế hoạch chuyến đi của Gen Z tại thành phố Hồ Chí Minh: Vai trò của niềm tin và nỗi lo về “ảo giác AI”</t>
  </si>
  <si>
    <t>Phan Thị Mỹ Thuận; Đỗ Thị Luỹ; Lê Tú Nga; Hoàng Thị Hà Linh; Hoàng Ngọc Sơn</t>
  </si>
  <si>
    <t>KTE2026-374.png</t>
  </si>
  <si>
    <t>KTE2026-375</t>
  </si>
  <si>
    <t>Tác động của hình ảnh quảng cáo do AI tạo sinh đến niềm tin của người tiêu dùng: Vai trò của tính chân thực cảm nhận và tính minh bạch quảng cáo</t>
  </si>
  <si>
    <t>Phong Hiệp Tuyết Nhi; Huỳnh Phạm Triều Vy; Bùi Thị Mai Lan; Nguyễn Thị Thùy Trang; Nguyễn Thùy Trang</t>
  </si>
  <si>
    <t>KTE2026-375.png</t>
  </si>
  <si>
    <t>KTE2026-376</t>
  </si>
  <si>
    <t>Mô hình dự báo, định lượng chi phí và ưu tiên xử lý sớm nguy cơ phát sinh DEM/DET trong vận tải container cho doanh nghiệp forwarder vừa và nhỏ tại Việt Nam</t>
  </si>
  <si>
    <t>Nguyễn Ngọc Quỳnh Nga; Trần Đức Dũng; Lưu Gia Bảo; Nguyễn Ngọc Nghĩa</t>
  </si>
  <si>
    <t>KTE2026-376.png</t>
  </si>
  <si>
    <t>KTE2026-377</t>
  </si>
  <si>
    <t>Ứng dụng công nghệ số để tối ưu hóa chuỗi cung ứng sầu riêng tích hợp đa nền tảng web - Zalo</t>
  </si>
  <si>
    <t>Lê Hùng Nhiệm Đình Hi; Nguyễn Thị Mỹ Ngọc; Lê Lữ Phương Thảo</t>
  </si>
  <si>
    <t>KTE2026-377.png</t>
  </si>
  <si>
    <t>KTE2026-378</t>
  </si>
  <si>
    <t>Phản ứng của khách hàng đối với kịch bản chăm sóc tự động được cá nhân hóa đa tầng bằng trí tuệ nhân tạo trong hệ thống CRM</t>
  </si>
  <si>
    <t>Nguyễn Thị Như Quỳnh; Nguyễn Thục Thiên Ân; Nguyễn Trúc Vy; Trần Thị Bích Tuyền</t>
  </si>
  <si>
    <t>KTE2026-378.png</t>
  </si>
  <si>
    <t>KTE2026-379</t>
  </si>
  <si>
    <t>Nghiên cứu ảnh hưởng của công nghệ virtual try on (VTO) đến ý định mua mỹ phẩm trực tuyến của giới trẻ tại thành phố Đà Nẵng</t>
  </si>
  <si>
    <t>Nguyễn Bích Ngân Duyên; Nguyễn Thị Bích Phương; Nguyễn Phạm Huyền Trang</t>
  </si>
  <si>
    <t>Đại học Duy Tân</t>
  </si>
  <si>
    <t>KTE2026-379.png</t>
  </si>
  <si>
    <t>KTE2026-380</t>
  </si>
  <si>
    <t>Nghiên cứu các nhân tố ảnh hưởng đến quyết định lựa chọn hãng tàu vận tải quốc tế của doanh nghiệp forwarder trên địa bàn thành phố Đồng Nai</t>
  </si>
  <si>
    <t>Hà Thị Hiền; Lê Vũ Minh Trang</t>
  </si>
  <si>
    <t>KTE2026-380.png</t>
  </si>
  <si>
    <t>KTE2026-381</t>
  </si>
  <si>
    <t>The impact of AI-based recommendation experience on consumer purchase decision on social media platforms</t>
  </si>
  <si>
    <t>Phạm Ngô Ngọc Hạnh</t>
  </si>
  <si>
    <t>KTE2026-381.png</t>
  </si>
  <si>
    <t>KTE2026-382</t>
  </si>
  <si>
    <t>Tác động của các điểm ESG đến hiệu quả kinh doanh của doanh nghiệp trong ngành sản xuất: Vai trò điều tiết của chỉ số phát triển con người</t>
  </si>
  <si>
    <t>Lê Thị Kim Vân; Ngô Nguyễn Tường Vy; Bạch Nguyễn Bảo Trâm</t>
  </si>
  <si>
    <t>KTE2026-382.png</t>
  </si>
  <si>
    <t>KTE2026-383</t>
  </si>
  <si>
    <t>Antecedents and consequence of generative AI adoption on academic performance among university students in Ho Chi Minh City</t>
  </si>
  <si>
    <t>Huỳnh Hồng Quang</t>
  </si>
  <si>
    <t>KTE2026-383.png</t>
  </si>
  <si>
    <t>KTE2026-384</t>
  </si>
  <si>
    <t>Nghiên cứu các yếu tố ảnh hưởng đến ý định sử dụng trí tuệ nhân tạo (AI) và chatbot AI của khách hàng trong dịch vụ ngân hàng tại Việt Nam</t>
  </si>
  <si>
    <t>Đoàn Hồ Hà Đoan; Nguyễn Nhất Thiên; Vũ Phan Anh Thùy; Huỳnh Tấn Phát; Võ Chung Tú</t>
  </si>
  <si>
    <t>KTE2026-384.png</t>
  </si>
  <si>
    <t>KTE2026-385</t>
  </si>
  <si>
    <t>Quá tải thông tin và ý định mua hàng tức thì trong bán hàng qua phát trực tiếp: Tiếp cận theo mô hình S-O-R và vai trò điều tiết của chất lượng người dẫn</t>
  </si>
  <si>
    <t>Phạm Nguyễn Ngọc Linh; Thái Quang Minh; Trần Nguyễn Nhật Minh; Nguyễn Gia Minh; Trần Tiến Đạt</t>
  </si>
  <si>
    <t>KTE2026-385.png</t>
  </si>
  <si>
    <t>KTE2026-386</t>
  </si>
  <si>
    <t>Are AI influencers friends or foes? Unpacking how meaning transfer shapes brand attitude and brand equity in AI influencer marketing</t>
  </si>
  <si>
    <t>Vũ Hồ Hương Giang; Lê Thị Thanh Huyền; Trần Văn Việt</t>
  </si>
  <si>
    <t>KTE2026-386.png</t>
  </si>
  <si>
    <t>KTE2026-387</t>
  </si>
  <si>
    <t>What keeps cross-border shoppers coming back? Prioritizing logistics service quality dimensions on cross-border e-commerce platforms</t>
  </si>
  <si>
    <t>Nguyễn Phương Đình</t>
  </si>
  <si>
    <t>KTE2026-387.png</t>
  </si>
  <si>
    <t>KTE2026-388</t>
  </si>
  <si>
    <t>The path from perceived reverse supply chain capabilities to consumer loyalty and willingness to pay a premium: Evidence for the FMCG industry in Vietnam</t>
  </si>
  <si>
    <t>Huỳnh Dư Minh Tú; Nguyễn Hoàng Thùy Trinh; Trương Đình Anh Dũng; Trần Nguyễn Tuấn Quỳnh</t>
  </si>
  <si>
    <t>KTE2026-388.png</t>
  </si>
  <si>
    <t>KTE2026-389</t>
  </si>
  <si>
    <t>Driving circularity in the luxury sector: A multi-perspective from SEM, ANN and fsQCA findings to investigating pre-owned luxury brand love</t>
  </si>
  <si>
    <t>Đào Trung Nhân; Huỳnh Tiến Đạt; Lý Gia Hân</t>
  </si>
  <si>
    <t>KTE2026-389.png</t>
  </si>
  <si>
    <t>KTE2026-390</t>
  </si>
  <si>
    <t>Kiểm định mối liên kết động giữa giá vàng, giá dầu, tỷ giá hối đoái và biến động chứng khoán tại Việt Nam trong điều kiện thị trường dị thường</t>
  </si>
  <si>
    <t>Nguyễn Thị Hương Giang; Nguyễn Thị Ngọc Ánh; Nguyễn Thị Tâm Chi; Trần Thị Thúy Hằng; Nguyễn Thị Hiền</t>
  </si>
  <si>
    <t>KTE2026-390.png</t>
  </si>
  <si>
    <t>KHXH2026-001</t>
  </si>
  <si>
    <t>Khoa học xã hội</t>
  </si>
  <si>
    <t>Nhận thức của thân nhân bệnh nhi đối với dịch vụ của phòng Công tác xã hội tại bệnh viện Nhi Đồng 1</t>
  </si>
  <si>
    <t>Bùi Trùng Dương; Trần Nguyễn Quốc Quang; Trần Thành Đạt</t>
  </si>
  <si>
    <t>KHXH2026-001.png</t>
  </si>
  <si>
    <t>KHXH2026-002</t>
  </si>
  <si>
    <t>Ứng dụng công nghệ số trong phát triển kinh doanh nhỏ của phụ nữ có vay vốn tại xã Nhà Bè, Thành Phố Hồ Chí Minh</t>
  </si>
  <si>
    <t>Trần Thúy Vy; Trịnh Ngân Phướng; Nguyễn Thị Tiên Nhi</t>
  </si>
  <si>
    <t>KHXH2026-002.png</t>
  </si>
  <si>
    <t>KHXH2026-003</t>
  </si>
  <si>
    <t>Hiệu quả công tác tình nguyện của Đoàn Thanh niên tại xã Đắk Ơ tỉnh Đồng Nai</t>
  </si>
  <si>
    <t>Trần Trọng Hữu; Nguyễn Ngọc Thủy Tiên; Lê Thành Trung</t>
  </si>
  <si>
    <t>Phân hiệu Học viện Thanh thiếu niên Việt Nam tại TP. Hồ Chí Minh</t>
  </si>
  <si>
    <t>KHXH2026-003.png</t>
  </si>
  <si>
    <t>KHXH2026-004</t>
  </si>
  <si>
    <t>NHẬN THỨC VỀ LIÊM CHÍNH HỌC THUẬT TRONG NGHIÊN CỨU VÀ HỌC TẬP CỦA SINH VIÊN TRÊN ĐỊA BÀN THÀNH PHỐ HÀ NỘI</t>
  </si>
  <si>
    <t>Hà Thị Nguyệt; Nông Thị Ánh; Vũ Văn Minh</t>
  </si>
  <si>
    <t>Học viện Thanh thiếu niên Việt Nam</t>
  </si>
  <si>
    <t>KHXH2026-004.png</t>
  </si>
  <si>
    <t>KHXH2026-005</t>
  </si>
  <si>
    <t>NĂNG LỰC ỨNG DỤNG TRÍ TUỆ NHÂN TẠO TRONG HỌC TẬP CỦA SINH VIÊN TRÊN ĐỊA BÀN THÀNH PHỐ HÀ NỘI</t>
  </si>
  <si>
    <t>Triệu Thị Sen; Đinh Hữu Đức; Trần Trung Đạt</t>
  </si>
  <si>
    <t>KHXH2026-005.png</t>
  </si>
  <si>
    <t>KHXH2026-006</t>
  </si>
  <si>
    <t>Tiếp cận dịch vụ công tác xã hội của học sinh THCS người dân tộc thiểu số trên địa bàn thành phố Đà Nẵng.</t>
  </si>
  <si>
    <t>Nghiêm Thị Hải Linh; Nguyễn Thị Kim Thanh; Phan Thị Yến Như; Trần Thị Thuận; Nguyễn Xuân Hiệp</t>
  </si>
  <si>
    <t>Trường Đại học Sư phạm, Đại học Đà Nẵng</t>
  </si>
  <si>
    <t>KHXH2026-006.png</t>
  </si>
  <si>
    <t>KHXH2026-007</t>
  </si>
  <si>
    <t>Đánh giá khả năng tiếp cận dịch vụ y tế và rào cản khi tiếp cận dịch vụ y tế của người khiếm thị tại TP.HCM</t>
  </si>
  <si>
    <t>Bùi Mỹ Kỳ; Phạm Thị Mỹ Hạnh</t>
  </si>
  <si>
    <t>KHXH2026-007.png</t>
  </si>
  <si>
    <t>KHXH2026-008</t>
  </si>
  <si>
    <t>KỸ NĂNG TƯ DUY PHẢN BIỆN VỀ THÔNG TIN TRÊN MẠNG XÃ HỘI CỦA SINH VIÊN: NGHIÊN CỨU TRƯỜNG HỢP TẠI MỘT TRƯỜNG ĐẠI HỌC KHỐI NGÀNH LAO ĐỘNG – XÃ HỘI Ở THÀNH PHỐ HỒ CHÍ MINH</t>
  </si>
  <si>
    <t>Nguyễn Duy Đông; Lê Thành Danh</t>
  </si>
  <si>
    <t>KHXH2026-008.png</t>
  </si>
  <si>
    <t>KHXH2026-009</t>
  </si>
  <si>
    <t>Đánh giá mức độ nhận thức và sử dụng dịch vụ đô thị thông minh của sinh viên tại thành phố Đà Nẵng</t>
  </si>
  <si>
    <t>Trần Quỳnh Anh; Trần Nguyễn Đức Hòa; Trần Thị Thanh Trúc</t>
  </si>
  <si>
    <t>KHXH2026-009.png</t>
  </si>
  <si>
    <t>KHXH2026-010</t>
  </si>
  <si>
    <t>Nghiên cứu đề xuất quy hoạch hành lang kết nối du lịch di sản tại khu vực đô thị: Trường hợp nghiên cứu tại khu vực phía Tây Hà Nội.</t>
  </si>
  <si>
    <t>Trần Thị Thảo Linh; Nguyễn Mỹ Linh</t>
  </si>
  <si>
    <t>KHXH2026-010.png</t>
  </si>
  <si>
    <t>KHXH2026-011</t>
  </si>
  <si>
    <t>No trace, no trade? How EU regulatory knowledge moderates and trust mediates young German consumers’ purchase intention for Vietnamese coffee</t>
  </si>
  <si>
    <t>Phạm Mai Khánh Duy; Trần Ngọc Anh; Đàm Trung Hiếu; oàng Thanh Mai</t>
  </si>
  <si>
    <t>KHXH2026-011.png</t>
  </si>
  <si>
    <t>KHXH2026-012</t>
  </si>
  <si>
    <t>Xây dựng bộ chỉ số đánh giá chuyển đổi kép cấp tỉnh tại Việt Nam: Nhận diện lợi thế, ưu tiên phát triển và định hướng phân bổ nguồn lực hướng tới năm 2030</t>
  </si>
  <si>
    <t>Phạm Việt Bình; Vương Thị Thuỳ Trang; Hoàng Chí Long; Nguyễn Đặng Thảo Minh</t>
  </si>
  <si>
    <t>KHXH2026-012.png</t>
  </si>
  <si>
    <t>KHXH2026-013</t>
  </si>
  <si>
    <t>Tác động của rủi ro địa chính trị đến tăng trưởng kinh tế: Bằng chứng quốc tế và bài học cho Việt Nam</t>
  </si>
  <si>
    <t>Nguyễn Thùy Trang; Phan Ngọc Huyền; Nguyễn Thị Ngọc Anh; Lường Tùng Duy</t>
  </si>
  <si>
    <t>KHXH2026-013.png</t>
  </si>
  <si>
    <t>KHXH2026-014</t>
  </si>
  <si>
    <t>Nhận thức pháp luật về phòng, chống tác hại của thuốc lá của sinh viên đại học tại Thành phố Hồ Chí Minh</t>
  </si>
  <si>
    <t>Nguyễn Thị Tú Anh; Huỳnh Kim Hoàng Sa; Bùi Phạm Thạch Thảo</t>
  </si>
  <si>
    <t>KHXH2026-014.png</t>
  </si>
  <si>
    <t>KHXH2026-015</t>
  </si>
  <si>
    <t>Giáo dục ý thức cho sinh viên trong việc hiến máu nhân đạo tại Thành phố Hồ Chí Minh</t>
  </si>
  <si>
    <t>Nguyễn Ngọc Hương Quân; Trần Nhựt Thành; Hồ Duy Khánh</t>
  </si>
  <si>
    <t>KHXH2026-015.png</t>
  </si>
  <si>
    <t>KHXH2026-016</t>
  </si>
  <si>
    <t>Vận dụng tư tưởng Hồ Chí Minh về đạo đức công vụ trong đào tạo, bồi dưỡng cán bộ hành chính tại Thành phố Hồ Chí Minh hiện nay</t>
  </si>
  <si>
    <t>Lê Thanh Bình; Nguyễn Phan Thanh Thảo; Y Na Thuyên</t>
  </si>
  <si>
    <t>KHXH2026-016.png</t>
  </si>
  <si>
    <t>KHXH2026-017</t>
  </si>
  <si>
    <t>CHẤT LƯỢNG ĐỘI NGŨ CÁN BỘ, ĐẢNG VIÊN TẠI ĐẢNG BỘ PHƯỜNG ĐỐNG ĐA, THÀNH PHỐ HÀ NỘI</t>
  </si>
  <si>
    <t>NGUYỄN THỊ CA MÂY; NGUYỄN HOÀNG LINH</t>
  </si>
  <si>
    <t>KHXH2026-017.png</t>
  </si>
  <si>
    <t>KHXH2026-018</t>
  </si>
  <si>
    <t>Nâng cao nhận thức của sinh viên Trường Đại học Luật TP. HCM về nguy cơ “Cách mạng màu” trên không gian mạng trong giai đoạn hiện nay</t>
  </si>
  <si>
    <t>Nguyễn Thúy Hường; Nguyễn Đào Minh Hà; Lê Thị Gia Hân</t>
  </si>
  <si>
    <t>KHXH2026-018.png</t>
  </si>
  <si>
    <t>KHXH2026-019</t>
  </si>
  <si>
    <t>Vận dụng tư tưởng “Dĩ bất biến, ứng vạn biến” của Chủ tịch Hồ Chí Minh vào quá trình thực hiện các nguyên tắc ký kết Điều ước quốc tế của Việt Nam trong giai đoạn từ năm 1986 đến nay</t>
  </si>
  <si>
    <t>PHAN QUÝ KHÁNH NGÂN; NGUYỄN HOÀNG YẾN NHI; TRẦN NHẬT KIỀU TRANG; VI THỊ ÁNH TUYẾT</t>
  </si>
  <si>
    <t>KHXH2026-019.png</t>
  </si>
  <si>
    <t>KHXH2026-020</t>
  </si>
  <si>
    <t>Tác Động Của Rủi Ro Địa Chính Trị Và Sự Kiện Chính Trị Đến Thị Trường Chứng Khoán: Nghiên Cứu Thực Nghiệm Tại Các Quốc Gia APEC</t>
  </si>
  <si>
    <t>Nguyễn Thiện Thảo; Nguyễn Việt Hà</t>
  </si>
  <si>
    <t>KHXH2026-020.png</t>
  </si>
  <si>
    <t>KHXH2026-021</t>
  </si>
  <si>
    <t>Tỉnh ủy Tuyên Quang lãnh đạo công tác vận động đồng bào dân tộc thiểu số hiện nay</t>
  </si>
  <si>
    <t>Đới Diệu Trang Linh; Phạm Nguyễn Duy; Nguyễn Thị Khánh Huyền; Thái Ngọc Phương Linh; Nguyễn Thị Như Quỳnh</t>
  </si>
  <si>
    <t>KHXH2026-021.png</t>
  </si>
  <si>
    <t>KHXH2026-022</t>
  </si>
  <si>
    <t>Phát triển năng lực số trong công tác bảo vệ nền tảng tư tưởng của Đảng cho sinh viên chuyên ngành Lý luận chính trị của các trường đại học trên địa bàn Hà Nội hiện nay</t>
  </si>
  <si>
    <t>Nguyễn Thùy Dương; Lê Thị Thùy Dương; Nguyễn Hà My; Hoàng Thị Diễm; Cảnh Chi Khang</t>
  </si>
  <si>
    <t>KHXH2026-022.png</t>
  </si>
  <si>
    <t>KHXH2026-023</t>
  </si>
  <si>
    <t>Exploring tourists’ willingness to participate in carbon offsetting: integrating VIP, PADM and TPB with the moderating role of greenwashing</t>
  </si>
  <si>
    <t>Vũ Hoàng Anh Thy; Nguyễn Thị Hồng Gấm; Nguyễn Thị Anh Đào</t>
  </si>
  <si>
    <t>KHXH2026-023.png</t>
  </si>
  <si>
    <t>KHXH2026-024</t>
  </si>
  <si>
    <t>ỨNG DỤNG CÔNG NGHỆ SỐ TRONG KHỞI NGHIỆP ĐỔI MỚI SÁNG TẠO DỰA TRÊN NGUỒN LỰC DI SẢN VĂN HÓA VẬT THỂ CỦA SINH VIÊN TẠI HÀ NỘI</t>
  </si>
  <si>
    <t>Ninh Thị Thủy; Đỗ Quỳnh Anh; Triệu Thị Thu Hà</t>
  </si>
  <si>
    <t>KHXH2026-024.png</t>
  </si>
  <si>
    <t>KHXH2026-025</t>
  </si>
  <si>
    <t>Nghiên cứu tác động của trí tuệ nhân tạo AI đối với tư duy phản biện của sinh viên trường Đại học Mở Hà Nội</t>
  </si>
  <si>
    <t>Trần Thị Cẩm Vân; Sa Đức Minh</t>
  </si>
  <si>
    <t>KHXH2026-025.png</t>
  </si>
  <si>
    <t>KHXH2026-026</t>
  </si>
  <si>
    <t>Các yếu tố ảnh hưởng đến ý định chuyển đổi từ xe máy xăng sang xe máy điện của sinh viên đại học tại Thành phố Hồ Chí Minh: Vai trò điều tiết của bản sắc xanh cá nhân</t>
  </si>
  <si>
    <t>Mai Thị Tuyết Hương; Trần Huỳnh Anh Thư; Trần Thị Huỳnh Mai; Quách Thị Hoa Huệ</t>
  </si>
  <si>
    <t>KHXH2026-026.png</t>
  </si>
  <si>
    <t>KHXH2026-027</t>
  </si>
  <si>
    <t>Tác động của Tri thức và Nhận thức Rủi ro Môi trường đến Hành vi Tiêu dùng Bền vững trong Thế hệ Gen Z tại Thành phố Hồ Chí Minh</t>
  </si>
  <si>
    <t>LẠI CAO THĂNG; TRẦN PẠT DẾNH; Phạm Nguyễn Quốc Tú; Vũ Thị Thơm</t>
  </si>
  <si>
    <t>KHXH2026-027.png</t>
  </si>
  <si>
    <t>KHXH2026-028</t>
  </si>
  <si>
    <t>Các yếu tố ảnh hưởng ý định học tập, làm việc và hành vi liên quan đến Logistics xanh của sinh viên đại học tại Thành phố Hồ Chí Minh: tiếp cận TPB mở rộng trong bối cảnh ESG</t>
  </si>
  <si>
    <t>TRẦN ĐÔNG SUN; TRẦN PẠT DẾNH</t>
  </si>
  <si>
    <t>KHXH2026-028.png</t>
  </si>
  <si>
    <t>KHXH2026-029</t>
  </si>
  <si>
    <t>Nghiên cứu về sự chấp nhận của thương lái và nông dân đối với bao bì lót làm từ thân chuối trong chuỗi cung ứng chuối xuất khẩu: Nghiên cứu trường hợp tại tỉnh Đồng Nai</t>
  </si>
  <si>
    <t>TRẦN PẠT DẾNH; TRẦN ĐÔNG SUN; Nguyễn Thị Nhung</t>
  </si>
  <si>
    <t>KHXH2026-029.png</t>
  </si>
  <si>
    <t>KHXH2026-030</t>
  </si>
  <si>
    <t>Xây dựng mô hình đánh giá và lựa chọn nhà cung cấp giấy tích hợp các tiêu chí phát triển bền vững bằng phương pháp AHP–SAW: Nghiên cứu tình huống tại Công ty TNHH TH Green Sky</t>
  </si>
  <si>
    <t>LẠI CAO THĂNG; Phạm Nguyễn Quốc Tú</t>
  </si>
  <si>
    <t>KHXH2026-030.png</t>
  </si>
  <si>
    <t>KHXH2026-031</t>
  </si>
  <si>
    <t>GIÁO DỤC VĂN HÓA CỘI NGUỒN CHO TRẺ EM TRONG GIA ĐÌNH ĐA VĂN HÓA VIỆT - ĐÀI: THỰC TRẠNG VÀ ĐỀ XUẤT THIẾT KẾ BỘ SẢN PHẨM GIÁO DỤC</t>
  </si>
  <si>
    <t>Dương Tuấn Duy; Trần Thị Hồng Mến</t>
  </si>
  <si>
    <t>Trường Đại học Sư phạm Hà Nội</t>
  </si>
  <si>
    <t>KHXH2026-031.png</t>
  </si>
  <si>
    <t>KHXH2026-032</t>
  </si>
  <si>
    <t>Tương Tác Không Gian Thực Và Ảo (Trường Hợp Lễ Hội Chùa Hương)</t>
  </si>
  <si>
    <t>Nguyễn Mỹ Duyên; Nguyễn Thu Hằng; Lưu Thu Hằng</t>
  </si>
  <si>
    <t>KHXH2026-032.png</t>
  </si>
  <si>
    <t>KHXH2026-033</t>
  </si>
  <si>
    <t>Quan điểm xã hội về hành vi tự hại và một số yếu tố liên quan của sinh viên điều dưỡng.</t>
  </si>
  <si>
    <t>Lê Ngọc Sang; Bùi Ngọc Diễm My; Trần Hoàng Anh; Lê Tâm Minh An</t>
  </si>
  <si>
    <t>KHXH2026-033.png</t>
  </si>
  <si>
    <t>KHXH2026-034</t>
  </si>
  <si>
    <t>Nghiên cứu nhân tố ảnh hưởng đến kết quả học tập của sinh viên ngành Kế toán tại trường Đại học Nghệ An</t>
  </si>
  <si>
    <t>Phạm Hà Phương; Võ Thị Phương Thảo</t>
  </si>
  <si>
    <t>KHXH2026-034.png</t>
  </si>
  <si>
    <t>KHXH2026-035</t>
  </si>
  <si>
    <t>Tác động của chuyển đổi số đến chất lượng học tập của sinh viên ngành Kế toán, Trường Đại học Nghệ An</t>
  </si>
  <si>
    <t>Nguyễn Thị Tú; Cao Thị Thu Thủy</t>
  </si>
  <si>
    <t>KHXH2026-035.png</t>
  </si>
  <si>
    <t>KHXH2026-036</t>
  </si>
  <si>
    <t>BIẾN ĐỘNG CỦA THỊ TRƯỜNG CHỨNG KHOÁN VÀ GIÁ TRỊ DOANH NGHIỆP</t>
  </si>
  <si>
    <t>Lê Thị Mỹ Hương; Đỗ Vân Khánh; Trần Thị Thùy Linh; Nguyễn Như Thùy Vân</t>
  </si>
  <si>
    <t>KHXH2026-036.png</t>
  </si>
  <si>
    <t>KHXH2026-037</t>
  </si>
  <si>
    <t>Tác động của quyết định ứng dụng AI đến hiệu quả chuyển đổi xanh trong doanh nghiệp vận tải đường bộ tại TP.HCM: vai trò điều tiết của nhận thức và trách nhiệm xã hội</t>
  </si>
  <si>
    <t>Nguyễn Quốc Việt Lâm; Nguyễn Mai Hoàng Quân; Đới Anh Minh</t>
  </si>
  <si>
    <t>KHXH2026-037.png</t>
  </si>
  <si>
    <t>KHXH2026-038</t>
  </si>
  <si>
    <t>Nghiên cứu đánh giá khả năng chống chịu và phục hồi dựa vào cộng đồng của di sản trong bối cảnh rủi ro thiên tai: Trường hợp nghiên cứu tại khu đô thị cổ ven sông Hoài, thành phố Hội An.</t>
  </si>
  <si>
    <t>Nguyễn Mỹ Linh</t>
  </si>
  <si>
    <t>KHXH2026-038.png</t>
  </si>
  <si>
    <t>KHXH2026-039</t>
  </si>
  <si>
    <t>Nghiên cứu đánh giá chất lượng cuộc sống cư dân phục vụ phát triển du lịch tại các làng di sản thuộc khu vực Công viên địa chất toàn cầu Cao nguyên đá Đồng Văn, tỉnh Tuyên Quang</t>
  </si>
  <si>
    <t>Nguyễn Đình Thị Nhung</t>
  </si>
  <si>
    <t>KHXH2026-039.png</t>
  </si>
  <si>
    <t>KHXH2026-040</t>
  </si>
  <si>
    <t>Đánh giá tác động của các yếu tố văn hóa trong quảng cáo đến nhận thức thương hiệu thực phẩm-đồ uống tại Việt Nam.</t>
  </si>
  <si>
    <t>Phùng Thị Ánh Hồng; Nguyễn Thùy Linh</t>
  </si>
  <si>
    <t>KHXH2026-040.png</t>
  </si>
  <si>
    <t>KHXH2026-041</t>
  </si>
  <si>
    <t>Hành vi quản trị lợi nhuận tác động đến mức độ công bố thông tin trách nhiệm xã hội của 100 doanh nghiệp niêm yết trên Sở giao dịch chứng khoán Thành phố Hồ Chí Minh giai đoạn 2019-2024</t>
  </si>
  <si>
    <t>KHXH2026-041.png</t>
  </si>
  <si>
    <t>KHXH2026-042</t>
  </si>
  <si>
    <t>Giải mã niềm tin của thế hệ Zillennial: Vai trò của hình ảnh nhà bán lẻ trong việc kích hoạt hành vi mua nhãn hàng riêng thông qua mô hình S–O–R tại Việt Nam</t>
  </si>
  <si>
    <t>Lương Tấn Lực; Lê Trần Lê; Lê Nguyễn Trâm Anh; Mai Thị Lệ Khánh; Mai Hoàng Anh Thư</t>
  </si>
  <si>
    <t>KHXH2026-042.png</t>
  </si>
  <si>
    <t>KHXH2026-043</t>
  </si>
  <si>
    <t>Tín hiệu xã hội dạng văn bản trong nội dung bài đăng của người ảnh hưởng: Khai phá chuỗi nhận thức – cảm xúc – hành vi trong chứng thực của con người và trí tuệ nhân tạo</t>
  </si>
  <si>
    <t>Phạm Quỳnh Uyên Nhi; Võ Thị Như Quỳnh; Phan Hoàng Nguyên</t>
  </si>
  <si>
    <t>KHXH2026-043.png</t>
  </si>
  <si>
    <t>KHXH2026-044</t>
  </si>
  <si>
    <t>Ứng dụng học máy trong phát hiện sớm rủi ro tín dụng của doanh nghiệp nhỏ và vừa tại Thành phố Hồ Chí Minh</t>
  </si>
  <si>
    <t>Trương Lâm Bảo Thoa; Nguyễn Phan Minh Hân; Võ Nguyễn Thuỳ Dương; Nguyễn Như Ý; Lâm Phước Dị</t>
  </si>
  <si>
    <t>KHXH2026-044.png</t>
  </si>
  <si>
    <t>KHXH2026-045</t>
  </si>
  <si>
    <t>Tác động của vốn xã hội đối với hành vi vì môi trường của sinh viên các trường đại học ở TP. Hồ Chí Minh: Vai trò của thái độ môi trường và hiệu quả chính sách được nhận thức</t>
  </si>
  <si>
    <t>Nguyễn Quách Thảo Nhân; Võ Thị Kiều Mẫn; Huỳnh Diễm Mi; Ngô Thị Hà</t>
  </si>
  <si>
    <t>KHXH2026-045.png</t>
  </si>
  <si>
    <t>KHXH2026-046</t>
  </si>
  <si>
    <t>Ứng dụng trí tuệ nhân tạo tạo sinh (GenAI) trong khai thác thông tin phục vụ học tập của sinh viên trên địa bàn Hà Nội</t>
  </si>
  <si>
    <t>Trần Thị Phúc Như; Nguyễn Văn Thắng; Yên Thị Nhật Linh; Yên Thị Thảo; Vũ Thị Kiều Oanh</t>
  </si>
  <si>
    <t>Trường Đại học Văn hóa Hà Nội</t>
  </si>
  <si>
    <t>KHXH2026-046.png</t>
  </si>
  <si>
    <t>KHXH2026-047</t>
  </si>
  <si>
    <t>Pháp luật về quyền tự do ngôn luận trên không gian mạng ở Việt Nam</t>
  </si>
  <si>
    <t>Trương Thị Mỹ Tình; Trịnh Hoàng Phúc; Bùi Thị Như Ngọc; Đào Nguyên Đức</t>
  </si>
  <si>
    <t>Trường Đại học Luật, Đại học Huế</t>
  </si>
  <si>
    <t>KHXH2026-047.png</t>
  </si>
  <si>
    <t>KHXH2026-048</t>
  </si>
  <si>
    <t>Hiểu về ý định đầu tư xanh: Vai trò của hiểu biết đầu tư xanh và các yếu tố hành vi đối với thế hệ Gen Z tại Việt Nam</t>
  </si>
  <si>
    <t>Trần Phúc Quỳnh Phương; Vũ Hoàng Nhật Linh; Nguyễn Hoàng Thu An; Lê Đặng Châu Anh; Lê Ngọc Hà Vy</t>
  </si>
  <si>
    <t>KHXH2026-048.png</t>
  </si>
  <si>
    <t>KHXH2026-049</t>
  </si>
  <si>
    <t>ĐỀ XUẤT BỔ SUNG MÔ HÌNH CẢI TIẾN CẤU TRÚC KỲ THI ĐÁNH GIÁ NĂNG LỰC TIẾNG NHẬT (JLPT) DỰA TRÊN TIÊU CHUẨN CEFR</t>
  </si>
  <si>
    <t>Bùi Thanh Huỳnh Như; Nguyễn Ngọc Lan Vy; Nguyễn Thu Thảo</t>
  </si>
  <si>
    <t>KHXH2026-049.png</t>
  </si>
  <si>
    <t>KHXH2026-050</t>
  </si>
  <si>
    <t>Triệu chứng cơ xương khớp ở tài xế xe ôm công nghệ tại Thành phố Hồ Chí Minh.</t>
  </si>
  <si>
    <t>Nguyễn Ngọc Thảo Nguyên; Trần Hoài Huy</t>
  </si>
  <si>
    <t>KHXH2026-050.png</t>
  </si>
  <si>
    <t>KHXH2026-051</t>
  </si>
  <si>
    <t>HIỆU QUẢ CỦA CÁC CAN THIỆP CÓ THÀNH PHẦN ĐỒNG ĐẲNG ĐỐI VỚI HÀNH VI ĂN UỐNG Ở THANH THIẾU NIÊN: MỘT TỔNG QUAN HỆ THỐNG</t>
  </si>
  <si>
    <t>Nguyễn Thành Nam; Lâm Ngọc Khánh Linh</t>
  </si>
  <si>
    <t>KHXH2026-051.png</t>
  </si>
  <si>
    <t>KHXH2026-052</t>
  </si>
  <si>
    <t>Chất lượng giấc ngủ và các yếu tố liên quan đến người bệnh ung thư đang hoá trị tại Bệnh viện Đại học Y Dược Thành phố Hồ Chí Minh.</t>
  </si>
  <si>
    <t>Vũ Thị Hồng Anh; Nguyễn Ngọc Cẩm Vân; Huỳnh Nguyễn Huyền Trang</t>
  </si>
  <si>
    <t>KHXH2026-052.png</t>
  </si>
  <si>
    <t>KHXH2026-053</t>
  </si>
  <si>
    <t>PHÁT TRIỂN ỨNG DỤNG SỔ TAY ĐIỆN TỬ VỀ THUẬT NGỮ VÀ CÔNG ƯỚC QUỐC TẾ TRONG VẬN TẢI BIỂN PHỤC VỤ ĐÀO TẠO</t>
  </si>
  <si>
    <t>VŨ HOÀNG NAM; NGUYỄN THỊ PHƯƠNG; NGUYỄN THỊ ÁNH TUYẾT; LÊ MINH XUÂN; PHẠM MINH NGUYỆT</t>
  </si>
  <si>
    <t>Trường Đại học Hàng hải Việt Nam</t>
  </si>
  <si>
    <t>KHXH2026-053.png</t>
  </si>
  <si>
    <t>KHXH2026-054</t>
  </si>
  <si>
    <t>Pháp luật hiện hành về phòng, chống công nghệ giả mạo bằng trí tuệ nhân tạo (Deepfake) trong bối cảnh chuyển đổi số tại Việt Nam</t>
  </si>
  <si>
    <t>Nguyễn Kim Ngân; Trần Nguyễn Nhật Uyên; Trương Hoàng Thy Phương; Vũ Thùy Trang; Trần Thị Khánh Ngọc</t>
  </si>
  <si>
    <t>KHXH2026-054.png</t>
  </si>
  <si>
    <t>KHXH2026-055</t>
  </si>
  <si>
    <t>Tuyển dịch và nghiên cứu tư liệu Hán Nôm tại di tích Võ miếu Long Hồ tỉnh Vĩnh Long</t>
  </si>
  <si>
    <t>Đào Thị Thanh Mai</t>
  </si>
  <si>
    <t>Trường Đại học Khoa học xã hội và Nhân văn, ĐHQG-HCM</t>
  </si>
  <si>
    <t>KHXH2026-055.png</t>
  </si>
  <si>
    <t>KHXH2026-056</t>
  </si>
  <si>
    <t>Các yếu tố ảnh hưởng đến nhận thức về chuyển đổi số và năng lực tự học suốt đời của sinh viên</t>
  </si>
  <si>
    <t>Nguyễn Lê Ngọc Trâm; Lê Văn Vũ; Lê Thị Kiều Oanh; Phạm Thị Mỹ Duyên</t>
  </si>
  <si>
    <t>KHXH2026-056.png</t>
  </si>
  <si>
    <t>KHXH2026-057</t>
  </si>
  <si>
    <t>Ứng dụng công nghệ số trong việc xúc tiến, quảng bá các bảo tàng tại Thành phố Hồ Chí Minh</t>
  </si>
  <si>
    <t>Mai Anh Tuấn; Trần Yến Nhi; Trần Thị Mỹ Tình; Đinh Thanh Tuyền; Nguyễn Minh Mẩn</t>
  </si>
  <si>
    <t>KHXH2026-057.png</t>
  </si>
  <si>
    <t>KHXH2026-058</t>
  </si>
  <si>
    <t>Đánh giá tác động của việc sáp nhập đơn vị hành chính đến chất lượng và khả năng tiếp cận các dịch vụ công đô thị của người dân tại TP.HCM</t>
  </si>
  <si>
    <t>Nguyễn Đỗ Hoàng Uyên; Trần Diễm My</t>
  </si>
  <si>
    <t>KHXH2026-058.png</t>
  </si>
  <si>
    <t>KHXH2026-059</t>
  </si>
  <si>
    <t>Ảnh hưởng của Hallyu đến hành vi tiêu dùng xanh của sinh viên tại TP. Hồ Chí Minh</t>
  </si>
  <si>
    <t>Nguyễn Minh Phú; Ngô Ngụy Mỹ Hồng; Tô Quỳnh Trâm; Nguyễn Đào Uyên Nhi; Nguyễn Đặng Như Bình</t>
  </si>
  <si>
    <t>KHXH2026-059.png</t>
  </si>
  <si>
    <t>KHXH2026-060</t>
  </si>
  <si>
    <t>Video ngắn và hành vi tiêu dùng mỹ phẩm của thế hệ Z: Vai trò của niềm tin và tình yêu thương hiệu</t>
  </si>
  <si>
    <t>Phạm Thị Cẩm Tiên; Lê Công Sang; Võ An Khang; Huỳnh Thị Thiên Trâm; Chu Kim Gun</t>
  </si>
  <si>
    <t>KHXH2026-060.png</t>
  </si>
  <si>
    <t>KHXH2026-061</t>
  </si>
  <si>
    <t>Tác động của công nghiệp hóa, đô thị hóa và toàn cầu hóa đến sự phát triển con người ở Việt Nam</t>
  </si>
  <si>
    <t>Phạm Thị Hồng Ngọc; Nguyễn Khánh Toàn; Đào Thị Phương Ngân</t>
  </si>
  <si>
    <t>KHXH2026-061.png</t>
  </si>
  <si>
    <t>KHXH2026-062</t>
  </si>
  <si>
    <t>Các yếu tố tác động đến phát triển kinh tế số tại các quốc gia khu vực Đông Nam Á và bài học kinh nghiệm cho Việt Nam</t>
  </si>
  <si>
    <t>Nguyễn Thị Như Thùy; Ngô Thái Dương</t>
  </si>
  <si>
    <t>KHXH2026-062.png</t>
  </si>
  <si>
    <t>KHXH2026-063</t>
  </si>
  <si>
    <t>Nghiên cứu tác động của chuyển đổi số đến hiệu quả hoạt động của các ngân hàng thương mại tại Việt Nam</t>
  </si>
  <si>
    <t>Bùi Lê Uyên Nhi; Trần Thanh Hưng; Nguyễn Thành Đô; Nguyễn Minh Tài; Trần Thị Yến Duyên</t>
  </si>
  <si>
    <t>KHXH2026-063.png</t>
  </si>
  <si>
    <t>KHXH2026-064</t>
  </si>
  <si>
    <t>Phân tích tác động của ESG đến tăng trưởng doanh thu và tăng trưởng lợi nhuận của top 30 doanh nghiệp thực hiện báo cáo phát triển bền vững tại Việt Nam</t>
  </si>
  <si>
    <t>Huỳnh Trần Tina; Phạm Thị Huyền Trang; Trần Thị Tứ; Ngô Trần Thúy Linh; Nguyễn Thị Đoan Trang</t>
  </si>
  <si>
    <t>KHXH2026-064.png</t>
  </si>
  <si>
    <t>KHXH2026-065</t>
  </si>
  <si>
    <t>Sự tương tác giữa trí tuệ nhân tạo, công nghệ sạch và thị trường chứng khoán Việt Nam</t>
  </si>
  <si>
    <t>Trần Phạm Ngọc Khởi; Nguyễn Lê Minh Khang; Nguyễn Thị Khánh Linh; Nguyễn Thanh Trúc; Phan Thị Bích Nhẫm</t>
  </si>
  <si>
    <t>KHXH2026-065.png</t>
  </si>
  <si>
    <t>KHXH2026-066</t>
  </si>
  <si>
    <t>Ảnh hưởng của trí tuệ nhân tạo đến hành vi mua hàng ngẫu hứng: Trường hợp các ứng dụng thương mại di động tại Việt Nam</t>
  </si>
  <si>
    <t>Lê Lâm Ngọc Kha; Nguyễn Hoàng Kim Phụng; Lý Tú Bảo Ngân; Lê Thị Trúc Phương; Ngô Quốc Triệu</t>
  </si>
  <si>
    <t>KHXH2026-066.png</t>
  </si>
  <si>
    <t>KHXH2026-067</t>
  </si>
  <si>
    <t>Phát triển bền vững xuất khẩu thủy sản Việt Nam sang EU: Vai trò của các biện pháp phi thuế quan xanh, EVFTA và hiệu quả logistics</t>
  </si>
  <si>
    <t>Trần Anh Thy; Võ Hoàng Vân Anh; Lê Thành Đạt; Lê Phạm Trà My; Võ Ngọc Thúy Vy</t>
  </si>
  <si>
    <t>KHXH2026-067.png</t>
  </si>
  <si>
    <t>KHXH2026-068</t>
  </si>
  <si>
    <t>Tác động của trách nhiệm xã hội doanh nghiệp và xu hướng tiêu dùng xanh đến lòng trung thành của người tiêu dùng trẻ tại Thành phố Hồ Chí Minh</t>
  </si>
  <si>
    <t>Nguyễn Quỳnh Giang; Phan Thị Mỹ Kiều; Lê Văn Vũ</t>
  </si>
  <si>
    <t>KHXH2026-068.png</t>
  </si>
  <si>
    <t>KHXH2026-069</t>
  </si>
  <si>
    <t>Nâng cao khả năng đàn hồi của chuỗi cung ứng logistics lạnh ngành thủy hải sản tại khu vực miền Trung Việt Nam</t>
  </si>
  <si>
    <t>Đàm Nữ Quỳnh Anh; Phạm Ngọc Thạch</t>
  </si>
  <si>
    <t>KHXH2026-069.png</t>
  </si>
  <si>
    <t>KHXH2026-070</t>
  </si>
  <si>
    <t>The impact of fiscal policy on environmental sustainability in Asian countries: The regulatory role of Government in the context of digital transformation</t>
  </si>
  <si>
    <t>Nguyễn Nam Phương; Bùi Thu Hằng; Chu Thị Thu Hoài; Trần Quỳnh Hương; Lê Ngọc Phương Linh</t>
  </si>
  <si>
    <t>KHXH2026-070.png</t>
  </si>
  <si>
    <t>KHXH2026-071</t>
  </si>
  <si>
    <t>Đánh giá tác động của sự bất định giá dầu và rủi ro địa chính trị đến cổ phiếu ngành hàng không Việt Nam</t>
  </si>
  <si>
    <t>Lê Thị Mỹ Linh; Phan Thị Mỹ Duyên; Đinh Xuân Hải; Trần Anh Hiếu; Trần Văn Tiến</t>
  </si>
  <si>
    <t>KHXH2026-071.png</t>
  </si>
  <si>
    <t>KHXH2026-072</t>
  </si>
  <si>
    <t>Phong cách sống tối giản và hành vi tiêu dùng second-hand hướng đến phát triển bền vững của Gen Z</t>
  </si>
  <si>
    <t>Vũ Mai Anh; Phạm Nhật Khang; Trần Thị Thuỳ Dương; Nguyễn Tấn Phát; Trần Thị Bảo Uyên</t>
  </si>
  <si>
    <t>KHXH2026-072.png</t>
  </si>
  <si>
    <t>KHXH2026-073</t>
  </si>
  <si>
    <t>Các yếu tố ảnh hưởng đến năng lực xuất khẩu bền vững ngành dệt may của Việt Nam sang thị trường Hoa Kỳ: Vận dụng phương pháp MCDM</t>
  </si>
  <si>
    <t>Lê Nhơn Thanh Hậu; Trương Trịnh Minh Thư; Phạm Thị Kim Ngân; Lương Phương Thảo; Lê Phan Linh Chi</t>
  </si>
  <si>
    <t>KHXH2026-073.png</t>
  </si>
  <si>
    <t>KHXH2026-074</t>
  </si>
  <si>
    <t>Redefining the VBN Model: A key driver toward green consumption mindset through responsibility and sustainability</t>
  </si>
  <si>
    <t>Nguyễn Lý Bích Hậu; Phan Trần Như Ý; Nguyễn Tường Trang; Trần Thị Anh Thư</t>
  </si>
  <si>
    <t>KHXH2026-074.png</t>
  </si>
  <si>
    <t>KHXH2026-075</t>
  </si>
  <si>
    <t>Thách thức hay trở ngại? Mối quan hệ giữa hợp tác nhân viên-AI và sự gắn kết trong công việc: Các tác nhân gây căng thẳng công nghệ và niềm tin vào năng lực sử dụng AI</t>
  </si>
  <si>
    <t>Nguyễn Thị Thu Hà</t>
  </si>
  <si>
    <t>KHXH2026-075.png</t>
  </si>
  <si>
    <t>KHXH2026-076</t>
  </si>
  <si>
    <t>How customer experience drives online impulsive buying behavior: The moderating roles of materialism and normative influence</t>
  </si>
  <si>
    <t>Mai Khánh Ngân; Đỗ Thu Trang; Ngô Quốc An; Nguyễn Phương Linh; Ngô Phương Linh</t>
  </si>
  <si>
    <t>KHXH2026-076.png</t>
  </si>
  <si>
    <t>KHXH2026-077</t>
  </si>
  <si>
    <t>Nghiên cứu hiệu quả sử dụng ChatGPT trong việc học tiếng Trung của người học tại Hà Nội</t>
  </si>
  <si>
    <t>Vũ Hà Huệ Trân; Phạm Phương Anh; Nguyễn Khánh Linh; Nguyễn Phương Thảo; Lê Thị Huyền Trang</t>
  </si>
  <si>
    <t>KHXH2026-077.png</t>
  </si>
  <si>
    <t>KHXH2026-078</t>
  </si>
  <si>
    <t>Quy mô dân số Hồi giáo và sự phân hóa mức độ nhạy cảm Halal trong xuất khẩu thực phẩm của Việt Nam: Tiếp cận từ mô hình trọng lực</t>
  </si>
  <si>
    <t>Nguyễn Thị Mai Phương; Phạm Thị Bảo Ngọc; Nguyễn Phương Mai; Bùi Bích Phương; Phạm Thị Minh Thư</t>
  </si>
  <si>
    <t>KHXH2026-078.png</t>
  </si>
  <si>
    <t>KHXH2026-079</t>
  </si>
  <si>
    <t>Các rào cản đối với việc tiếp cận tài chính số của người cao tuổi và người lao động phi chính thức tại Hà Nội</t>
  </si>
  <si>
    <t>Phạm Gia Linh; Nguyễn Thị Thuý Hà; Đỗ Thuỳ Linh</t>
  </si>
  <si>
    <t>KHXH2026-079.png</t>
  </si>
  <si>
    <t>KHXH2026-080</t>
  </si>
  <si>
    <t>Tác động của hỗ trợ xã hội đến tình trạng kiệt quệ cảm xúc của sinh viên</t>
  </si>
  <si>
    <t>Lương Hà Châu; Đinh Thái Thuỳ Linh; Nguyễn Việt Hà; Trần Thị Diệu Linh; Mai Ngọc Anh</t>
  </si>
  <si>
    <t>KHXH2026-080.png</t>
  </si>
  <si>
    <t>KHXH2026-081</t>
  </si>
  <si>
    <t>Sự tham gia của người dân trong vận hành phố đi bộ Bùi Viện (Thành phố Hồ Chí Minh) theo cách tiếp cận dựa vào năng lực cộng đồng</t>
  </si>
  <si>
    <t>Phạm Hoàng Giang; Đặng Hải Hà; Đoàn Hương Giang; Nguyễn Thị Thiên Hương; Lê Minh Thuận</t>
  </si>
  <si>
    <t>KHXH2026-081.png</t>
  </si>
  <si>
    <t>KHXH2026-082</t>
  </si>
  <si>
    <t>Trải nghiệm của người khuyết tật vận động về khả năng tiếp cận tuyến đường sắt đô thị Metro số 1 (Bến Thành - Suối Tiên) tại Thành phố Hồ Chí Minh</t>
  </si>
  <si>
    <t>Phạm Trần Thanh Trâm; Nguyễn Ngọc Quỳnh Trâm</t>
  </si>
  <si>
    <t>KHXH2026-082.png</t>
  </si>
  <si>
    <t>KHXH2026-083</t>
  </si>
  <si>
    <t>Giải pháp chuyển đổi số trong việc quản lý và vận hành chợ truyền thống tại Thành phố Hồ Chí Minh</t>
  </si>
  <si>
    <t>Tô Nguyễn Hoàn Vũ; Trần Cao Phúc; Trần Anh Huy; Nguyễn Thục Hân; Lê Minh Châu</t>
  </si>
  <si>
    <t>KHXH2026-083.png</t>
  </si>
  <si>
    <t>KHXH2026-084</t>
  </si>
  <si>
    <t>Khảo sát hiệu quả của Chat GPT trong hỗ trợ viết tiểu luận tiếng Việt học thuật của sinh viên ngành Ngôn ngữ học.</t>
  </si>
  <si>
    <t>Trương Diệu Hoa; Nguyễn Ngọc Mỹ Tiên</t>
  </si>
  <si>
    <t>KHXH2026-084.png</t>
  </si>
  <si>
    <t>KHXH2026-085</t>
  </si>
  <si>
    <t>Xây dựng “Mặt trận số” bảo đảm an ninh, trật tự. Nghiên cứu trường hợp phường Hồng Ngự, tỉnh Đồng Tháp</t>
  </si>
  <si>
    <t>Dương Văn Huỳnh Điền; Phạm Thái Hiếu; Trần Bảo Trâm; Nguyễn Đức Thịnh; Nguyễn Luận Văn Kiện</t>
  </si>
  <si>
    <t>Trường Đại học An ninh Nhân dân</t>
  </si>
  <si>
    <t>KHXH2026-085.png</t>
  </si>
  <si>
    <t>KHXH2026-086</t>
  </si>
  <si>
    <t>Hoạt động của tôn giáo trên không gian mạng ở Việt Nam trong kỷ nguyên số và đề xuất, kiến nghị (Nghiên cứu trường hợp Phật giáo và Công giáo)</t>
  </si>
  <si>
    <t>Dương Thành Danh; Trương Tấn Phát; Nguyễn Đăng Vinh; Nguyễn Hữu Thịnh; Trần Anh Kiệt</t>
  </si>
  <si>
    <t>KHXH2026-086.png</t>
  </si>
  <si>
    <t>KHXH2026-087</t>
  </si>
  <si>
    <t>Nâng cao hiệu quả phổ biến, giáo dục pháp luật về an ninh, trật tự trên địa bàn xã Long Hoà, Thành phố Hồ Chí Minh</t>
  </si>
  <si>
    <t>Đoàn Nguyễn Duy; Nguyễn Trường An; Lê Tuấn Huy; Hồ Đức Huy; Phạm Minh Thường</t>
  </si>
  <si>
    <t>KHXH2026-087.png</t>
  </si>
  <si>
    <t>KHXH2026-088</t>
  </si>
  <si>
    <t>Nghiên cứu mô hình sinh kế cho ngư dân trong công tác chống khai thác IUU tại Thành phố Hồ Chí Minh</t>
  </si>
  <si>
    <t>Phạm Bá Đạt; Nguyễn Trung Kiên; Nguyễn Hồ Chí Nghĩa; Võ Minh Khoa</t>
  </si>
  <si>
    <t>KHXH2026-088.png</t>
  </si>
  <si>
    <t>KHXH2026-089</t>
  </si>
  <si>
    <t>Tác động của Hình ảnh thương hiệu xanh đến Sự ưu tiên thương hiệu xanh. Vai trò trung gian của Thái độ đối với thương hiệu xanh và vai trò điều tiết của Truyền miệng xanh</t>
  </si>
  <si>
    <t>Bùi Hoàng Mỹ Duyên; Huỳnh Thị Bích Trâm; Phan Đình Quốc Hưng; Trần Long Triều; Lê Quang Thành</t>
  </si>
  <si>
    <t>KHXH2026-089.png</t>
  </si>
  <si>
    <t>KHXH2026-090</t>
  </si>
  <si>
    <t>Nghiên cứu định hướng ứng dụng AI trong nâng cao năng lực ứng phó với vấn đề ùn tắc giao thông tại Hà Nội: Kinh nghiệm từ Seoul</t>
  </si>
  <si>
    <t>Lê Thị Ngọc Mai; Ngô Đức Mạnh</t>
  </si>
  <si>
    <t>Trường Đại học Hà Nội</t>
  </si>
  <si>
    <t>KHXH2026-090.png</t>
  </si>
  <si>
    <t>KHXH2026-091</t>
  </si>
  <si>
    <t>VAI TRÒ CỦA VĂN HOÁ VÀ PHÁP LUẬT TRONG THÚC ĐẨY BÌNH ĐẲNG GIỚI – NGHIÊN CỨU TRƯỜNG HỢP ICELAND, PHILIPPINES VÀ BÀI HỌC KINH NGHIỆM CHO VIỆT NAM</t>
  </si>
  <si>
    <t>Giang Ngọc Phương Anh; Phan Thị Ngọc Anh; Lê Hoàng Bách; Võ Nguyệt Hằng</t>
  </si>
  <si>
    <t>KHXH2026-091.png</t>
  </si>
  <si>
    <t>KHXH2026-092</t>
  </si>
  <si>
    <t>Sự giao thoa giữa Nho giáo và văn hóa bản địa trong Luật Hồng Đức: Giá trị kế thừa trong pháp Luật Hôn nhân và Gia đình hiện đại</t>
  </si>
  <si>
    <t>Quách Ngọc Mỹ; Ngô Ngọc Bảo Châu; Trần Hoàng Anh; Cao Thị Hoàng Ngọc; Trần Vũ Trà My</t>
  </si>
  <si>
    <t>KHXH2026-092.png</t>
  </si>
  <si>
    <t>KHXH2026-093</t>
  </si>
  <si>
    <t>Hoạt động của Ban Công tác Thành ở Sài Gòn - Gia Định từ năm 1945 đến năm 1954</t>
  </si>
  <si>
    <t>Ngô Thị Ngọc Duy; Lư Minh Đạt; Nguyễn Hoàng Phúc</t>
  </si>
  <si>
    <t>Trường Đại học Sư phạm TP. Hồ Chí Minh</t>
  </si>
  <si>
    <t>KHXH2026-093.png</t>
  </si>
  <si>
    <t>KHXH2026-094</t>
  </si>
  <si>
    <t>Hoạt động tấn công mạng vào hệ thống thông tin của các doanh nghiệp Việt Nam và những vấn đề đặt ra đối với công tác Công an</t>
  </si>
  <si>
    <t>Nông Quốc Phong</t>
  </si>
  <si>
    <t>Học viện An ninh nhân dân</t>
  </si>
  <si>
    <t>KHXH2026-094.png</t>
  </si>
  <si>
    <t>KHXH2026-095</t>
  </si>
  <si>
    <t>HÌNH TƯỢNG KHƯƠNG TỬ NHA TRONG PHONG THẦN DIỄN NGHĨA: SỰ GIAO THOA GIỮA NHO – ĐẠO – TÍN NGƯỠNG DÂN</t>
  </si>
  <si>
    <t>Nguyễn Thu Thảo; Đào Hương Ly; Phạm Thuý Hiền</t>
  </si>
  <si>
    <t>Trường Đại học Ngoại ngữ, ĐHQG Hà Nội</t>
  </si>
  <si>
    <t>KHXH2026-095.png</t>
  </si>
  <si>
    <t>KHXH2026-096</t>
  </si>
  <si>
    <t>Nâng cao nhận thức của sinh viên các trường đại học trên địa bàn thành phố Hà Nội về thủ đoạn lừa đảo trên mạng Internet</t>
  </si>
  <si>
    <t>Nguyễn Hồ Gia Bảo</t>
  </si>
  <si>
    <t>KHXH2026-096.png</t>
  </si>
  <si>
    <t>KHXH2026-097</t>
  </si>
  <si>
    <t>Identifying key drivers of I-REC redemption in Vietnam: A high-dimensional LASSO approach</t>
  </si>
  <si>
    <t>Nguyễn Thị Phương Dung; Nguyễn Xuân Tùng; Trần Hữu Huy Hoàng</t>
  </si>
  <si>
    <t>KHXH2026-097.png</t>
  </si>
  <si>
    <t>KHXH2026-098</t>
  </si>
  <si>
    <t>Effective Tax Rates (ETR), Gross Fixed Capital Formation (GFCF), and Foreign Direct Investment (FDI) in Developing Countries: Evidence Before and After the Implementation of the Global Minimum Tax (GMT)</t>
  </si>
  <si>
    <t>Trần Đặng Phương Linh; Trần Bảo Ngọc; Lê Ngọc Hà My; Lê Thị Hương</t>
  </si>
  <si>
    <t>KHXH2026-098.png</t>
  </si>
  <si>
    <t>KHXH2026-099</t>
  </si>
  <si>
    <t>Waves of globalization and digitalization: Amplifying or mitigating income inequality in the developing world? (Làn sóng toàn cầu hóa và chuyển đổi số: Làm trầm trọng thêm hay giảm thiểu bất bình đẳng thu nhập ở các nước đang phát triển?)</t>
  </si>
  <si>
    <t>Lữ Phụng Minh Như</t>
  </si>
  <si>
    <t>KHXH2026-099.png</t>
  </si>
  <si>
    <t>KHXH2026-100</t>
  </si>
  <si>
    <t>Bảo vệ người lao động trước quấy rối quyền lực tại nơi làm việc: Nghiên cứu pháp luật Nhật Bản và gợi mở cho Việt Nam</t>
  </si>
  <si>
    <t>Lê Thủy Tiên; Dương Thiên My; Vũ Lê Bảo Châu; Trương Trần Thu Minh</t>
  </si>
  <si>
    <t>KHXH2026-100.png</t>
  </si>
  <si>
    <t>KHXH2026-101</t>
  </si>
  <si>
    <t>NHẬN THỨC VỀ HOẠT ĐỘNG ESG ẢNH HƯỞNG ĐẾN HÀNH VI CÔNG DÂN TỔ CHỨC CỦA NHÂN VIÊN TRONG DOANH NGHIỆP VỪA VÀ NHỎ</t>
  </si>
  <si>
    <t>Nguyễn Thị Thanh Huyền; Đồng Thị Thúy; Nguyễn Thị Hải Linh</t>
  </si>
  <si>
    <t>KHXH2026-101.png</t>
  </si>
  <si>
    <t>KHXH2026-102</t>
  </si>
  <si>
    <t>A comparative study of Gen Y and Gen Z purchase intentions toward beverages with recyclable packaging in Ho Chi Minh City and implications for EPR (Nghiên cứu so sánh về nhân tố ảnh hưởng ý định mua hàng của thế hệ Y và thế hệ Z đối với đồ uống có bao bì tái chế tại Thành phố Hồ Chí Minh và những hàm ý đối với Trách nhiệm mở rộng của nhà sản xuất (EPR))</t>
  </si>
  <si>
    <t>Nguyễn Vũ Quỳnh Như; Nguyễn Đình Thoại; Nguyễn Quốc Bảo; Nguyễn Vương Hoàng Nguyên; Nguyễn Trần Trúc Doanh</t>
  </si>
  <si>
    <t>KHXH2026-102.png</t>
  </si>
  <si>
    <t>KHXH2026-103</t>
  </si>
  <si>
    <t>Ảnh hưởng của chất lượng kiểm toán đến quản trị lợi nhuận tại các doanh nghiệp niêm yết ở Việt Nam</t>
  </si>
  <si>
    <t>Nguyễn Ngọc Thảo Vy; Nguyễn Doanh Danh; Trần Thị Minh Anh; Trần Ngọc Khánh Quỳnh; Cam Nguyễn Phúc Duyên</t>
  </si>
  <si>
    <t>KHXH2026-103.png</t>
  </si>
  <si>
    <t>KHXH2026-104</t>
  </si>
  <si>
    <t>Tác động của nhận thức về sự bất định đến hành vi tiêu dùng phi lý trí của Gen Z tại Thành phố Hồ Chí Minh: Vai trò của nhận thức về giá trị, nhận thức về rủi ro và khả năng tự chủ</t>
  </si>
  <si>
    <t>Ngô Thị Thúy Ny; Ngô Thị Thảo Nhi; Lê Minh Nhựt; Phạm Gia Khiêm; Trần Thị Thảo Nguyên</t>
  </si>
  <si>
    <t>KHXH2026-104.png</t>
  </si>
  <si>
    <t>KHXH2026-105</t>
  </si>
  <si>
    <t>The Effect of Green Supply Chain Management Practices on Export Competitiveness in Vietnam's Textile and Garment Industry: The Mediating Role of Environmental Collaboration</t>
  </si>
  <si>
    <t>Nguyễn Trần Phương Trúc; Lê Mẫn; Phạm Hồng Thy; Võ Huỳnh Gia Nghi</t>
  </si>
  <si>
    <t>KHXH2026-105.png</t>
  </si>
  <si>
    <t>KHXH2026-106</t>
  </si>
  <si>
    <t>Nghiên cứu tác động của giọng điệu lạc quan đến ý kiến kiểm toán dưới ảnh hưởng điều tiết của nhiệm kỳ kiểm toán: Bằng chứng thực nghiệm tại Việt Nam</t>
  </si>
  <si>
    <t>Lê Minh Nguyệt; Phan Thị Phương Diễm; Phạm Yến Vi; Nguyễn Thị Mỹ Tâm</t>
  </si>
  <si>
    <t>KHXH2026-106.png</t>
  </si>
  <si>
    <t>KHXH2026-107</t>
  </si>
  <si>
    <t>Tác động của đổi mới sáng tạo và tham gia chuỗi giá trị toàn cầu tới phi toàn cầu hóa: Bằng chứng từ các quốc gia trên thế giới và hàm ý cho Việt Nam</t>
  </si>
  <si>
    <t>Nguyễn Mỹ Duyên; Nguyễn Thị Mai Phương; Nguyễn Thị Oanh; Nguyễn Thị Thu Nga; Nguyễn Minh Anh</t>
  </si>
  <si>
    <t>KHXH2026-107.png</t>
  </si>
  <si>
    <t>KHXH2026-108</t>
  </si>
  <si>
    <t>Chủ nghĩa cá nhân cực đoan và ảo tưởng tự do trên không gian mạng của sinh viên trong kỷ nguyên số hiện nay</t>
  </si>
  <si>
    <t>Nguyễn Trung Kiên; Đàm Hoàng Vy; Bùi Cẩm Đào; Nguyễn Phương Trang; Đậu Lê Minh Hạnh</t>
  </si>
  <si>
    <t>KHXH2026-108.png</t>
  </si>
  <si>
    <t>KHXH2026-109</t>
  </si>
  <si>
    <t>THE IMPACT OF DIGITAL TRANSFORMATION ON FEMALE EMPLOYMENT IN COMMERCIAL BANKS ACROSS 10 ASEAN COUNTRIES</t>
  </si>
  <si>
    <t>Nguyễn Thảo Trang; Nguyễn Phan Trung Nghĩa; Nguyễn Quang Mạnh; Vũ Khánh Linh; Lã Thị Thu Trang</t>
  </si>
  <si>
    <t>KHXH2026-109.png</t>
  </si>
  <si>
    <t>KHXH2026-110</t>
  </si>
  <si>
    <t>Nhận thức của sinh viên khoa Trung tại một trường đại học ở Việt Nam về thực trạng và tác động của việc dùng ChatGPT trong kỹ năng viết.</t>
  </si>
  <si>
    <t>Trần Thái Tuấn; Trần Tuấn An</t>
  </si>
  <si>
    <t>KHXH2026-110.png</t>
  </si>
  <si>
    <t>KHXH2026-111</t>
  </si>
  <si>
    <t>SÁNG KIẾN VÀNH ĐAI VÀ CON ĐƯỜNG THÚC ĐẨY HAY LÀM SAI LỆCH CHUYỂN DỊCH CƠ CẤU? BẰNG CHỨNG THỨC NGHIỆM ĐA QUỐC GIA</t>
  </si>
  <si>
    <t>Cam Nguyễn Phúc Duyên; Nguyễn Ngọc Bảo An</t>
  </si>
  <si>
    <t>KHXH2026-111.png</t>
  </si>
  <si>
    <t>KHXH2026-112</t>
  </si>
  <si>
    <t>Customer perception of Green Marketing and Sustainable Suppy Chain practices: Impacts on GenZ's Customer Intention in Fashion Industry in Ho Chi Minh city</t>
  </si>
  <si>
    <t>Trần Nhật Diễm; Bùi Ngọc Hoa; Hồ Nguyên Quỳnh; Lâm Quỳnh Nhi; Đoàn Ngọc Thảo Vy</t>
  </si>
  <si>
    <t>KHXH2026-112.png</t>
  </si>
  <si>
    <t>KHXH2026-113</t>
  </si>
  <si>
    <t>PHÁT HUY GIÁ TRỊ LÀNG NGHỀ LÀM NƯỚC MẮM TRUYỀN THỐNG PHÚ QUỐC GẮN VỚI SINH KẾ CỘNG ĐỒNG: XÂY DỰNG MÔ HÌNH DU LỊCH TRẢI NGHIỆM BỀN VỮNG</t>
  </si>
  <si>
    <t>Nguyễn Thế Phát; Phạm Hoài Anh; Trần Thị Thảo Quyên; Nguyễn Ngọc Hà My; Võ Trọng Quốc Huy</t>
  </si>
  <si>
    <t>KHXH2026-113.png</t>
  </si>
  <si>
    <t>KHXH2026-114</t>
  </si>
  <si>
    <t>Ảnh hưởng của công nghệ thực tế ảo đến trải nghiệm du lịch và ý định hành vi của khách du lịch: Vai trò điều tiết của việc tìm kiếm sự mới lạ</t>
  </si>
  <si>
    <t>Nguyễn Bá Đạt; Phan Thị Khánh Huyền; Phan Đặng Khánh Linh; Nguyễn Tuấn Anh; Trần Thị Phương Linh</t>
  </si>
  <si>
    <t>Trường Đại học Thương mại</t>
  </si>
  <si>
    <t>KHXH2026-114.png</t>
  </si>
  <si>
    <t>KHXH2026-115</t>
  </si>
  <si>
    <t>Hành vi tìm việc của thế hệ Gen Z trên nền tảng Threads tại Việt Nam: Các yếu tố ảnh hưởng và vai trò của ý định ở lại tổ chức</t>
  </si>
  <si>
    <t>Lê Thị Thảo</t>
  </si>
  <si>
    <t>KHXH2026-115.png</t>
  </si>
  <si>
    <t>KHXH2026-116</t>
  </si>
  <si>
    <t>THE IMPACT OF LANGUAGE LEARNERS' PERFECTIONISM ON PROACTIVE PERSONALITY IN HIGHER EDUCATION</t>
  </si>
  <si>
    <t>Phan Thị Anh Thư; Lê Hà Minh Anh</t>
  </si>
  <si>
    <t>KHXH2026-116.png</t>
  </si>
  <si>
    <t>KHXH2026-117</t>
  </si>
  <si>
    <t>Nghiên cứu chuyển dịch cụm từ miêu tả cảnh sắc thiên nhiên trong bản tin du lịch Việt Nam sang tiếng Trung</t>
  </si>
  <si>
    <t>Nguyễn Ánh Tuyết; Nguyễn Phương Quỳnh; Lê Thị Thanh Nhàn</t>
  </si>
  <si>
    <t>KHXH2026-117.png</t>
  </si>
  <si>
    <t>KHXH2026-118</t>
  </si>
  <si>
    <t>Bước đầu tìm hiểu về ảnh hưởng của ngôn ngữ mạng Tiếng Trung Quốc đến việc học từ vựng của sinh viên năm thứ nhất ngành Ngôn ngữ Trung Quốc, Trường Đại học Mở Hà Nội</t>
  </si>
  <si>
    <t>Bùi Ngọc Huy; Nguyễn Hữu Huy; Đỗ Thị Ly</t>
  </si>
  <si>
    <t>KHXH2026-118.png</t>
  </si>
  <si>
    <t>KHXH2026-119</t>
  </si>
  <si>
    <t>Facebook users' condolence strategies: a comparative study of English and Vietnamese responses to the death of Heads of State</t>
  </si>
  <si>
    <t>Lê Thị Thùy Dung; Nguyễn Tuấn Minh</t>
  </si>
  <si>
    <t>KHXH2026-119.png</t>
  </si>
  <si>
    <t>KHXH2026-120</t>
  </si>
  <si>
    <t>The Impact of Chat GPT on the Translation Skill Development of Third-Year Students of English at Hanoi Open University</t>
  </si>
  <si>
    <t>Lê Thị Hồng Minh; Nguyễn Thủy Tiên</t>
  </si>
  <si>
    <t>KHXH2026-120.png</t>
  </si>
  <si>
    <t>KHXH2026-121</t>
  </si>
  <si>
    <t>Nghiên cứu hệ thống từ ngữ trong tác phẩm của Nguyễn Ngọc Tư từ góc nhìn ngôn ngữ học sinh thái.</t>
  </si>
  <si>
    <t>Nguyễn Thị Minh Phương</t>
  </si>
  <si>
    <t>Trường Đại học Sư phạm Hà Nội 2</t>
  </si>
  <si>
    <t>KHXH2026-121.png</t>
  </si>
  <si>
    <t>KHXH2026-122</t>
  </si>
  <si>
    <t>Những khó khăn trong việc phát triển ý tưởng khi nói tiếng Anh của sinh viên năm nhất ngành Ngôn ngữ Anh tại Đại học Phenikaa và các biện pháp khắc phục</t>
  </si>
  <si>
    <t>Đỗ Thị Ngọc Như; Phạm Mai Hương; Lê Phương Linh</t>
  </si>
  <si>
    <t>KHXH2026-122.png</t>
  </si>
  <si>
    <t>KHXH2026-123</t>
  </si>
  <si>
    <t>Nhận thức của sinh viên về Grammarly như một công cụ hỗ trợ viết trong tiếng Anh học thuật</t>
  </si>
  <si>
    <t>Phạm Nguyễn Yến Nhi; Dương Thùy Trâm; Phạm Huyền Trang</t>
  </si>
  <si>
    <t>KHXH2026-123.png</t>
  </si>
  <si>
    <t>KHXH2026-124</t>
  </si>
  <si>
    <t>Strategic Uses of Silence in Interaction: A Critical Discourse Analysis</t>
  </si>
  <si>
    <t>Nguyễn Minh Quân; Đào Thị Lan Anh</t>
  </si>
  <si>
    <t>KHXH2026-124.png</t>
  </si>
  <si>
    <t>KHXH2026-125</t>
  </si>
  <si>
    <t>Tư duy “nỗ lực cực hạn” trong giáo dục Hàn Quốc và kinh nghiệm cho Việt Nam</t>
  </si>
  <si>
    <t>Võ Phương Thùy</t>
  </si>
  <si>
    <t>Trường Đại học Quốc tế Sài Gòn</t>
  </si>
  <si>
    <t>KHXH2026-125.png</t>
  </si>
  <si>
    <t>KHXH2026-126</t>
  </si>
  <si>
    <t>An Analysis of The Use of Metaphors in Taylor Swift’s Song Lyrics from the Album The Tortured Poets Department</t>
  </si>
  <si>
    <t>Bùi Phạm Ngân Hà; Đoàn Khánh Duy</t>
  </si>
  <si>
    <t>KHXH2026-126.png</t>
  </si>
  <si>
    <t>KHXH2026-127</t>
  </si>
  <si>
    <t>Integrating art-based learning in English language instruction for underprivileged children: A case study at a community center in Ho Chi Minh City</t>
  </si>
  <si>
    <t>Hồ Tường Vy; Phạm Ngọc Thuỳ Nhi; Trần Quốc Anh</t>
  </si>
  <si>
    <t>KHXH2026-127.png</t>
  </si>
  <si>
    <t>KHXH2026-128</t>
  </si>
  <si>
    <t>Integrating ecological literacy for sustainable development in higher education: a mixed-methods study on EFL students' competence and lecturers' perspectives</t>
  </si>
  <si>
    <t>Trương Trúc Quỳnh; Đặng Thị Thanh Trúc; Phan Ngọc Trân</t>
  </si>
  <si>
    <t>KHXH2026-128.png</t>
  </si>
  <si>
    <t>KHXH2026-129</t>
  </si>
  <si>
    <t>KHUNG NGỮ NGHĨA LIÊN QUAN ĐẾN VỊ TỪ NÓI NĂNG TIẾNG VIỆT, TIẾNG NHẬT (Trường hợp một số vị từ phổ biến)</t>
  </si>
  <si>
    <t>Dương Thùy Anh; Nguyễn Đặng Phương Thanh; Hoàng Ngọc Nguyễn Minh Khuê; Huỳnh Hãi Đăng</t>
  </si>
  <si>
    <t>KHXH2026-129.png</t>
  </si>
  <si>
    <t>KHXH2026-130</t>
  </si>
  <si>
    <t>Chuyển dịch đơn chiều kết cấu tồn tại Nhật - Việt và Nhật - Anh trong một số tác phẩm văn học Nhật Bản</t>
  </si>
  <si>
    <t>Nguyễn Lê Khánh Ly; Huỳnh Bạch Phát Đạt; Lưu Gia Bảo; Nguyễn Anh Nhi</t>
  </si>
  <si>
    <t>KHXH2026-130.png</t>
  </si>
  <si>
    <t>KHXH2026-131</t>
  </si>
  <si>
    <t>Patterns and Experiences: Multi-Clause Sentences in Academic Writing by English-majored Freshmen</t>
  </si>
  <si>
    <t>Trần Bảo Trân; Phan Lê Hà Vy</t>
  </si>
  <si>
    <t>KHXH2026-131.png</t>
  </si>
  <si>
    <t>KHXH2026-132</t>
  </si>
  <si>
    <t>KHẢO SÁT THỰC TRẠNG TỰ NHẬN THỨC CỦA SINH VIÊN NGÀNH NGÔN NGỮ TRUNG QUỐC TRONG VIỆC HỌC PHÁT ÂM THÔNG QUA MẠNG XÃ HỘI</t>
  </si>
  <si>
    <t>Trần Thị Tuyết Anh; Đỗ Thị Bích Thật; Nguyễn Nhật Lam</t>
  </si>
  <si>
    <t>KHXH2026-132.png</t>
  </si>
  <si>
    <t>KHXH2026-133</t>
  </si>
  <si>
    <t>Dự đoán ý định của học sinh Việt Nam trong việc sử dụng ứng dụng học từ vựng: Phân tích hồi quy tuyến tính (Predicting Vietnamese Students' Intention to Use Mobile Game-Bas ed Vocabulary Learning Applications: A Multiple Regression Study)</t>
  </si>
  <si>
    <t>Huỳnh Minh Thư</t>
  </si>
  <si>
    <t>KHXH2026-133.png</t>
  </si>
  <si>
    <t>KHXH2026-134</t>
  </si>
  <si>
    <t>KHẢO SÁT TÌNH TRẠNG SỬ DỤNG CHATGPT TRONG HOẠT ĐỘNG DỊCH THUẬT TIẾNG TRUNG QUỐC</t>
  </si>
  <si>
    <t>Huỳnh Thị Nhẫn; Nguyễn Thị Mỹ Hân; Trần Mỹ Phượng; Nguyễn Hoàng Ánh</t>
  </si>
  <si>
    <t>KHXH2026-134.png</t>
  </si>
  <si>
    <t>KHXH2026-135</t>
  </si>
  <si>
    <t>KHÓ KHĂN VÀ GIẢI PHÁP TRONG ĐỌC HIỂU TÀI LIỆU DƯỢC KHOA BẰNG TIẾNG ANH CHUYÊN NGÀNH CỦA SINH VIÊN NGÀNH DƯỢC</t>
  </si>
  <si>
    <t>Nguyễn Thị Trà My; Nguyễn Đoàn Bảo Ngọc; Phan Nguyễn Trãi</t>
  </si>
  <si>
    <t>KHXH2026-135.png</t>
  </si>
  <si>
    <t>KHXH2026-136</t>
  </si>
  <si>
    <t>Khảo sát về ảnh hưởng của hai phụ âm /ʈ /và /c/ trong tiếng Việt của sinh viên Trường Đại học Văn Hiến sống ở khu vực Đồng Bằng Sông Cửu Long lên phát âm của hai phụ âm /t∫/ và /dʒ/ trong tiếng Anh</t>
  </si>
  <si>
    <t>Nguyễn Đại Nguyên; Huỳnh Anh Thư; Phan Nguyễn Minh Thư; Huỳnh Ngọc Kiều My; Triệu Thị Yến Nhi</t>
  </si>
  <si>
    <t>KHXH2026-136.png</t>
  </si>
  <si>
    <t>KHXH2026-137</t>
  </si>
  <si>
    <t>KHẢO SÁT NHU CẦU HỌC TIẾNG TRUNG VÀ NHU CẦU TÌM HIỂU CƠ HỘI HỌC TẬP TẠI TRUNG QUỐC CỦA SINH VIÊN KHÔNG CHUYÊN Ở THÀNH PHỐ HỒ CHÍ MINH</t>
  </si>
  <si>
    <t>Chế Thị Trà Mi; Nguyễn La Diễm Quỳnh</t>
  </si>
  <si>
    <t>KHXH2026-137.png</t>
  </si>
  <si>
    <t>KHXH2026-138</t>
  </si>
  <si>
    <t>Ảnh hưởng của Kỹ thuật Viết Prompt đối với Hiệu suất làm bài IELTS Writing Task 2 của sinh viên chuyên ngành tiếng Anh tại Trường Đại Học Văn Hiến</t>
  </si>
  <si>
    <t>Bành Thị Mỹ Ngọc</t>
  </si>
  <si>
    <t>KHXH2026-138.png</t>
  </si>
  <si>
    <t>KHXH2026-139</t>
  </si>
  <si>
    <t>Ứng dụng trí tuệ nhân tạo (AI) trong việc học tập kỹ năng viết Tiếng Trung</t>
  </si>
  <si>
    <t>Lê Đào Việt Hân</t>
  </si>
  <si>
    <t>KHXH2026-139.png</t>
  </si>
  <si>
    <t>KHXH2026-140</t>
  </si>
  <si>
    <t>Nghiên cứu sự tiếp nhận văn hóa Trung Quốc của sinh viên ngành ngôn ngữ Trung Quốc thông qua nền tản tiktok và các sản phẩm phim ảnh</t>
  </si>
  <si>
    <t>Chung Thanh Hoài</t>
  </si>
  <si>
    <t>KHXH2026-140.png</t>
  </si>
  <si>
    <t>KHXH2026-141</t>
  </si>
  <si>
    <t>DIỄN NGÔN VỀ TÍN NGƯỠNG THỜ MẪU TRÊN KHÔNG GIAN MẠNG TỪ GÓC NHÌN NGÔN NGỮ HỌC VĂN HÓA</t>
  </si>
  <si>
    <t>Phùng Quang Vinh; Nguyễn Văn Thạch; Nguyễn Thị Khánh Ly; Nguyễn Hồ Mỹ Đức; Nguyễn Ngọc Trân</t>
  </si>
  <si>
    <t>Trường Đại học Sài Gòn</t>
  </si>
  <si>
    <t>KHXH2026-141.png</t>
  </si>
  <si>
    <t>KHXH2026-142</t>
  </si>
  <si>
    <t>Thái độ của sinh viên một số trường đại học tại Thành phố Hồ Chí Minh đối với việc sử dụng tiếng Việt trên mạng xã hội của giới trẻ hiện nay</t>
  </si>
  <si>
    <t>Lương Lê Minh Thư; Nguyễn Minh Ngọc; Trần Triệu Vy; Phạm Ngọc Yến; Nguyễn Thị Hoàng Hà</t>
  </si>
  <si>
    <t>KHXH2026-142.png</t>
  </si>
  <si>
    <t>KHXH2026-143</t>
  </si>
  <si>
    <t>Exploring English-Majored Sophomore Students’ Coping Strategies for Managing Impromptu Speaking Anxiety at HUFLIT</t>
  </si>
  <si>
    <t>Nguyễn Thị Huỳnh Anh</t>
  </si>
  <si>
    <t>KHXH2026-143.png</t>
  </si>
  <si>
    <t>KHXH2026-144</t>
  </si>
  <si>
    <t>The Impacts of English Information Literacy on University Students' Ability to Detect Misinformation in Digital Media: Evidence from Vietnam</t>
  </si>
  <si>
    <t>Tiêu Triệu Vy; Lê Thị Nhật Vy</t>
  </si>
  <si>
    <t>KHXH2026-144.png</t>
  </si>
  <si>
    <t>KHXH2026-145</t>
  </si>
  <si>
    <t>MỐI TƯƠNG QUAN GIỮA THÁI ĐỘ CỦA SINH VIÊN CHUYÊN NGÀNH NGÔN NGỮ ANH VỚI SỰ TỰ NGUYỆN THAM GIA HOẠT ĐỘNG ĐÓNG VAI TRONG GIỜ HỌC</t>
  </si>
  <si>
    <t>Nguyễn Thùy Phương; Huỳnh Như Ngọc</t>
  </si>
  <si>
    <t>KHXH2026-145.png</t>
  </si>
  <si>
    <t>KHXH2026-146</t>
  </si>
  <si>
    <t>Nghiên cứu ảnh hưởng của lo âu trong giao tiếp tiếng Trung đến hiệu quả giao tiếp của sinh viên năm 1 và năm 2 ngành Ngôn Ngữ Trung Quốc</t>
  </si>
  <si>
    <t>Vũ Phương Như</t>
  </si>
  <si>
    <t>KHXH2026-146.png</t>
  </si>
  <si>
    <t>KHXH2026-147</t>
  </si>
  <si>
    <t>Xây dựng và ứng dụng “Cây từ vựng Hán Việt HSK 3.0” cho sinh viên năm 2 ngành Ngôn Ngữ Trung Quốc</t>
  </si>
  <si>
    <t>Nguyễn Thị Cẩm Bình</t>
  </si>
  <si>
    <t>KHXH2026-147.png</t>
  </si>
  <si>
    <t>KHXH2026-148</t>
  </si>
  <si>
    <t>Exploring University Students' Perceptions of Research-Based Learning Activities on Vocabulary Acquisition: A Mixed-Methods Study</t>
  </si>
  <si>
    <t>Phạm Quỳnh Như; Trần Đăng Huy</t>
  </si>
  <si>
    <t>KHXH2026-148.png</t>
  </si>
  <si>
    <t>KHXH2026-149</t>
  </si>
  <si>
    <t>Phân tích yếu tố văn hóa Nga ảnh hưởng đến quá trình thụ đắc từ vựng của sinh viên Khoa Tiếng Nga</t>
  </si>
  <si>
    <t>Đào Thị Ngọc Hân; Nguyễn Hoàng Ánh Thy; Huỳnh Bảo Trân</t>
  </si>
  <si>
    <t>KHXH2026-149.png</t>
  </si>
  <si>
    <t>KHXH2026-150</t>
  </si>
  <si>
    <t>So sánh chất lượng dịch Hàn-Việt của các công cụ trí tuệ nhân tạo theo thể loại văn bản: Trường hợp Google Dịch và ChatGPT</t>
  </si>
  <si>
    <t>Trần Quốc Hoàng</t>
  </si>
  <si>
    <t>KHXH2026-150.png</t>
  </si>
  <si>
    <t>KHXH2026-151</t>
  </si>
  <si>
    <t>Đối chiếu từ “만나다” trong tiếng Hàn và từ “gặp” trong tiếng Việt bằng phương pháp phân tích quan hệ đồng hiện</t>
  </si>
  <si>
    <t>Nguyễn Thị Phương Thảo; Vũ Thu Hiền</t>
  </si>
  <si>
    <t>KHXH2026-151.png</t>
  </si>
  <si>
    <t>KHXH2026-152</t>
  </si>
  <si>
    <t>Đối chiếu chức năng ngữ dụng của “了₂” trong tiếng Hán và các phương thức biểu đạt tương ứng trong Tiếng Việt.</t>
  </si>
  <si>
    <t>Lê Quốc Anh; Lê Thị Quyên; Trần Quang Anh Vũ; Nguyễn Anh Đức; Nguyễn Nguyệt Ánh</t>
  </si>
  <si>
    <t>KHXH2026-152.png</t>
  </si>
  <si>
    <t>KHXH2026-153</t>
  </si>
  <si>
    <t>Lỗi ngữ pháp của học sinh trung học cơ sở và các đề xuất cải tiến</t>
  </si>
  <si>
    <t>Phan Kiều Anh Thư; Lê Thị Xuân Mai; Lê Huyền Thương</t>
  </si>
  <si>
    <t>KHXH2026-153.png</t>
  </si>
  <si>
    <t>KHXH2026-154</t>
  </si>
  <si>
    <t>Biếm hoạ báo chí việt nam từ năm 2020 đến nay dưới góc nhìn ngôn ngữ học</t>
  </si>
  <si>
    <t>Trần Anh Vũ</t>
  </si>
  <si>
    <t>KHXH2026-154.png</t>
  </si>
  <si>
    <t>KHXH2026-155</t>
  </si>
  <si>
    <t>Phân tích Hồ sơ ẩn người học EFL dựa trên khả năng sử dụng Cụm từ vựng trong viết học thuật tiếng Anh</t>
  </si>
  <si>
    <t>Nguyễn Thị Thanh Nga; Nguyễn Gia Khánh; Mai Hoàng Minh Hiếu</t>
  </si>
  <si>
    <t>KHXH2026-155.png</t>
  </si>
  <si>
    <t>KHXH2026-156</t>
  </si>
  <si>
    <t>Giải mã hình tượng nữ giới: Nghiên cứu Phân tích Diễn ngôn Phê phán Đa phương thức các quảng cáo NIVEA Việt Nam trên YouTube giai đoạn 2013-2026</t>
  </si>
  <si>
    <t>Trần Đức Vũ</t>
  </si>
  <si>
    <t>KHXH2026-156.png</t>
  </si>
  <si>
    <t>KHXH2026-157</t>
  </si>
  <si>
    <t>Kiểm chứng phương án giảng dạy tiểu từ chỉ nguyên nhân ‘-에’ và ‘-(으)로’ cho sinh viên Việt Nam học tiếng Hàn: Từ phân tích cách sử dụng đến thực nghiệm ứng dụng sư phạm</t>
  </si>
  <si>
    <t>Nguyễn Thị Thảo Uyên</t>
  </si>
  <si>
    <t>KHXH2026-157.png</t>
  </si>
  <si>
    <t>KHXH2026-158</t>
  </si>
  <si>
    <t>Nghiên cứu đánh giá chất lượng bản dịch truyện ngắn Nhật ký người điên của Lỗ Tấn từ góc độ dịch thuật truyền thống và công nghệ AI.</t>
  </si>
  <si>
    <t>Trần Vũ Khánh Linh; Nguyễn Tiến Hưng; Ngô Hoàng Mai; Nguyễn Thị Lan Phương; Cao Thảo Vân</t>
  </si>
  <si>
    <t>KHXH2026-158.png</t>
  </si>
  <si>
    <t>KHXH2026-159</t>
  </si>
  <si>
    <t>QUYỀN NGÔN NGỮ TRONG VĂN BẢN PHÁP LUẬT NHẬT BẢN</t>
  </si>
  <si>
    <t>Vũ Ngọc Lê Uyên; Nguyễn Ngọc Cẩm Tú; Nguyễn Ngọc Như Ý; Mai Quốc Khánh</t>
  </si>
  <si>
    <t>KHXH2026-159.png</t>
  </si>
  <si>
    <t>KHXH2026-160</t>
  </si>
  <si>
    <t>Phân tích chiến lược ngôn ngữ trong quảng cáo mỹ phẩm NIVEA bằng tiếng Anh và tiếng Việt cho nữ giới trên YouTube: Một góc nhìn ngôn ngữ học phê phán và văn hoá</t>
  </si>
  <si>
    <t>Trần Đức Vũ; Nguyễn Hương Ly</t>
  </si>
  <si>
    <t>KHXH2026-160.png</t>
  </si>
  <si>
    <t>KHXH2026-161</t>
  </si>
  <si>
    <t>Phân tích so sánh chất lượng dịch thuật từ xưng hô Trường hợp tác phẩm "Tiếu Ngạo Giang Hồ" qua bản dịch của Hàn Giang Nhạn và Chat GPT-5.3</t>
  </si>
  <si>
    <t>Nguyễn Hà Phương; Tạ Thị Ngọc Lê; Phạm Thu Vân; Nguyễn Phương Thảo; Nguyễn Quỳnh Anh</t>
  </si>
  <si>
    <t>KHXH2026-161.png</t>
  </si>
  <si>
    <t>KHXH2026-162</t>
  </si>
  <si>
    <t>Thụ đắc tiếng Trung qua các tình huống giao tiếp đời sống: Đánh giá hiệu quả đối với sinh viên ngành tiếng Trung</t>
  </si>
  <si>
    <t>Bùi Nguyễn Quỳnh Hương; Đan Lê Ngọc Anh; Huỳnh Thư Kỳ; Phạm Văn Lụa; Lư Hỷ Nhi</t>
  </si>
  <si>
    <t>KHXH2026-162.png</t>
  </si>
  <si>
    <t>KHXH2026-163</t>
  </si>
  <si>
    <t>Xây dựng bộ học liệu phát triển ngôn ngữ cho trẻ chậm nói và ứng dụng trên thiết bị di động</t>
  </si>
  <si>
    <t>Nguyễn Thị Xuân; Hà Nguyễn Thảo Vy; Đặng Thị Tố Uyên</t>
  </si>
  <si>
    <t>Trường Đại học Công nghiệp Hà Nội</t>
  </si>
  <si>
    <t>KHXH2026-163.png</t>
  </si>
  <si>
    <t>KHXH2026-164</t>
  </si>
  <si>
    <t>Kiến tạo ý thức chủ quyền biển đảo qua ẩn dụ ý niệm trong sách giáo khoa Tiếng Việt và Ngữ văn (1976 - nay): Phân tích khối ngữ liệu và ứng dụng thiết kế trò chơi giáo dục SEASEA</t>
  </si>
  <si>
    <t>Lê Nguyễn Mai Phương; Trương Hà Phú; Tòng Bảo Quân</t>
  </si>
  <si>
    <t>KHXH2026-164.png</t>
  </si>
  <si>
    <t>KHXH2026-165</t>
  </si>
  <si>
    <t>BIG TECH’S RECALIBRATIONS IN MILITARY AI: A PROCESS-TRACING STUDY OF U.S. PUBLIC–PRIVATE PARTNERSHIPS IN THE PERIOD OF 2017-2025</t>
  </si>
  <si>
    <t>Lương Hoàng Dương; Nguyễn Thị Linh Nga</t>
  </si>
  <si>
    <t>KHXH2026-165.png</t>
  </si>
  <si>
    <t>KHXH2026-166</t>
  </si>
  <si>
    <t>YẾU TỐ ĐẤT HIẾM TRONG CẠNH TRANH CHIẾN LƯỢC CỦA TRUNG QUỐC VỚI MỸ (2018 - 2025): RỦI RO ĐỊA CHÍNH TRỊ VÀ HÀM Ý CHÍNH SÁCH ĐỐI VỚI VIỆT NAM</t>
  </si>
  <si>
    <t>Nguyễn Ngọc An</t>
  </si>
  <si>
    <t>KHXH2026-166.png</t>
  </si>
  <si>
    <t>KHXH2026-167</t>
  </si>
  <si>
    <t>KHAI THÁC THỜI CƠ TRONG CHÍNH SÁCH ĐỐI NGOẠI VIỆT NAM THỜI KỲ ĐỔI MỚI: GÓC NHÌN TỪ MỐI QUAN HỆ CẤU TRÚC–CHỦ THỂ</t>
  </si>
  <si>
    <t>Lê Chí Nam; Nguyễn Minh Nhuận</t>
  </si>
  <si>
    <t>KHXH2026-167.png</t>
  </si>
  <si>
    <t>KHXH2026-168</t>
  </si>
  <si>
    <t>TÁC ĐỘNG CỦA CPTPP ĐẾN THƯƠNG MẠI ĐIỆN TỬ XUYÊN BIÊN GIỚI TẠI VIỆT NAM: NGHIÊN CỨU TRƯỜNG HỢP SÀN THƯƠNG MẠI ĐIỆN TỬ SHOPEE (TỪ 2019 ĐẾN NAY)</t>
  </si>
  <si>
    <t>Lê Thị Mỹ Trinh</t>
  </si>
  <si>
    <t>KHXH2026-168.png</t>
  </si>
  <si>
    <t>KHXH2026-169</t>
  </si>
  <si>
    <t>Ứng dụng trí tuệ nhân tạo trong viết luận của sinh viên trường đại học: Nghiên cứu trường hợp sinh viên ngành Quan hệ quốc tế và hàm ý đối với đạo đức học thuật và đánh giá giảng viên</t>
  </si>
  <si>
    <t>Huỳnh Kim Ngân; Phạm Tú Anh; Khưu Thị Nhã Trúc; Trần Nguyễn Minh Thy</t>
  </si>
  <si>
    <t>KHXH2026-169.png</t>
  </si>
  <si>
    <t>KHXH2026-170</t>
  </si>
  <si>
    <t>Ngoại giao chuyên biệt Hàn Quốc với Tiểu vùng sông Mekong (2017-2025)</t>
  </si>
  <si>
    <t>Nguyễn Trần Hoài Đông; Phan Thùy Linh; Lê Thị Quỳnh An</t>
  </si>
  <si>
    <t>KHXH2026-170.png</t>
  </si>
  <si>
    <t>KHXH2026-171</t>
  </si>
  <si>
    <t>HỢP TÁC QUỐC PHÒNG - AN NINH CỦA AUSTRALIA ĐỐI VỚI MỘT SỐ QUỐC GIA ĐÔNG NAM Á GIAI ĐOẠN 2015 – 2022</t>
  </si>
  <si>
    <t>Phạm Quốc Trung</t>
  </si>
  <si>
    <t>Trường Đại học Sư phạm, Đại học Huế</t>
  </si>
  <si>
    <t>KHXH2026-171.png</t>
  </si>
  <si>
    <t>KHXH2026-172</t>
  </si>
  <si>
    <t>Thực tiễn triển khai hoạt động gìn giữ hòa bình và ngoại giao phòng ngừa của Việt Nam (2016 - 2025)</t>
  </si>
  <si>
    <t>Ngô Thị Thúy Quỳnh; Trần Ngọc Như Ý</t>
  </si>
  <si>
    <t>KHXH2026-172.png</t>
  </si>
  <si>
    <t>KHXH2026-173</t>
  </si>
  <si>
    <t>Phân tích sự chuyển dịch tư duy đối ngoại Việt Nam: Từ vai trò “tiên phong” (Đại hội XIII) sang nhiệm vụ “trọng yếu, thường xuyên” (Đại hội XIV)</t>
  </si>
  <si>
    <t>Trịnh Vũ Như Quỳnh; Đặng Bội Doanh; Nguyễn Thị Bình Minh</t>
  </si>
  <si>
    <t>KHXH2026-173.png</t>
  </si>
  <si>
    <t>KHXH2026-174</t>
  </si>
  <si>
    <t>Vai trò của công giáo đối với sự ổn định và phát triển đời sống công nhân một số khu công nghiệp có vốn đầu tư nước ngoài ở tỉnh Bình Dương (từ 1997 đến 2024)</t>
  </si>
  <si>
    <t>Nông Bá Thệ; Hồ Lê Ngọc Ánh</t>
  </si>
  <si>
    <t>KHXH2026-174.png</t>
  </si>
  <si>
    <t>KHXH2026-175</t>
  </si>
  <si>
    <t>NHÂN TỐ TRUNG QUỐC TRONG XUNG ĐỘT LIÊN BANG NGA – UCRAINA (2014 – 2025)</t>
  </si>
  <si>
    <t>Trần Thị Thùy Duyên</t>
  </si>
  <si>
    <t>KHXH2026-175.png</t>
  </si>
  <si>
    <t>KHXH2026-176</t>
  </si>
  <si>
    <t>Quan hệ Hàn Quốc – ASEAN giai đoạn 2017-2025</t>
  </si>
  <si>
    <t>Nguyễn Khánh Như</t>
  </si>
  <si>
    <t>KHXH2026-176.png</t>
  </si>
  <si>
    <t>KHXH2026-177</t>
  </si>
  <si>
    <t>Vai trò của Chủ nghĩa Mác Lê Nin trong rèn luyện bản lĩnh chính trị cho sinh viên trong bối cảnh phát triển trí tuệ nhân tạo hiện nay</t>
  </si>
  <si>
    <t>Vũ Ngọc Trà My; Phạm Thị Hà Linh; Lê Trần Trung Sơn</t>
  </si>
  <si>
    <t>Trường Đại học Luật Hà Nội</t>
  </si>
  <si>
    <t>KHXH2026-177.png</t>
  </si>
  <si>
    <t>KHXH2026-178</t>
  </si>
  <si>
    <t>Ảnh hưởng của các yếu tố tâm lý - xã hội đến tính tích cực độc hại ở học sinh Trung học phổ thông trên địa bàn Tỉnh Phú Thọ</t>
  </si>
  <si>
    <t>Tạ Linh Ngọc</t>
  </si>
  <si>
    <t>KHXH2026-178.png</t>
  </si>
  <si>
    <t>KHXH2026-179</t>
  </si>
  <si>
    <t>ẢNH HƯỞNG CỦA TRẢI NGHIỆM TUỔI THƠ BẤT LỢI ĐẾN SỰ GẮN BÓ TRONG MỐI QUAN HỆ XÃ HỘI CỦA SINH VIÊN ĐẠI HỌC TRÊN ĐỊA BÀN THÀNH PHỐ HÀ NỘI</t>
  </si>
  <si>
    <t>Hà Ngọc Linh; Đỗ Quyết Chiến</t>
  </si>
  <si>
    <t>KHXH2026-179.png</t>
  </si>
  <si>
    <t>KHXH2026-180</t>
  </si>
  <si>
    <t>Đánh giá hiệu quả mô hình truyền thông nhằm sàng lọc phát hiện sớm trẻ rối loạn phổ tự kỷ trên địa bàn thành phố Đà Nẵng</t>
  </si>
  <si>
    <t>Phan Thị Hằng</t>
  </si>
  <si>
    <t>KHXH2026-180.png</t>
  </si>
  <si>
    <t>KHXH2026-181</t>
  </si>
  <si>
    <t>Mối liên hệ giữa trải nghiệm bất lợi thời thơ ấu và các đặc điểm nhân cách không thích ứng ở sinh viên: vai trò trung gian của khó khăn trong điều chỉnh cảm xúc</t>
  </si>
  <si>
    <t>Phạm Minh Tú</t>
  </si>
  <si>
    <t>KHXH2026-181.png</t>
  </si>
  <si>
    <t>KHXH2026-182</t>
  </si>
  <si>
    <t>Ảnh hưởng của Chat GPT đến kỹ năng giao tiếp xã hội của sinh viên tại Thành phố Hồ Chí Minh</t>
  </si>
  <si>
    <t>Nguyễn Thị Diễm My; Nguyễn Thị Diễm My; Trương Thị Kim Ngân</t>
  </si>
  <si>
    <t>KHXH2026-182.png</t>
  </si>
  <si>
    <t>KHXH2026-183</t>
  </si>
  <si>
    <t>Mối liên hệ giữa Áp lực đồng trang lứa và Sức bật tâm lý ở sinh viên trên địa bàn Thành phố Hồ Chí Minh</t>
  </si>
  <si>
    <t>Nguyễn Thiệu Lân; Đỗ Thanh Nhàn; Phan Hồng Yến Nhi; Trịnh Thị Quỳnh Anh; Đỗ Thành Quí</t>
  </si>
  <si>
    <t>KHXH2026-183.png</t>
  </si>
  <si>
    <t>KHXH2026-184</t>
  </si>
  <si>
    <t>Nhận thức về hành vi giám sát của cha mẹ ở học sinh Trung học Cơ sở trường Nguyễn Bỉnh Khiêm.</t>
  </si>
  <si>
    <t>Võ Kim Ngân; Nguyễn Thị Thu Nguyệt; Lê Dương Thảo Hương.</t>
  </si>
  <si>
    <t>KHXH2026-184.png</t>
  </si>
  <si>
    <t>KHXH2026-185</t>
  </si>
  <si>
    <t>ĐÁNH GIÁ NĂNG LỰC TƯ DUY PHẢN BIỆN CỦA SINH VIÊN KHI SỬ DỤNG CHATBOT AI TẠI MỘT SỐ TRƯỜNG ĐẠI HỌC Ở THÀNH PHỐ HỒ CHÍ MINH</t>
  </si>
  <si>
    <t>Trần Tây Nam; Hoàng Anh Kiệt; Đinh Ngọc Thúy Hằng</t>
  </si>
  <si>
    <t>KHXH2026-185.png</t>
  </si>
  <si>
    <t>KHXH2026-186</t>
  </si>
  <si>
    <t>Ảnh hưởng của Thỏa mãn tức thì đến Sức khỏe tâm thần của sinh viên Việt Nam: Vai trò trung gian của Sử dụng mạng xã hội mang tính bù trừ và Khó khăn điều chỉnh cảm xúc</t>
  </si>
  <si>
    <t>Nguyễn Thu Thuỷ</t>
  </si>
  <si>
    <t>KHXH2026-186.png</t>
  </si>
  <si>
    <t>KHXH2026-187</t>
  </si>
  <si>
    <t>Nghiên cứu các yếu tố ảnh hưởng đến ý định lựa chọn điều trị ung thư bằng công nghệ xạ trị proton của bệnh nhân tại Việt Nam</t>
  </si>
  <si>
    <t>Hoàng Thu Huyền; Đinh Hoàng Như Quỳnh; Nguyễn Thu Hằng; Hoàng Minh Bảo Ngọc</t>
  </si>
  <si>
    <t>KHXH2026-187.png</t>
  </si>
  <si>
    <t>KHXH2026-188</t>
  </si>
  <si>
    <t>Các yếu tố ảnh hưởng đến sự phụ thuộc vào AI và hạnh phúc chủ quan của Gen Z tại Việt Nam: Vai trò điều tiết của sự tự bộc lộ</t>
  </si>
  <si>
    <t>Lưu Thu Huyền; Lưu Hương Giang; Phùng Hải Anh; Nguyễn Anh Thư</t>
  </si>
  <si>
    <t>KHXH2026-188.png</t>
  </si>
  <si>
    <t>KHXH2026-189</t>
  </si>
  <si>
    <t>Ảnh hưởng của lo âu về trí tuệ nhân tạo đến hiệu suất công việc của người lao động: Vai trò trung gian của hành vi đổi mới, kiệt quệ cảm xúc và vai trò điều tiết của trao đổi giữa lãnh đạo - nhân viên</t>
  </si>
  <si>
    <t>Đoàn Thị Yến; Phạm Thị Ngà; Vũ Thị Thùy Dương; Vũ Hồng Anh</t>
  </si>
  <si>
    <t>KHXH2026-189.png</t>
  </si>
  <si>
    <t>KHXH2026-190</t>
  </si>
  <si>
    <t>Mối liên hệ giữa phiền muộn giới và sức khỏe tinh thần của sinh viên chuyển giới và phi nhị nguyên giới tại một số trường đại học trên địa bàn thành phố Hà Nội</t>
  </si>
  <si>
    <t>Hoàng Ngọc Linh; Trần Đức Mạnh; Nguyễn Phương Anh; Dương Huệ Lâm</t>
  </si>
  <si>
    <t>Học viện Phụ nữ Việt Nam</t>
  </si>
  <si>
    <t>KHXH2026-190.png</t>
  </si>
  <si>
    <t>KHXH2026-191</t>
  </si>
  <si>
    <t>Ảnh hưởng của xu hướng so sánh bản thân trên mạng xã hội đến sự hài lòng trong cuộc sống của sinh viên một số trường đại học tại Thành phố Hồ Chí Minh</t>
  </si>
  <si>
    <t>Phạm Huỳnh Như Thảo; Nguyễn Đỗ Minh Phúc; Ngô Bảo Hy; Nguyễn Hoàng Phong; Nguyễn Quốc Thống</t>
  </si>
  <si>
    <t>KHXH2026-191.png</t>
  </si>
  <si>
    <t>KHXH2026-192</t>
  </si>
  <si>
    <t>From Ownership to Addiction: An Empirics-First Study of the Unintended Consequences of Cognitive Self-Extension within the Cycle of AI Addiction in Vietnam</t>
  </si>
  <si>
    <t>Trần Trần Thảo Ngọc; Đào Ngọc Minh Kha; Đào Nguyễn Phương Anh; Lê Ngọc Minh Khánh; Trần Hoàng Bảo Châu</t>
  </si>
  <si>
    <t>KHXH2026-192.png</t>
  </si>
  <si>
    <t>KHXH2026-193</t>
  </si>
  <si>
    <t>TỔNG QUAN HỆ THỐNG VỀ CÁC CAN THIỆP HỖ TRỢ SỨC KHỎE TÂM THẦN CHO SINH VIÊN ĐẠI HỌC KHỐI NGÀNH SỨC KHOẺ</t>
  </si>
  <si>
    <t>Đào Duy Hoàng</t>
  </si>
  <si>
    <t>KHXH2026-193.png</t>
  </si>
  <si>
    <t>KHXH2026-194</t>
  </si>
  <si>
    <t>TÁC ĐỘNG CỦA VỐN VĂN HÓA VÀ NĂNG LỰC THÍCH NGHI TRONG NỀN KINH TẾ SỐ: BẰNG CHỨNG THỰC NGHIỆM TỪ SINH VIÊN NĂM CUỐI TẠI TP.HCM</t>
  </si>
  <si>
    <t>Nguyễn Hồ Ngọc Phúc; Trương Thị Thúy</t>
  </si>
  <si>
    <t>KHXH2026-194.png</t>
  </si>
  <si>
    <t>KHXH2026-195</t>
  </si>
  <si>
    <t>EXPLORING UNIVERSITY STUDENTS’ STRATEGIC USE OF ARTIFICIAL INTELLIGENCE FOR SELF-REGULATED LEARNING IN VIETNAM</t>
  </si>
  <si>
    <t>Nguyễn Quỳnh Như; Văn Ngọc Mai Thy; Đoàn Ngọc Lan Anh</t>
  </si>
  <si>
    <t>KHXH2026-195.png</t>
  </si>
  <si>
    <t>KHXH2026-196</t>
  </si>
  <si>
    <t>Hỗ trợ xã hội ảnh hưởng đến Khả năng thích ứng nghề nghiệp của sinh viên tại Việt Nam: Vai trò trung gian của Sự kết nối bản thân</t>
  </si>
  <si>
    <t>Đỗ Lê Mỹ Dung</t>
  </si>
  <si>
    <t>KHXH2026-196.png</t>
  </si>
  <si>
    <t>KHXH2026-197</t>
  </si>
  <si>
    <t>Ảnh hưởng của niềm tin về năng lực học tập đến kiệt sức học tập ở sinh viên Trường đại học Văn Lang</t>
  </si>
  <si>
    <t>Võ Thành Luân</t>
  </si>
  <si>
    <t>KHXH2026-197.png</t>
  </si>
  <si>
    <t>KHXH2026-198</t>
  </si>
  <si>
    <t>Sự kết nối tình cảm gia đình ở người cao tuổi: Nghiên cứu trường hợp tại Thành phố Hồ Chí Minh</t>
  </si>
  <si>
    <t>Trần Nguyễn Ngọc Nhi; Lê Nguyễn Phương Anh; Ngô Nguyễn Tâm Như; Phan Nguyễn Như Ý</t>
  </si>
  <si>
    <t>KHXH2026-198.png</t>
  </si>
  <si>
    <t>KHXH2026-199</t>
  </si>
  <si>
    <t>Ảnh hưởng của lòng tự trắc ẩn đến khó khăn điều tiết cảm xúc trong mối quan hệ lãng mạn của sinh viên Trường Đại học Văn Lang</t>
  </si>
  <si>
    <t>Lê Hồng Thanh; Đặng Châu Anh; Hồ Thanh Tâm</t>
  </si>
  <si>
    <t>KHXH2026-199.png</t>
  </si>
  <si>
    <t>KHXH2026-200</t>
  </si>
  <si>
    <t>Mối quan hệ giữa việc sử dụng trí tuệ nhân tạo - AI và cảm nhận hạnh phúc của sinh viên trường Đại học Luật Hà Nội</t>
  </si>
  <si>
    <t>Hoàng Lê Nguyệt Hằng; Bùi Anh Long; Lương Quang Vinh</t>
  </si>
  <si>
    <t>KHXH2026-200.png</t>
  </si>
  <si>
    <t>KHXH2026-201</t>
  </si>
  <si>
    <t>Nhận thức của sinh viên một số trường Đại học trên địa bàn thành phố Hà Nội về ảnh hưởng của chứng rối loạn tăng động giảm chú ý (ADHD) đến quá trình học tập</t>
  </si>
  <si>
    <t>Nhâm Phương Mai; Nguyễn Mai Ninh</t>
  </si>
  <si>
    <t>KHXH2026-201.png</t>
  </si>
  <si>
    <t>KHXH2026-202</t>
  </si>
  <si>
    <t>Kỹ năng ứng phó của sinh viên đối với các hành vi lừa đảo sử dụng công nghệ Deepfake trong môi trường công nghệ số hiện nay</t>
  </si>
  <si>
    <t>Nguyễn Tùng Dương; Nguyễn Thị Mai Hương; Đỗ Trần Việt Hà</t>
  </si>
  <si>
    <t>KHXH2026-202.png</t>
  </si>
  <si>
    <t>KHXH2026-203</t>
  </si>
  <si>
    <t>CÁC CƠ CHẾ PHÒNG VỆ TÂM LÝ Ở SINH VIÊN</t>
  </si>
  <si>
    <t>Triệu Hoàng Lâm; Huỳnh Nga</t>
  </si>
  <si>
    <t>KHXH2026-203.png</t>
  </si>
  <si>
    <t>KHXH2026-204</t>
  </si>
  <si>
    <t>MỐI LIÊN HỆ GIỮA CẢM XÚC TIÊU CỰC VÀ ỨNG PHÓ VỚI CẢM XÚC TIÊU CỰC TRONG HỌC TẬP Ở SINH VIÊN TRƯỜNG ĐẠI HỌC SÀI GÒN: VAI TRÒ ĐIỀU TIẾT CỦA LÒNG TỰ TRỌNG</t>
  </si>
  <si>
    <t>Lê Phan Khánh Linh; Hồ Thị Thanh Nhàn; Phan Tiến Trường; Trương Thanh Hoàng</t>
  </si>
  <si>
    <t>KHXH2026-204.png</t>
  </si>
  <si>
    <t>KHXH2026-205</t>
  </si>
  <si>
    <t>MỐI LIÊN HỆ GIỮA KHỦNG HOẢNG BẢN SẮC CÁ NHÂN VÀ CĂNG THẲNG TÂM LÝ Ở SINH VIÊN TRƯỜNG ĐẠI HỌC SÀI GÒN</t>
  </si>
  <si>
    <t>Nguyễn Diệu Linh; Trần Nguyễn Lâm Như</t>
  </si>
  <si>
    <t>KHXH2026-205.png</t>
  </si>
  <si>
    <t>KHXH2026-206</t>
  </si>
  <si>
    <t>Đánh giá ảnh hưởng của hệ thống chatbot AI đến khả năng tự học của sinh viên Trường Đại học Sư phạm Kỹ thuật Thành phố Hồ Chí Minh.</t>
  </si>
  <si>
    <t>Nguyễn Minh Hoàng; Trần Ngọc Anh; Đoàn Trần Thiên Phúc; Trương Thị Ngọc Trinh</t>
  </si>
  <si>
    <t>KHXH2026-206.png</t>
  </si>
  <si>
    <t>KHXH2026-207</t>
  </si>
  <si>
    <t>Phản ứng cảm xúc và hành vi của sinh viên Trường Đại học Công nghệ Kỹ thuật thành phố Hồ Chí Minh trước sai chuẩn đại đức của người nổi tiếng thuộc thế hệ Gen Z</t>
  </si>
  <si>
    <t>Lê Thị Kim Thùy; Thái Minh Tuệ; Huỳnh Thị Yến Nhi</t>
  </si>
  <si>
    <t>KHXH2026-207.png</t>
  </si>
  <si>
    <t>KHXH2026-208</t>
  </si>
  <si>
    <t>Hứng thú trong hoạt động học tập của sinh viên Trường Đại học Luật Hà Nội đối với các học phần chuyên ngành tâm lý học tại trường</t>
  </si>
  <si>
    <t>Trần Thảo Ngọc; Nguyễn Thị Kiều Oanh</t>
  </si>
  <si>
    <t>KHXH2026-208.png</t>
  </si>
  <si>
    <t>KHXH2026-209</t>
  </si>
  <si>
    <t>Thái độ của sinh viên dối với việc ứng dụng trí tuệ nhân tạo trong tham vấn tâm lý</t>
  </si>
  <si>
    <t>Phạm Hoàng Minh; Hà Phương Linh; Vũ Hoa Chi</t>
  </si>
  <si>
    <t>KHXH2026-209.png</t>
  </si>
  <si>
    <t>KHXH2026-210</t>
  </si>
  <si>
    <t>Tác động của sự sẵn sàng chuyển đổi sang lối sống xanh đến việc thực hiện hành vi sống xanh của sinh viên đại học tại Thành phố Hồ Chí Minh: Kiểm định thang đo RTCS và vai trò trung gian của ý định thực hiện lối sống xanh</t>
  </si>
  <si>
    <t>Trần Thị Mai Anh; Vũ Thị Hà Phương</t>
  </si>
  <si>
    <t>KHXH2026-210.png</t>
  </si>
  <si>
    <t>KHXH2026-211</t>
  </si>
  <si>
    <t>TÁC ĐỘNG CỦA NHẬN THỨC NGUY CƠ BỊ A.I THAY THẾ ĐẾN Ý ĐỊNH THAY ĐỔI NGHỀ NGHIỆP Ở SINH VIÊN: VAI TRÒ CỦA LO NGẠI HIỆN SINH VÀ NĂNG LỰC A.I TẠI MỘT SỐ TRƯỜNG ĐẠI HỌC NGOÀI CÔNG LẬP TÂY NGUYÊN VÀ TP.HCM</t>
  </si>
  <si>
    <t>Trần Bảo Kiên; Nguyễn Cao Thanh Thủy; Nguyễn Ngọc Điền</t>
  </si>
  <si>
    <t>Trường Đại học Yersin Đà Lạt</t>
  </si>
  <si>
    <t>KHXH2026-211.png</t>
  </si>
  <si>
    <t>KHXH2026-212</t>
  </si>
  <si>
    <t>Thích ứng tâm lý - xã hội của sinh viên năm thứ nhất Trường Đại học Thủ Dầu Một</t>
  </si>
  <si>
    <t>Châu Tuấn Anh</t>
  </si>
  <si>
    <t>KHXH2026-212.png</t>
  </si>
  <si>
    <t>KHXH2026-213</t>
  </si>
  <si>
    <t>MỨC ĐỘ HÀI LÒNG CỦA SINH VIÊN TRƯỜNG ĐẠI HỌC LUẬT HÀ NỘI ĐỐI VỚI CÁC HỌC PHẦN THUỘC CHUYÊN NGÀNH TÂM LÝ HỌC TẠI TRƯỜNG</t>
  </si>
  <si>
    <t>Lưu Hoài Vân; Lê Hương Giang; Vũ Thảo Ly</t>
  </si>
  <si>
    <t>KHXH2026-213.png</t>
  </si>
  <si>
    <t>KHXH2026-214</t>
  </si>
  <si>
    <t>Hành vi Phát ngôn gây thù ghét và Xúc phạm danh dự trên không gian mạng của giới trẻ Việt Nam</t>
  </si>
  <si>
    <t>Bùi Thị Như Ý; Nguyễn Công Vĩnh Tường; Lương Thanh Trúc; Nguyễn Đình Minh Quân</t>
  </si>
  <si>
    <t>KHXH2026-214.png</t>
  </si>
  <si>
    <t>KHXH2026-215</t>
  </si>
  <si>
    <t>TRÍ TUỆ CẢM XÚC CỦA SINH VIÊN: NGHIÊN CỨU TRƯỜNG HỢP TẠI MỘT TRƯỜNG ĐẠI HỌC KHỐI NGÀNH KHOA HỌC XÃ HỘI Ở THÀNH PHỐ HỒ CHÍ MINH</t>
  </si>
  <si>
    <t>Đỗ Thị Bích Hạnh; Phù Vạn Kha; Hoàng Kim Thu Ngân</t>
  </si>
  <si>
    <t>KHXH2026-215.png</t>
  </si>
  <si>
    <t>KHXH2026-216</t>
  </si>
  <si>
    <t>AI RECOMMENDATION RESISTANCE IN ONLINE PERSONAL CARE SHOPPING: AN INNOVATION RESISTANCE THEORY STUDY IN VIETNAM</t>
  </si>
  <si>
    <t>Ngô Đức Khoa; Hàn Thảo Nhi; Nguyễn Vy Vân</t>
  </si>
  <si>
    <t>Trường Đại học Quốc Tế, ĐHQG-HCM</t>
  </si>
  <si>
    <t>KHXH2026-216.png</t>
  </si>
  <si>
    <t>KHXH2026-217</t>
  </si>
  <si>
    <t>Mối liên hệ giữa chủ nghĩa hoàn hảo và kiệt sức làm cha mẹ ở người trưởng thành trẻ tuổi</t>
  </si>
  <si>
    <t>Trương Nguyễn Ngọc Hân; Dương Huỳnh Khánh Thy; Nguyễn Khánh Linh; Trần Thị Thủy; Bùi Mỹ Tâm</t>
  </si>
  <si>
    <t>KHXH2026-217.png</t>
  </si>
  <si>
    <t>KHXH2026-218</t>
  </si>
  <si>
    <t>NĂNG LỰC THÍCH ỨNG TRONG HOẠT ĐỘNG HỌC TẬP CỦA SINH VIÊN NĂM NHẤT: NGHIÊN CỨU TRƯỜNG HỢP TẠI MỘT TRƯỜNG ĐẠI HỌC KHỐI NGÀNH LAO ĐỘNG - XÃ HỘI Ở THÀNH PHỐ HỒ CHÍ MINH</t>
  </si>
  <si>
    <t>Lê Tài Lộc; Nguyễn Hoàng Yến; Nguyễn Huỳnh Đức; Võ Anh Thư</t>
  </si>
  <si>
    <t>KHXH2026-218.png</t>
  </si>
  <si>
    <t>KHXH2026-219</t>
  </si>
  <si>
    <t>KỸ NĂNG XÂY DỰNG THƯƠNG HIỆU CÁ NHÂN CỦA SINH VIÊN</t>
  </si>
  <si>
    <t>Đặng Thị Kim Trang</t>
  </si>
  <si>
    <t>KHXH2026-219.png</t>
  </si>
  <si>
    <t>KHXH2026-220</t>
  </si>
  <si>
    <t>Tác động của FOMO và dân trí tài chính lên hành vi đầu tư trên thị trường chứng khoán tại Việt Nam.</t>
  </si>
  <si>
    <t>Hoàng Nhật Minh; Nguyễn Thành Tâm; Vũ Thị Phương Mai; Hồ Thị Hoài; Trần Thị Minh Ngọc</t>
  </si>
  <si>
    <t>KHXH2026-220.png</t>
  </si>
  <si>
    <t>KHXH2026-221</t>
  </si>
  <si>
    <t>Áp lực thành công sớm và hội chứng kiệt sức của sinh viên Học viện Ngân hàng hiện nay: Thực trạng và định hướng giải pháp</t>
  </si>
  <si>
    <t>Nguyễn Hương Linh; Nguyễn Thị Khánh Huyền; Trần Thị Thanh Hiền; Nguyễn Thu Hoài; Trần Thu Hà</t>
  </si>
  <si>
    <t>KHXH2026-221.png</t>
  </si>
  <si>
    <t>KHXH2026-222</t>
  </si>
  <si>
    <t>Factors Affecting the Entrepreneurial Intention of Hanoi Students</t>
  </si>
  <si>
    <t>Lê Hà Anh; Hoàng Thị Mây; Nguyễn Trường Giang; Nguyễn Vũ Kiệt</t>
  </si>
  <si>
    <t>KHXH2026-222.png</t>
  </si>
  <si>
    <t>KHXH2026-223</t>
  </si>
  <si>
    <t>TỪ NHẬN THỨC LỢI ÍCH ĐẾN HÀNH VI MÔI TRƯỜNG: ỨNG DỤNG THUYẾT TỰ QUYẾT VÀ THUYẾT HÀNH VI HOẠCH ĐỊNH TRONG PHÂN TÍCH CÁC YẾU TỐ ẢNH HƯỞNG ĐẾN Ý ĐỊNH THAM GIA HOẠT ĐỘNG BẢO VỆ MÔI TRƯỜNG CỦA SINH VIÊN TẠI TP.HCM</t>
  </si>
  <si>
    <t>Lê Vũ Tuyết Trinh; Nguyễn Lê Kim Ngân; Nguyễn Hoàng Phương Trang; Lê Huỳnh Phương Đông; Trần Trọng Nhân</t>
  </si>
  <si>
    <t>KHXH2026-223.png</t>
  </si>
  <si>
    <t>KHXH2026-224</t>
  </si>
  <si>
    <t>THE INFLUENCE OF GREENWASHING ON GREEN PARTICIPATION INTENTION AND GREEN WORD OF MOUTH: THE MEDIATING ROLES OF GREEN PERCEIVED RISK, GREEN TRUST, AND CORPORATE SOCIAL RESPONSIBILITY, AND THE MODERATING ROLE OF ENVIRONMENTAL AWARENESS</t>
  </si>
  <si>
    <t>Lê Ngọc Khánh Vy; Cao Gia Bảo; Mai Phước Nguyên</t>
  </si>
  <si>
    <t>KHXH2026-224.png</t>
  </si>
  <si>
    <t>KHXH2026-225</t>
  </si>
  <si>
    <t>ASYMMETRIC FRAMING IN CONFLICT: HOW U.S., IRANIAN, AND ISRAELI ONLINE NEWS MEDIA CONSTRUCT THE IMAGE OF IRAN</t>
  </si>
  <si>
    <t>Đinh Hải Nam</t>
  </si>
  <si>
    <t>KHXH2026-225.png</t>
  </si>
  <si>
    <t>KHXH2026-226</t>
  </si>
  <si>
    <t>A DISCOURSE ANALYSIS OF NATIONAL IDENTITY CONSTRUCTION AMONG RETURNEES IN THE ‘NGƯỜI TRỞ VỀ’ TALK SERIES BY THE ONLINE NEWSPAPER VNEXPRESS IN 2025</t>
  </si>
  <si>
    <t>Nguyễn Khánh Linh; Trần Quỳnh Trang</t>
  </si>
  <si>
    <t>KHXH2026-226.png</t>
  </si>
  <si>
    <t>KHXH2026-227</t>
  </si>
  <si>
    <t>THE DRAMATIZATION IN VIETNAMESE ONLINE NEWS HEADLINES ON GENDER-BASED VIOLENCE</t>
  </si>
  <si>
    <t>Bùi Hoàng Phương; Lê Ngọc Thuỳ Linh; Phạm Thị Bảo Hoà; Nguyễn Hoàng Quỳnh Dao</t>
  </si>
  <si>
    <t>KHXH2026-227.png</t>
  </si>
  <si>
    <t>KHXH2026-228</t>
  </si>
  <si>
    <t>INTERNALIZED MISOGYNY IN VIETNAMESE TIKTOK CONTENT: A CONTENT ANALYSIS</t>
  </si>
  <si>
    <t>Lê Cao Mai Anh; Phạm Đức Quang Vũ</t>
  </si>
  <si>
    <t>KHXH2026-228.png</t>
  </si>
  <si>
    <t>KHXH2026-229</t>
  </si>
  <si>
    <t>NGÔN NGỮ SỐ HƯỚNG TỚI CÔNG CHÚNG TRẺ TRONG TRUYỀN THÔNG PHÒNG, CHỐNG MA TÚY TRÊN FACEBOOK: NGHIÊN CỨU TRƯỜNG HỢP FANPAGE “PHÒNG, CHỐNG MA TÚY - CÔNG AN TP. HỒ CHÍ MINH”</t>
  </si>
  <si>
    <t>Nguyễn Thị Hồng Hạnh; Nguyễn Vũ Phương Linh; Nông Thị Diệu Phương; Dương Thị Thanh Trúc; Trần Thu Hiền</t>
  </si>
  <si>
    <t>KHXH2026-229.png</t>
  </si>
  <si>
    <t>KHXH2026-230</t>
  </si>
  <si>
    <t>Nâng cao giá trị trải nghiệm du lịch thông qua ứng dụng công nghệ cao bằng chiến lược Phygital Marketing: thực trạng và khuyến nghị chính sách cho ngành du lịch Thành Phố Hồ Chí Minh</t>
  </si>
  <si>
    <t>Nguyễn Lương Anh Tuấn; Nguyễn Gia Hân; Huỳnh Thị Đoan Trang</t>
  </si>
  <si>
    <t>KHXH2026-230.png</t>
  </si>
  <si>
    <t>KHXH2026-231</t>
  </si>
  <si>
    <t>Ảnh hưởng của yếu tố kể chuyện và tạo tranh cãi trong trailer phim đến kỳ vọng và ý định ra rạp của khán giả trẻ tại TP.HCM</t>
  </si>
  <si>
    <t>Huỳnh Như Thảo; Nguyễn Thuý Hạnh; Trần Thuỳ Dung</t>
  </si>
  <si>
    <t>KHXH2026-231.png</t>
  </si>
  <si>
    <t>KHXH2026-232</t>
  </si>
  <si>
    <t>Exploring Perceptions and Intention to Use AI Voice-over by ElevenLabs among Gen Z and Related Communities in Vietnamese Folktale Storytelling for Children with visual impairment: A Mixed-Methods Study in Can Tho City</t>
  </si>
  <si>
    <t>Trương Ngọc Phương Linh; Phạm Kim Ngân</t>
  </si>
  <si>
    <t>KHXH2026-232.png</t>
  </si>
  <si>
    <t>KHXH2026-233</t>
  </si>
  <si>
    <t>TÁC ĐỘNG CỦA MẠNG XÃ HỘI ĐẾN XU HƯỚNG LỰA CHỌN TRANG PHỤC CỦA SINH VIÊN TRƯỜNG ĐẠI HỌC QUỐC TẾ HỒNG BÀNG</t>
  </si>
  <si>
    <t>Lê Nhật Trường</t>
  </si>
  <si>
    <t>Trường Đại học Quốc tế Hồng Bàng</t>
  </si>
  <si>
    <t>KHXH2026-233.png</t>
  </si>
  <si>
    <t>KHXH2026-234</t>
  </si>
  <si>
    <t>Ứng dụng truyền thông thị giác trong quảng bá làng nghề khảm trai Chuyên Mỹ (Nghiên cứu trường hợp làng nghề Chuôn Ngọ, xã Chuyên Mỹ, Hà Nội)</t>
  </si>
  <si>
    <t>Phùng Quang Hưng; Nguyễn Thị Thùy Dương</t>
  </si>
  <si>
    <t>KHXH2026-234.png</t>
  </si>
  <si>
    <t>KHXH2026-235</t>
  </si>
  <si>
    <t>Nghệ thuật kể chuyện trên truyền thông số (Nghiên cứu trường hợp hai kênh TikTok: Chuyện Nhà Linh Bí và Khoai Lang Thang)</t>
  </si>
  <si>
    <t>Bùi Thị Tuyết Nhung; Trần Thị Trang Nhung</t>
  </si>
  <si>
    <t>KHXH2026-235.png</t>
  </si>
  <si>
    <t>KHXH2026-236</t>
  </si>
  <si>
    <t>Nghiên cứu tác động của trí tuệ nhân tạo (AI) đến quá trình sản xuất sản phẩm báo chí ở Việt Nam hiện nay</t>
  </si>
  <si>
    <t>Dương Phương Thảo</t>
  </si>
  <si>
    <t>Trường Đại học Khoa học, Đại học Thái Nguyên</t>
  </si>
  <si>
    <t>KHXH2026-236.png</t>
  </si>
  <si>
    <t>KHXH2026-237</t>
  </si>
  <si>
    <t>From Detection to Interpretation: A User-Centered RAG-Based AI Approach to Enhancing Credibility Evaluation of Textual Information Among Vietnamese Youth</t>
  </si>
  <si>
    <t>Hoàng Hữu Hoan</t>
  </si>
  <si>
    <t>KHXH2026-237.png</t>
  </si>
  <si>
    <t>KHXH2026-238</t>
  </si>
  <si>
    <t>SÁNG TẠO NỘI DUNG SỐ VỀ LỄ HỘI TRUYỀN THỐNG THÔNG QUA TRÍ TUỆ NHÂN TẠO CHO THANH NIÊN TỈNH HƯNG YÊN</t>
  </si>
  <si>
    <t>Đàm Thu Phương; Lê Thị Hồng Nhung; Nguyễn Thị Mai Quỳnh</t>
  </si>
  <si>
    <t>KHXH2026-238.png</t>
  </si>
  <si>
    <t>KHXH2026-239</t>
  </si>
  <si>
    <t>Bảo tồn và lan tỏa giá trị lịch sử trong kỷ nguyên số: Vai trò của Marketing Hoài niệm</t>
  </si>
  <si>
    <t>Nguyễn Hạnh Dung; Vương Minh Phương; Nguyễn Thị Hoài Phương; Trần Hạnh Vy; Lê Khánh Linh</t>
  </si>
  <si>
    <t>KHXH2026-239.png</t>
  </si>
  <si>
    <t>KHXH2026-240</t>
  </si>
  <si>
    <t>Tác động của Khung cảm xúc trong truyền thông môi trường trên mạng xã hội đến Hành vi đồng sáng tạo giá trị xanh của Gen Z tại Việt Nam</t>
  </si>
  <si>
    <t>Cao Lâm Ngọc Hân; Trần Gia Bảo</t>
  </si>
  <si>
    <t>KHXH2026-240.png</t>
  </si>
  <si>
    <t>KHXH2026-241</t>
  </si>
  <si>
    <t>Tác động của video ngắn, AR và VR trong việc quảng bá di sản văn hóa Việt Nam đối với sinh viên Thành phố Hồ Chí Minh giai đoạn 2021-2025</t>
  </si>
  <si>
    <t>Dương Tú My; Võ Nguyễn Gia Nam</t>
  </si>
  <si>
    <t>KHXH2026-241.png</t>
  </si>
  <si>
    <t>KHXH2026-242</t>
  </si>
  <si>
    <t>Các yếu tố ảnh hưởng đến mức độ sẵn sàng thực hiện thải độc kỹ thuật số của Gen Z tại Thành phố Hồ Chí Minh</t>
  </si>
  <si>
    <t>Vũ Khắc Trọng; Nguyễn Thanh Hoa; Lê Anh Nghi</t>
  </si>
  <si>
    <t>KHXH2026-242.png</t>
  </si>
  <si>
    <t>KHXH2026-243</t>
  </si>
  <si>
    <t>Các yếu tố thúc đẩy nội dung do người dùng tạo về EatClean trên mạng xã hội: Vai trò của chiến lược truyền thông, giá trị xã hội và sự gắn kết khách hàng</t>
  </si>
  <si>
    <t>Nguyễn Dương Gia Lâm; Lê Dương; Phạm Nguyễn Hoàng Kim</t>
  </si>
  <si>
    <t>KHXH2026-243.png</t>
  </si>
  <si>
    <t>KHXH2026-244</t>
  </si>
  <si>
    <t>Trách nhiệm xã hội của doanh nghiệp trong định dạng chương trình truyền hình thực tế (Nghiên cứu trường hợp Chương trình “Mái ấm Gia đình Việt” do Hoa Sen Home tài trợ)</t>
  </si>
  <si>
    <t>Trần Tôn Lê Nguyễn; Phạm Thị Ngọc Yến; Đoàn Thị Kim Nhung; Đỗ Tuấn Kiệt; Nguyễn Phúc Đạt</t>
  </si>
  <si>
    <t>KHXH2026-244.png</t>
  </si>
  <si>
    <t>KHXH2026-245</t>
  </si>
  <si>
    <t>Nâng cao hiệu quả hoạt động truyền thông hướng nghiệp Khoa Thư viện và Xuất bản tại Trường Đại học Văn hóa Thành phố Hồ Chí Minh</t>
  </si>
  <si>
    <t>Huỳnh Vẹn Kim Ngân; Trần Phương Thảo</t>
  </si>
  <si>
    <t>KHXH2026-245.png</t>
  </si>
  <si>
    <t>KHXH2026-246</t>
  </si>
  <si>
    <t>Tương tác của công chúng thế hệ Z với nội dung về ẩm thực trên mạng xã hội TikTok ở Việt Nam hiện nay</t>
  </si>
  <si>
    <t>Giang Minh châu; Hoàng Thị Yến Phương; Dư Thị Quỳnh Anh</t>
  </si>
  <si>
    <t>KHXH2026-246.png</t>
  </si>
  <si>
    <t>KHXH2026-247</t>
  </si>
  <si>
    <t>Đổi mới hình thức truyền thông chính sách trên Fanpage Thông tin Chính phủ</t>
  </si>
  <si>
    <t>Cao Nguyên Phát; Nguyễn Mai Hương; Bùi Thị Huyền Trinh; Phạm Thị Mai Anh</t>
  </si>
  <si>
    <t>KHXH2026-247.png</t>
  </si>
  <si>
    <t>KHXH2026-248</t>
  </si>
  <si>
    <t>Podcast kể chuyện tại Việt Nam hiện nay: Nội dung và hình thức thể hiện</t>
  </si>
  <si>
    <t>Trương Thị Bích Ngọc; Võ Lê Hà My; Nguyễn Thị Ánh Nhàn; Phạm Quỳnh Trang; Phạm Thị Xuyến</t>
  </si>
  <si>
    <t>KHXH2026-248.png</t>
  </si>
  <si>
    <t>KHXH2026-249</t>
  </si>
  <si>
    <t>Podcast đề tài tâm lý tại việt nam hiện nay: tiếp cận về nội dung và hình thức thể hiện</t>
  </si>
  <si>
    <t>Trần Thu Hiền; Trần Thị Thuỳ Trang; Phạm Vũ Thanh Trúc; Vũ Anh Tuấn</t>
  </si>
  <si>
    <t>KHXH2026-249.png</t>
  </si>
  <si>
    <t>KHXH2026-250</t>
  </si>
  <si>
    <t>Ảnh hưởng của nội dung Tiktok đến hành vi bắt chước của trẻ vị thành niên tại Hà Nội</t>
  </si>
  <si>
    <t>Nguyễn Quỳnh Trang; Nguyễn Lê Tú Uyên; Ngô Phương Nhi; Nguyễn Thị Hảo; Nguyễn Minh Quân</t>
  </si>
  <si>
    <t>KHXH2026-250.png</t>
  </si>
  <si>
    <t>KHXH2026-251</t>
  </si>
  <si>
    <t>Sản xuất Podcast cho người khuyết tật</t>
  </si>
  <si>
    <t>Nguyễn Thị Hảo; Lê Nguyễn Hải Giang</t>
  </si>
  <si>
    <t>KHXH2026-251.png</t>
  </si>
  <si>
    <t>KHXH2026-252</t>
  </si>
  <si>
    <t>Truyền thông nâng cao nhận thức về sức khoẻ tâm thần cho sinh viên - Nghiên cứu thực tiễn tại Học viện Hành chính và Quản trị công trong bối cảnh hiện nay</t>
  </si>
  <si>
    <t>Mai Hồng Nhung; Trần Thị Ánh Dinh; Trần Thị Thu Ly</t>
  </si>
  <si>
    <t>KHXH2026-252.png</t>
  </si>
  <si>
    <t>KHXH2026-253</t>
  </si>
  <si>
    <t>Tác động của giải trí hoá tin tức trong chương trình Chuyển động 24h đến năng lực thông hiểu truyền thông của sinh viên tại thành phố Hồ Chí Minh</t>
  </si>
  <si>
    <t>Nguyễn Thị Kim Khánh; Đỗ Minh Thư; Liêu Phạm Anh Thư; Nguyễn Hoàng Yến</t>
  </si>
  <si>
    <t>KHXH2026-253.png</t>
  </si>
  <si>
    <t>KHXH2026-254</t>
  </si>
  <si>
    <t>Nhận thức về bình đẳng giới của cộng đồng dân tộc Khmer: Nghiên cứu trường hợp tại địa bàn xã Bình Phú, tỉnh Vĩnh Long</t>
  </si>
  <si>
    <t>Nguyễn Thị Ánh Dương; Võ Mai Tường Vy; Nguyễn Minh Anh</t>
  </si>
  <si>
    <t>KHXH2026-254.png</t>
  </si>
  <si>
    <t>KHXH2026-255</t>
  </si>
  <si>
    <t>Tính toán dòng vật chất và năng lượng trong tiêu dùng bằng phương pháp MIPS</t>
  </si>
  <si>
    <t>Nguyễn Trọng Nhân; Đặng Thị Quỳnh Hương; Nguyễn Kim Ngân; Bùi Xuân Khải</t>
  </si>
  <si>
    <t>KHXH2026-255.png</t>
  </si>
  <si>
    <t>KHXH2026-256</t>
  </si>
  <si>
    <t>Áp lực thuật toán, phụ thuộc thu nhập và hành vi lái xe máy rủi ro của tài xế giao hàng tại Hà Nội: Tiếp cận bằng NCA và FSQCA</t>
  </si>
  <si>
    <t>Lê Ngọc Quyên; Nguyễn Minh Vũ; Nguyễn Thu Hà; Phan Đặng Thanh Ngân</t>
  </si>
  <si>
    <t>KHXH2026-256.png</t>
  </si>
  <si>
    <t>KHXH2026-257</t>
  </si>
  <si>
    <t>Knowledge and current status of biosensor use in Vietnam and related socio-economic factors</t>
  </si>
  <si>
    <t>Lê Minh Sơn</t>
  </si>
  <si>
    <t>KHXH2026-257.png</t>
  </si>
  <si>
    <t>KHXH2026-258</t>
  </si>
  <si>
    <t>Áp lực công sở Nhật Bản từ Karoshi đến Resignation by Proxy: Nghiên cứu về văn hóa làm việc và phản ứng của người lao động</t>
  </si>
  <si>
    <t>Nguyễn Quốc Bảo; Lê Lương Thanh Trúc; Nguyễn Lý Xuân Khanh; Nguyễn Thị Kim Thư</t>
  </si>
  <si>
    <t>KHXH2026-258.png</t>
  </si>
  <si>
    <t>KHXH2026-259</t>
  </si>
  <si>
    <t>Quyền được đảm bảo An sinh xã hội của người dân thông qua chương trình xóa nhà tạm tại thành phố Đà Nẵng</t>
  </si>
  <si>
    <t>Đặng Thị Bình An; Lê Văn Quang; Lê Đặng Thu Hà; Trần Thị Anh Thư</t>
  </si>
  <si>
    <t>KHXH2026-259.png</t>
  </si>
  <si>
    <t>KHXH2026-260</t>
  </si>
  <si>
    <t>Nghiên cứu quá trình chuyển đổi sinh kế dưới tác động của du lịch tại không gian làng văn hóa ở thị xã Mộc Châu, tỉnh Sơn La: Tiếp cận từ mô hình Delphi - DEA.</t>
  </si>
  <si>
    <t>Nguyễn Mỹ Linh; Nguyễn Đình Thị Nhung; Trần Thị Thảo Linh</t>
  </si>
  <si>
    <t>KHXH2026-260.png</t>
  </si>
  <si>
    <t>KHXH2026-261</t>
  </si>
  <si>
    <t>RESEARCH AND PROPOSED SOLUTIONS FOR PREVENTING CYBERBULLYING BEHAVIOR AMONG VIETNAMESE UNIVERSITY STUDENTS IN THE CONTEXT OF DIGITAL TRANSFORMATION</t>
  </si>
  <si>
    <t>Đỗ Văn Trường; Nguyễn Thị Huyền; Hoàng Bảo Ngân; Nguyễn Trần Long Hoàng</t>
  </si>
  <si>
    <t>KHXH2026-261.png</t>
  </si>
  <si>
    <t>KHXH2026-262</t>
  </si>
  <si>
    <t>Nghiên cứu các nhân tố ảnh hưởng đến ý định sử dụng mỹ phẩm thuần chay của sinh viên trên địa bàn thành phố Hà Nội</t>
  </si>
  <si>
    <t>Bùi Nhật Anh; Bùi Vân Anh; Vũ Thành Phương Anh; Lê Mỹ Anh; Vũ Ngọc Linh</t>
  </si>
  <si>
    <t>KHXH2026-262.png</t>
  </si>
  <si>
    <t>KHXH2026-263</t>
  </si>
  <si>
    <t>Tác động của đô thị hóa đến chuyển dịch cấu trúc gia đình tại Việt Nam</t>
  </si>
  <si>
    <t>Trần Thị Mai Phương; Trương Thị Lan Nhi; Nguyễn Thị Ngọc Yến; Ngô Hoàng Phúc; Tạ Quang Tùng</t>
  </si>
  <si>
    <t>KHXH2026-263.png</t>
  </si>
  <si>
    <t>KHXH2026-264</t>
  </si>
  <si>
    <t>Những yếu tố ảnh hưởng đến động lực học tập của sinh viên Trường Đại học Bình Dương</t>
  </si>
  <si>
    <t>Ngô Huỳnh Cẩm Quyên.; Trịnh Thị Hồng Thắm.</t>
  </si>
  <si>
    <t>KHXH2026-264.png</t>
  </si>
  <si>
    <t>KHXH2026-265</t>
  </si>
  <si>
    <t>VẬN DỤNG MÔ HÌNH ĐỊNH GIÁ HEDONIC VÀO ƯỚC TÍNH PHẦN TĂNG GIÁ BÁN SẢN PHẨM THIẾT BỊ ĐIỆN GIA DỤNG VỚI NHÃN HIỆU QUẢ NĂNG LƯỢNG TẠI HÀ NỘI</t>
  </si>
  <si>
    <t>Lê Thị Thu</t>
  </si>
  <si>
    <t>KHXH2026-265.png</t>
  </si>
  <si>
    <t>KHXH2026-266</t>
  </si>
  <si>
    <t>Ảnh hưởng của nội dung video ngắn trên TikTok đến lòng yêu nước của học sinh THPT tại TP.HCM</t>
  </si>
  <si>
    <t>Nguyễn Trí Vĩnh</t>
  </si>
  <si>
    <t>KHXH2026-266.png</t>
  </si>
  <si>
    <t>KHXH2026-267</t>
  </si>
  <si>
    <t>Tiếp cận kinh doanh thương mại điện tử của người khuyết tật trong thời kỳ chuyển đổi số qua khảo sát trên địa bàn thành phố Hà Nội</t>
  </si>
  <si>
    <t>Phạm Thanh Huyền; Nguyễn Thị Phương Thảo; Nguyễn Thị Thu Huyền</t>
  </si>
  <si>
    <t>KHXH2026-267.png</t>
  </si>
  <si>
    <t>KHXH2026-268</t>
  </si>
  <si>
    <t>Vai trò của sinh viên Việt Nam đối với hình thành, phát triển công dân số toàn cầu trong kỷ nguyên mới theo tinh thần Nghị quyết 57-NQ/TW của Bộ Chính trị</t>
  </si>
  <si>
    <t>Nguyễn Thị Phương Thảo; Lê Quang Huy; Nguyễn Đức Anh</t>
  </si>
  <si>
    <t>KHXH2026-268.png</t>
  </si>
  <si>
    <t>KHXH2026-269</t>
  </si>
  <si>
    <t>PHÂN TÍCH GÁNH NẶNG BỆNH TIM MẠCH TẠI VIỆT NAM GIAI ĐOẠN 1990–2023 VÀ DỰ BÁO ĐẾN 2050</t>
  </si>
  <si>
    <t>Hồ Ngọc Trúc Thảo; Trịnh Phan Thanh Lam; Nguyễn Thị Ngọc Khuê; Nguyễn Lê Minh Hoà; Trương Ái Thuyên</t>
  </si>
  <si>
    <t>KHXH2026-269.png</t>
  </si>
  <si>
    <t>KHXH2026-270</t>
  </si>
  <si>
    <t>KHẢO SÁT NHẬN THỨC CỦA VẬN ĐỘNG VIÊN LÀ SINH VIÊN VỀ QUYỀN LỢI, CHẾ ĐỘ, CHÍNH SÁCH THEO QUY ĐỊNH: THỰC TIỄN TẠI TRƯỜNG ĐẠI HỌC SƯ PHẠM THỂ DỤC THỂ THAO THÀNH PHỐ HỒ CHÍ MINH</t>
  </si>
  <si>
    <t>Dương Anh Thư</t>
  </si>
  <si>
    <t>Trường Đại học Sư phạm Thể dục Thể Thao TP. Hồ Chí Minh</t>
  </si>
  <si>
    <t>KHXH2026-270.png</t>
  </si>
  <si>
    <t>KHXH2026-271</t>
  </si>
  <si>
    <t>Ảnh hưởng của hiện tượng Brain Rot đến khả năng tập trung của sinh viên trong bối cảnh chuyển đổi số và phát triển thương mại điện tử</t>
  </si>
  <si>
    <t>Đào Thị Nhàn; Lý Đức Huy; Đào Thị Diệp</t>
  </si>
  <si>
    <t>KHXH2026-271.png</t>
  </si>
  <si>
    <t>KHXH2026-272</t>
  </si>
  <si>
    <t>ĐÁNH GIÁ THỰC TRẠNG SỨC KHỎE TINH THẦN SINH VIÊN K17 TRƯỜNG ĐẠI HỌC SƯ PHẠM THỂ DỤC THỂ THAO THÀNH PHỐ HỒ CHÍ MINH</t>
  </si>
  <si>
    <t>Cao Lê Tấn Tỷ; Bùi Thị Hằng; Trần Thị Kim Thoa; Lê Minh Thư; Trần Thị Mỹ Duyên</t>
  </si>
  <si>
    <t>KHXH2026-272.png</t>
  </si>
  <si>
    <t>KHXH2026-273</t>
  </si>
  <si>
    <t>Nghiên cứu hành vi tiêu dùng bền vững của sinh viên trên địa bàn thành phố Hà Nội</t>
  </si>
  <si>
    <t>Đinh Thị Trà My; Thế Bảo Yến Nhi</t>
  </si>
  <si>
    <t>KHXH2026-273.png</t>
  </si>
  <si>
    <t>KHXH2026-274</t>
  </si>
  <si>
    <t>Nghiên cứu về tác động đa chiều của việc thay thế xe máy xăng bằng xe máy điện của sinh viên Trường Đại học Tài nguyên và Môi trường Hà Nội</t>
  </si>
  <si>
    <t>Hoàng Thị Ngân Hà; Nguyễn Thanh Tâm</t>
  </si>
  <si>
    <t>KHXH2026-274.png</t>
  </si>
  <si>
    <t>KHXH2026-275</t>
  </si>
  <si>
    <t>Nghịch lý tiêu dùng trên nền tảng số và căng thẳng tài chính của Gen Z tại Hà Nội: Cơ chế nhận thức từ khuyến mại số và dịch vụ mua trước trả sau</t>
  </si>
  <si>
    <t>Nguyễn Anh Tú; Nguyễn Thị Yến Nhi; Nguyễn Ngọc Ánh Dương; Nguyễn Thanh Tú; Phạm Anh Tuấn</t>
  </si>
  <si>
    <t>KHXH2026-275.png</t>
  </si>
  <si>
    <t>KHXH2026-276</t>
  </si>
  <si>
    <t>Ảnh hưởng của di cư nội địa đến sự biến đổi nhận thức về bản sắc ‘người Hà Nội’ trong bối cảnh đô thị hóa tại Thành phố Hà Nội</t>
  </si>
  <si>
    <t>Chu Hoa Bảo Trâm; Nguyễn Phan Mình Hiền; Đỗ Minh Đức; Nguyễn Ngọc Anh; Lê Hồng Hạnh</t>
  </si>
  <si>
    <t>KHXH2026-276.png</t>
  </si>
  <si>
    <t>KHXH2026-277</t>
  </si>
  <si>
    <t>Khả năng tiếp cận và chuyển hóa Nguồn lực thành Lợi ích số trong bối cảnh số hóa dịch vụ công của nhóm yếu thế tại Việt Nam: Bằng chứng thực nghiệm theo khung lý thuyết Nguồn lực và Tiếp cận số.</t>
  </si>
  <si>
    <t>Nguyễn Khánh Linh; Đặng Thị Vi Anh; Nguyễn Bảo Châu; Nguyễn Thị Minh Thư</t>
  </si>
  <si>
    <t>KHXH2026-277.png</t>
  </si>
  <si>
    <t>KHXH2026-278</t>
  </si>
  <si>
    <t>Định kiến giới và miệt thi ngoại hình ở nữ sinh viên Hà Nội</t>
  </si>
  <si>
    <t>Nguyễn Thị Quỳnh Chi; Võ Thị Bảo Duyên; Trần Thu Hường; Nguyễn Thị Mai; Vũ Thị Hải Minh</t>
  </si>
  <si>
    <t>KHXH2026-278.png</t>
  </si>
  <si>
    <t>CNTT2026-001</t>
  </si>
  <si>
    <t>Công nghệ thông tin</t>
  </si>
  <si>
    <t>TÌM HIỂU KHẢ NĂNG CỦA TRÍ TUỆ NHÂN TẠO, KHẢ NĂNG VƯỢT QUA CON NGƯỜI VÀ TÁC ĐỘNG ĐẾN SINH VIÊN NGÀNH CÔNG NGHỆ THÔNG TIN</t>
  </si>
  <si>
    <t>Võ Duy Bình</t>
  </si>
  <si>
    <t>CNTT2026-001.png</t>
  </si>
  <si>
    <t>CNTT2026-002</t>
  </si>
  <si>
    <t>EAAGRI: NỀN TẢNG NÔNG NGHIỆP THÔNG MINH TÍCH HỢP THỊ GIÁC MÁY TÍNH VÀ RAG CHO KHUYẾN NGHỊ PHÒNG TRỊ BỆNH SẦU RIÊNG TUÂN THỦ VIETGAP</t>
  </si>
  <si>
    <t>Phan Đăng Huy; Trương Trần Quang Huy; Đặng Văn Chung; Nguyễn Anh Giảng</t>
  </si>
  <si>
    <t>CNTT2026-002.png</t>
  </si>
  <si>
    <t>CNTT2026-003</t>
  </si>
  <si>
    <t>Nền tảng quản lý đa trung tâm ngoại ngữ và hỗ trợ luyện thi VSTEP tích hợp trí tuệ nhân tạo</t>
  </si>
  <si>
    <t>Trần Thị Mỹ Hạnh; Nguyễn Ngọc Cẩm Tiên; Huỳnh Văn Quân; Nguyễn Hoàng Khánh Duy; Huỳnh Nhật Minh Anh</t>
  </si>
  <si>
    <t>CNTT2026-003.png</t>
  </si>
  <si>
    <t>CNTT2026-004</t>
  </si>
  <si>
    <t>HEALTHSENSE: XÂY DỰNG HỆ THỐNG HỖ TRỢ TẦM SOÁT VÀ CẢNH BÁO SỚM RUNG NHĨ KẾT HỢP AI VÀ THIẾT BỊ IOT</t>
  </si>
  <si>
    <t>Huỳnh Đức Phú; Lê Trần Gia Huy; Đặng Nguyễn Tiến Phát; Phạm Ngọc Hùng</t>
  </si>
  <si>
    <t>CNTT2026-004.png</t>
  </si>
  <si>
    <t>CNTT2026-005</t>
  </si>
  <si>
    <t>Nghiên cứu và xây dựng hệ thống Website tìm đồng đội</t>
  </si>
  <si>
    <t>Lô Quang Trung</t>
  </si>
  <si>
    <t>CNTT2026-005.png</t>
  </si>
  <si>
    <t>CNTT2026-006</t>
  </si>
  <si>
    <t>Nghiên cứu và xây dựng hệ thồng website kết nối cho thuê phòng trọ tích hợp chatbot AI</t>
  </si>
  <si>
    <t>Nguyễn Đại Thắng; Nguyễn Bá Bổng; Cao Thị Quỳnh Như</t>
  </si>
  <si>
    <t>CNTT2026-006.png</t>
  </si>
  <si>
    <t>CNTT2026-007</t>
  </si>
  <si>
    <t>Ứng dụng kiến trúc kết hợp RAG và Vision AI trong hỗ trợ phân tích và tư vấn y tế</t>
  </si>
  <si>
    <t>Hoàng Anh Duy</t>
  </si>
  <si>
    <t>CNTT2026-007.png</t>
  </si>
  <si>
    <t>CNTT2026-008</t>
  </si>
  <si>
    <t>Xây dựng ứng dụng học đa ngôn ngữ cá nhân hóa lộ trình sử dụng trí tuệ nhân tạo và trò chơi hóa (Gamification) nhằm thúc đẩy động lực học tập của sinh viên</t>
  </si>
  <si>
    <t>Nguyễn Trọng An; Phan Lê Duy</t>
  </si>
  <si>
    <t>CNTT2026-008.png</t>
  </si>
  <si>
    <t>CNTT2026-009</t>
  </si>
  <si>
    <t>Xây dựng ứng dụng hồ sơ điện tử và cá nhân hóa lộ trình học tập dành cho sinh viên đại học</t>
  </si>
  <si>
    <t>Trương Trần Thanh Phương; Võ Thành Trung; Võ Ngọc Duy</t>
  </si>
  <si>
    <t>CNTT2026-009.png</t>
  </si>
  <si>
    <t>CNTT2026-010</t>
  </si>
  <si>
    <t>Thiết kế và xây dựng hệ thống thương mại điện tử đa ngành, tùy biến H&amp;N Odyssey</t>
  </si>
  <si>
    <t>Ngô Quốc Nam; Vũ Hoàng Phi Hùng</t>
  </si>
  <si>
    <t>CNTT2026-010.png</t>
  </si>
  <si>
    <t>CNTT2026-011</t>
  </si>
  <si>
    <t>Xây dựng kênh thông tin nhà trọ cho khu vực Học viện Nông nghiệp Việt Nam</t>
  </si>
  <si>
    <t>Vương Nhật Thành; Chu Văn Tài; Lương Thị Ngọc Lan</t>
  </si>
  <si>
    <t>Học viện Nông nghiệp Việt Nam</t>
  </si>
  <si>
    <t>CNTT2026-011.png</t>
  </si>
  <si>
    <t>CNTT2026-012</t>
  </si>
  <si>
    <t>Xây dựng mô hình chọn đặc trưng gene tối ưu bằng thuật toán lai Red - billed blue magpie optimizer (RBMO) và Secretary bird optimization algorithm (SBOA) trong hệ thống hỗ trợ chẩn đoán sớm ung thư máu</t>
  </si>
  <si>
    <t>Phùng Thị Ly; Lê Hoàng Minh Nhật; Bạch Ngọc Vy</t>
  </si>
  <si>
    <t>CNTT2026-012.png</t>
  </si>
  <si>
    <t>CNTT2026-013</t>
  </si>
  <si>
    <t>Phát triển hệ thống Web - App hỗ trợ tìm việc thông minh cho sinh viên dựa trên học máy và xử lý ngôn ngữ tự nhiên</t>
  </si>
  <si>
    <t>Hoàng Ngọc Khang; Tăng Hữu Minh; Lê Minh Tiến; Nguyễn Thanh Tùng</t>
  </si>
  <si>
    <t>CNTT2026-013.png</t>
  </si>
  <si>
    <t>CNTT2026-014</t>
  </si>
  <si>
    <t>Xây dựng hệ thống phân tích, dự báo và giải thích bệnh theo mùa ở trẻ em</t>
  </si>
  <si>
    <t>Lê Vũ Kiệt; Trần Trọng Hiếu</t>
  </si>
  <si>
    <t>Trường Đại học Tài nguyên và Môi trường TP. Hồ Chí Minh</t>
  </si>
  <si>
    <t>CNTT2026-014.png</t>
  </si>
  <si>
    <t>CNTT2026-015</t>
  </si>
  <si>
    <t>Xây dựng ứng dụng quản lý học tập trên nền tảng Google Workspace</t>
  </si>
  <si>
    <t>Phan Thị Hồng Nhung; Nguyễn Đức Hải; Nguyễn Hữu Hoàng Sang; Phan Gia Đại</t>
  </si>
  <si>
    <t>CNTT2026-015.png</t>
  </si>
  <si>
    <t>CNTT2026-016</t>
  </si>
  <si>
    <t>XÂY DỰNG HỆ THỐNG HỎI - ĐÁP TỰ ĐỘNG TRÊN VĂN BẢN QUY CHẾ GIÁO DỤC ĐẠI HỌC TIẾNG VIỆT THEO KIẾN TRÚC SINH NỘI DUNG TĂNG CƯỜNG TRUY XUẤT (RETRIEVAL-AUGMENTED GENERATION)</t>
  </si>
  <si>
    <t>Nguyễn Chí Đại</t>
  </si>
  <si>
    <t>Phân hiệu Trường Đại học Bình Dương tại Cà Mau</t>
  </si>
  <si>
    <t>CNTT2026-016.png</t>
  </si>
  <si>
    <t>CNTT2026-017</t>
  </si>
  <si>
    <t>XÂY DỰNG VÀ ĐÁNH GIÁ HỆ THỐNG HỖ TRỢ ĐIỂM DANH KẾT HỢP THEO DÕI VÀ CẢNH BÁO NGƯỜI LẠ BẰNG NHẬN DIỆN KHUÔN MẶT</t>
  </si>
  <si>
    <t>Hồ Việt Lê; Nguyễn Hà Huyền Trân</t>
  </si>
  <si>
    <t>CNTT2026-017.png</t>
  </si>
  <si>
    <t>CNTT2026-018</t>
  </si>
  <si>
    <t>Minh bạch hành trình thiện nguyện bằng Blockchain: Từ quyên góp đến thụ hưởng</t>
  </si>
  <si>
    <t>Nguyễn Cao Đỉnh; Nguyễn Minh Thuận</t>
  </si>
  <si>
    <t>CNTT2026-018.png</t>
  </si>
  <si>
    <t>CNTT2026-019</t>
  </si>
  <si>
    <t>Hệ sinh thái du lịch và chăm sóc sức khỏe xanh tại Vĩnh Long</t>
  </si>
  <si>
    <t>Nguyễn Công Minh; Lê Kiều Duy Em; Hồ Ngọc Bảo Trâm; Ngô Hoàng Tuấn; Nguyễn Lê Thanh Tâm</t>
  </si>
  <si>
    <t>Trường Đại học Hùng Vương Thành phố Hồ Chí Minh</t>
  </si>
  <si>
    <t>CNTT2026-019.png</t>
  </si>
  <si>
    <t>CNTT2026-020</t>
  </si>
  <si>
    <t>Thiết kế hệ thống Chăm sóc người cao tuổi tích hợp AI và IOT hỗ trợ phát hiện cảnh báo té ngã</t>
  </si>
  <si>
    <t>Mai Trần Thiện Tâm</t>
  </si>
  <si>
    <t>CNTT2026-020.png</t>
  </si>
  <si>
    <t>CNTT2026-021</t>
  </si>
  <si>
    <t>EXPLORING THE REASONING DEPTH OF SMALL LANGUAGE MODELS IN SOFTWARE ARCHITECTURE: A MULTIDIMENSIONAL EVALUATION FRAMEWORK TOWARDS SOFTWARE ENGINEERING 2.0</t>
  </si>
  <si>
    <t>Võ Hữu Khang; Võ Xuân Hạ</t>
  </si>
  <si>
    <t>Trường Đại học Bách Khoa, ĐHQG-HCM</t>
  </si>
  <si>
    <t>CNTT2026-021.png</t>
  </si>
  <si>
    <t>CNTT2026-022</t>
  </si>
  <si>
    <t>Xây dựng mô hình tối ưu hóa lập lịch hoạt động sinh viên dựa trên tổng trọng số bằng thuật toán lai Snake Optimization with Parasitic Mechanism (SOPM) trong hệ thống hỗ trợ sắp xếp sinh hoạt đa mục tiêu</t>
  </si>
  <si>
    <t>Nguyễn Thị Mỹ Duyên; Nguyễn Cao Mạnh Hùng; Phan Tuấn Giang</t>
  </si>
  <si>
    <t>CNTT2026-022.png</t>
  </si>
  <si>
    <t>CNTT2026-023</t>
  </si>
  <si>
    <t>Phát triển mô hình học sâu đa mô thức ứng dụng XAI trong hỗ trợ chẩn đoán và tiên lượng bệnh u não</t>
  </si>
  <si>
    <t>Phạm Huỳnh Quốc Đạt; Nguyễn Hải Đăng; Vương Quốc An</t>
  </si>
  <si>
    <t>CNTT2026-023.png</t>
  </si>
  <si>
    <t>CNTT2026-024</t>
  </si>
  <si>
    <t>Ứng dụng Text2Motion và Motion2Text trong huấn luyện kỹ năng vận động thể thao và giáo dục thể chất</t>
  </si>
  <si>
    <t>Nguyễn Thị Tuyết Nhung; Aung Kaung Htet; Wai Yan Moe Myint</t>
  </si>
  <si>
    <t>CNTT2026-024.png</t>
  </si>
  <si>
    <t>CNTT2026-025</t>
  </si>
  <si>
    <t>KneeXpert - Hệ thống trí tuệ nhân tạo trong phân tích và chẩn đoán bệnh khớp gối</t>
  </si>
  <si>
    <t>Lý Hùng Quốc Châu; Khổng Đức Tuấn; Aung Khant Paing</t>
  </si>
  <si>
    <t>CNTT2026-025.png</t>
  </si>
  <si>
    <t>CNTT2026-026</t>
  </si>
  <si>
    <t>APPCAUCUU - XÂY DỰNG HỆ THỐNG ỨNG DỤNG DI ĐỘNG KẾT NỐI MẠNG LƯỚI CỨU HỘ CỘNG ĐỒNG DỰA TRÊN VỊ TRÍ THỜI GIAN THỰC</t>
  </si>
  <si>
    <t>Mai Thanh Long</t>
  </si>
  <si>
    <t>CNTT2026-026.png</t>
  </si>
  <si>
    <t>CNTT2026-027</t>
  </si>
  <si>
    <t>STUDY ON BUILDING AN INTELLIGENT LEGAL ASSISTANT SYSTEM BASED ON MULTI-AGENT ARCHITECTURE AND KNOWLEDGE GRAPH FOR STATUTORY RETRIEVAL IN VIETNAM</t>
  </si>
  <si>
    <t>Mai Văn Vũ; Bùi Nguyễn Ngọc Thơ; Nguyễn Thanh Tường Vy; Vũ Trần Kiều Oanh</t>
  </si>
  <si>
    <t>CNTT2026-027.png</t>
  </si>
  <si>
    <t>CNTT2026-028</t>
  </si>
  <si>
    <t>Thiết kế và lập trình game 2D thể loại stealth Vụ trộm lặng lẽ trên Unity</t>
  </si>
  <si>
    <t>Hồ Sỹ Tuấn; Hoàng Phi Quân</t>
  </si>
  <si>
    <t>CNTT2026-028.png</t>
  </si>
  <si>
    <t>CNTT2026-029</t>
  </si>
  <si>
    <t>Nghiên cứu và ứng dụng các phương pháp học sâu dựa trên kiến trúc CNN và Transformer để phát triển hệ thống chẩn đoán hình ảnh răng trong nha khoa</t>
  </si>
  <si>
    <t>Nguyễn Văn Đúng; Huỳnh Nguyễn Minh Triển; Bùi Hoàng Quân; Phạm Trung Kiên; Nguyễn Công Minh Quân</t>
  </si>
  <si>
    <t>CNTT2026-029.png</t>
  </si>
  <si>
    <t>CNTT2026-030</t>
  </si>
  <si>
    <t>NGHIÊN CỨU THÀNH PHẦN HÓA HỌC TỪ PHÂN ĐOẠN N-HEXAN VÀ ETHYL ACETAT CỦA CÂY CHUA NGÚT HOA TRẮNG (EMBELIA LAETA (L.) MEZ) VÀ ĐÁNH GIÁ TƯƠNG TÁC VỚI COX-2 BẰNG DOCKING PHÂN TỬ</t>
  </si>
  <si>
    <t>Nguyễn Phương Nhi; Bùi Trần Ánh Nhiên; La Hân Hân; Mai Việt Hải</t>
  </si>
  <si>
    <t>CNTT2026-030.png</t>
  </si>
  <si>
    <t>CNTT2026-031</t>
  </si>
  <si>
    <t>XÂY DỰNG MÔ HÌNH SÀNG LỌC ẢO CHẤT CHỦ VẬN THỤ THỂ GLP-1</t>
  </si>
  <si>
    <t>Mai Huỳnh Tâm Như; Vĩnh Bảo Khánh; Trần Nguyễn Trung Tuấn</t>
  </si>
  <si>
    <t>CNTT2026-031.png</t>
  </si>
  <si>
    <t>CNTT2026-032</t>
  </si>
  <si>
    <t>XÂY DỰNG MÔ HÌNH TƯƠNG ĐỒNG HÌNH DẠNG BA CHIỀU VÀ MÔ HÌNH GHÉP NỐI PHÂN TỬ SÀNG LỌC CHẤT ỨC CHẾ IL-17A</t>
  </si>
  <si>
    <t>Nguyễn Thị Hạnh Nhi; Bùi Thị Bích Ngọc; Đặng Nguyễn Bảo Trân; Nguyễn Đoàn Gia Hy</t>
  </si>
  <si>
    <t>CNTT2026-032.png</t>
  </si>
  <si>
    <t>CNTT2026-033</t>
  </si>
  <si>
    <t>KHẢO SÁT VÀ XÂY DỰNG MÔ HÌNH GẮN KẾT PHÂN TỬ CHO CÁC MỤC TIÊU TÁC ĐỘNG CỦA VIRUS DENGUE TYPE II</t>
  </si>
  <si>
    <t>Nguyễn Ngọc Mỹ; Võ Ngọc Thanh Quyên; Phan Đoàn Nguyệt Minh; Võ Hoàng Phúc</t>
  </si>
  <si>
    <t>CNTT2026-033.png</t>
  </si>
  <si>
    <t>CNTT2026-034</t>
  </si>
  <si>
    <t>XÂY DỰNG MÔ HÌNH SÀNG LỌC ẢO CHẤT ĐỐI VẬN THỤ THỂ OREXIN 1</t>
  </si>
  <si>
    <t>Lê Nhật Minh; Nguyễn Mỹ Anh Thư; Châu Nhật Anh; Nguyễn Huy Xuân Sơn</t>
  </si>
  <si>
    <t>CNTT2026-034.png</t>
  </si>
  <si>
    <t>CNTT2026-035</t>
  </si>
  <si>
    <t>INVESTOR PROTECTION BY DESIGN AND DEMAND FOR TOKENIZED REAL ASSETS: EVIDENCE FROM A CHOICE-BASED CONJOINT EXPERIMENT IN A PROSPECTIVE VIETNAMESE RETAIL MARKET</t>
  </si>
  <si>
    <t>Nguyễn Hải Đăng; Huỳnh Bảo Khánh; Nguyễn Gia Vỹ; Nguyễn Thị An Thuận; Bùi Ngọc Bảo Trân</t>
  </si>
  <si>
    <t>CNTT2026-035.png</t>
  </si>
  <si>
    <t>CNTT2026-036</t>
  </si>
  <si>
    <t>Nghiên cứu và phát triển hệ thống quan trắc chất lượng không khí tại khu công nghiệp kết hợp trạm cố định và robot di động</t>
  </si>
  <si>
    <t>Trương Gia Huy; Đặng Ngọc Châu</t>
  </si>
  <si>
    <t>CNTT2026-036.png</t>
  </si>
  <si>
    <t>CNTT2026-037</t>
  </si>
  <si>
    <t>Personalized Wearable IMU System for Real-Time Vestibular Fall-Risk Detection</t>
  </si>
  <si>
    <t>Bùi Việt Hoàng</t>
  </si>
  <si>
    <t>Trường Đại học Khoa học và Công nghệ Hà Nội</t>
  </si>
  <si>
    <t>CNTT2026-037.png</t>
  </si>
  <si>
    <t>CNTT2026-038</t>
  </si>
  <si>
    <t>AN EXPLAINABLE DECISION SUPPORT FRAMEWORK FOR AQUACULTURE WATER QUALITY EARLY WARNING: A PHYSICS-INFORMED DIGITAL TWIN SIMULATION APPROACH</t>
  </si>
  <si>
    <t>Phạm Quang Nhật; Nguyễn Đình Khôi; Cao Thị Hà Phương; Nguyễn Bá Trần Khoa; Nguyễn Gia Bảo</t>
  </si>
  <si>
    <t>CNTT2026-038.png</t>
  </si>
  <si>
    <t>CNTT2026-039</t>
  </si>
  <si>
    <t>Mô hình mạng lưới tích hợp Freight-on-Transit và Microhub cho Logistics giao hàng chặng cuối tại đô thị bền vững: Nghiên cứu tại Phường Sài Gòn và Phường Thạnh Mỹ Tây, Thành phố Hồ Chí Minh</t>
  </si>
  <si>
    <t>Nguyễn Đức Phát; Nguyễn Đình Phúc; Lê Thành An; Lê Lý Phúc An</t>
  </si>
  <si>
    <t>CNTT2026-039.png</t>
  </si>
  <si>
    <t>CNTT2026-040</t>
  </si>
  <si>
    <t>Nghiên cứu và xây dựng hệ thống hỗ trợ điều hướng giao thông dựa trên phân tích video bằng YOLOV8</t>
  </si>
  <si>
    <t>Nguyễn Thị Tú Uyên; Đỗ Lê Phương Dung</t>
  </si>
  <si>
    <t>CNTT2026-040.png</t>
  </si>
  <si>
    <t>CNTT2026-041</t>
  </si>
  <si>
    <t>Tối ưu hóa phối hợp xe tải điện và drone trong giao hàng đô thị: Nghiên cứu tại Vạn Phúc–Hiệp Bình, TP. HCM</t>
  </si>
  <si>
    <t>Bùi Thị Minh Thơ; Nguyễn Chí Cường</t>
  </si>
  <si>
    <t>CNTT2026-041.png</t>
  </si>
  <si>
    <t>CNTT2026-042</t>
  </si>
  <si>
    <t>Nghiên cứu, Xây dựng hệ thống hỗ trợ tìm kiếm điểm sơ tán và đường thoát hiểm trong điều kiện mưa lũ tại Lào Cai</t>
  </si>
  <si>
    <t>Lê Gia Hưng; Trần Phương Thảo; Nguyễn Văn Hiếu; Vũ Mạnh Tiến; Nguyễn Văn Tùng</t>
  </si>
  <si>
    <t>CNTT2026-042.png</t>
  </si>
  <si>
    <t>CNTT2026-043</t>
  </si>
  <si>
    <t>Nghiên cứu, xây dựng môi trường giả lập phục vụ phân tích, đánh giá nguy cơ tấn công mạng hướng tới các thành phần lõi trong hạ tầng mạng 5G</t>
  </si>
  <si>
    <t>Hoàng Đức Linh</t>
  </si>
  <si>
    <t>CNTT2026-043.png</t>
  </si>
  <si>
    <t>CNTT2026-044</t>
  </si>
  <si>
    <t>Tác động của nhận thức về rủi ro tội phạm mạng đến ý định sử dụng dịch vụ E-banking của sinh viên tại Hà Nội</t>
  </si>
  <si>
    <t>Đồng Thị Hương Giang; Nguyễn Thị Hương Giang; Phạm Thị Hồng Phúc; Nguyễn Mai Phương; Nguyễn Thị Ngọc Linh</t>
  </si>
  <si>
    <t>CNTT2026-044.png</t>
  </si>
  <si>
    <t>CNTT2026-045</t>
  </si>
  <si>
    <t>ĐÁNH GIÁ SỰ THÀNH CÔNG CỦA HỆ THỐNG QUẢN LÝ QUAN HỆ KHÁCH HÀNG ĐIỆN TỬ (ECRM) TẠI CÁC TẬP ĐOÀN BÁN LẺ ĐA QUỐC GIA ĐANG HOẠT ĐỘNG Ở VIỆT NAM HIỆN NAY. HÀM Ý CHÍNH SÁCH CHO CÁC DOANH NGHIỆP VIỆT NAM TRONG KỶ NGUYÊN VƯƠN MÌNH</t>
  </si>
  <si>
    <t>Nguyễn Thị Thanh Huyền; Đỗ Thi Kim Oanh</t>
  </si>
  <si>
    <t>CNTT2026-045.png</t>
  </si>
  <si>
    <t>CNTT2026-046</t>
  </si>
  <si>
    <t>Từ dữ liệu đến rủi ro: Liệu công nghệ tài chính có làm giảm rủi ro tài chính của doanh nghiệp? Góc nhìn mới từ cơ chế hạn chế lệch pha tài chính</t>
  </si>
  <si>
    <t>Bùi Khánh Ly; Trần Thị Thanh Nhiên; Nguyễn Thị Phương Thanh</t>
  </si>
  <si>
    <t>CNTT2026-046.png</t>
  </si>
  <si>
    <t>CNTT2026-047</t>
  </si>
  <si>
    <t>TÁC ĐỘNG CỦA CHUYỂN ĐỔI SỐ ĐẾN RỦI RO TÍN DỤNG VÀ RỦI RO THANH KHOẢN VỚI VAI TRÒ TRUNG GIAN CỦA ĐA DẠNG HÓA THU NHẬP TẠI CÁC NGÂN HÀNG THƯƠNG MẠI VIỆT NAM</t>
  </si>
  <si>
    <t>Nguyễn Hải Linh; Bùi Thị Trà My; Nguyễn Thanh Hương; Nguyễn Thị Hải Yến; Trần Thục Uyên</t>
  </si>
  <si>
    <t>CNTT2026-047.png</t>
  </si>
  <si>
    <t>CNTT2026-048</t>
  </si>
  <si>
    <t>UNIVERSITY - CERTIFICATE - CONNECTION</t>
  </si>
  <si>
    <t>Phạm Trần Bình An; Cao Thuỳ Linh; Nguyễn Thu Thảo; Nguyễn Phương Thuỳ Anh; Nguyễn Phương Thảo</t>
  </si>
  <si>
    <t>CNTT2026-048.png</t>
  </si>
  <si>
    <t>CNTT2026-049</t>
  </si>
  <si>
    <t>Hệ thống Phát hiện Phishing Đa Phương thức và Chống chịu Tấn công Đối nghịch</t>
  </si>
  <si>
    <t>Hồ Lê Giỏi; Nguyễn Đình Quốc Trí; Trần Phúc Tiến</t>
  </si>
  <si>
    <t>CNTT2026-049.png</t>
  </si>
  <si>
    <t>CNTT2026-050</t>
  </si>
  <si>
    <t>AN AUTOMATED MITRE ATT&amp;CK–DRIVEN FRAMEWORK FOR EVALUATING IDS/IPS AND SOC DETECTION CAPABILITIES</t>
  </si>
  <si>
    <t>Đỗ Phạm Hoàng Phúc</t>
  </si>
  <si>
    <t>CNTT2026-050.png</t>
  </si>
  <si>
    <t>CNTT2026-051</t>
  </si>
  <si>
    <t>THIẾT KẾ, HIỆN THỰC VÀ ĐÁNH GIÁ KIẾN TRÚC CỤM EDGE-AI PHÂN TÁN DỊ THỂ NHẰM TỐI ƯU HIỆU SUẤT CHO CÁC TÁC VỤ AI</t>
  </si>
  <si>
    <t>Trần An Huy; Trần Quang Huy</t>
  </si>
  <si>
    <t>Trường Đại học Công nghệ Thông tin, ĐHQG-HCM</t>
  </si>
  <si>
    <t>CNTT2026-051.png</t>
  </si>
  <si>
    <t>CNTT2026-052</t>
  </si>
  <si>
    <t>Giải pháp giám sát an ninh thông minh đa camera chi phí thấp, công suất thấp dựa trên điện toán biên và mô hình học sâu lượng tử hóa</t>
  </si>
  <si>
    <t>Phan Vũ Đăng Khoa; Phạm Ngọc Anh Hào</t>
  </si>
  <si>
    <t>Trường Đại học Khoa học Tự nhiên, ĐHQG-HCM</t>
  </si>
  <si>
    <t>CNTT2026-052.png</t>
  </si>
  <si>
    <t>CNTT2026-053</t>
  </si>
  <si>
    <t>Hệ thống chụp cắt lớp trở kháng điện 16 điện cực tích hợp trí tuệ nhân tạo nhúng trên STM32H7 để nhận biết số lượng và định vị vật thể theo vùng góc</t>
  </si>
  <si>
    <t>Lưu Hữu Phước; Huỳnh Tuấn Kiệt; Trần Minh Cao Nguyên; Huỳnh Tấn Phát; Trương Công Vinh</t>
  </si>
  <si>
    <t>CNTT2026-053.png</t>
  </si>
  <si>
    <t>CNTT2026-054</t>
  </si>
  <si>
    <t>Thiết kế chip dựa trên vi xử lý RISCV đa lõi tích hợp lõi mật mã hoá nhẹ ứng dụng bảo mật thiết bị IoT biên trên công nghệ CMOS 130nm</t>
  </si>
  <si>
    <t>Trần Võ Thiên Phúc; Trần Hưng Thời; Hồ Huy Thịnh; Phan Thành Nhân; Đàm Minh Quân</t>
  </si>
  <si>
    <t>CNTT2026-054.png</t>
  </si>
  <si>
    <t>CNTT2026-055</t>
  </si>
  <si>
    <t>Tối ưu quỹ đạo UAV dựa trên học tăng cường sâu cho mạng IOV HAP - OIRS / FSO với thu hoạch năng lượng kết hợp FSO/mặt trời</t>
  </si>
  <si>
    <t>Trịnh Hoàng Hảo; Đỗ Hà Linh; Phạm Bằng Trang</t>
  </si>
  <si>
    <t>CNTT2026-055.png</t>
  </si>
  <si>
    <t>CNTT2026-056</t>
  </si>
  <si>
    <t>Thiết kế lõi vi mạch Aegis-6G-UAV</t>
  </si>
  <si>
    <t>Nguyễn Trần Thanh Sơn; Đỗ Minh Quân; Nguyễn Hữu Bắc</t>
  </si>
  <si>
    <t>CNTT2026-056.png</t>
  </si>
  <si>
    <t>CNTT2026-057</t>
  </si>
  <si>
    <t>Hệ thống tai nghe dẫn truyền xương tích hợp IoT và AI hỗ trợ người khiếm thị nhận biết xe điện</t>
  </si>
  <si>
    <t>Huỳnh Gia Bảo; Võ Thành Tài</t>
  </si>
  <si>
    <t>CNTT2026-057.png</t>
  </si>
  <si>
    <t>CNTT2026-058</t>
  </si>
  <si>
    <t>Ứng dụng công nghệ truyền thông tích hợp cảm biến (ISAC) cho hệ thống lai ghép FSO/RF trong mạng Internet phương tiện (IoV) sử dụng tín hiệu tán xạ ngược</t>
  </si>
  <si>
    <t>Nguyễn Trung Dũng; Phạm Bằng Trang; Đỗ Hà Linh</t>
  </si>
  <si>
    <t>CNTT2026-058.png</t>
  </si>
  <si>
    <t>CNTT2026-059</t>
  </si>
  <si>
    <t>Tối ưu khoảng cách phần tử OIRS bằng DRL cho hệ thống FSO trong mạng truyền thông phi mặt đất</t>
  </si>
  <si>
    <t>Trần Hữu Bảo Anh; Nguyễn Thạc Anh; Lê Hoàng Nam Khánh</t>
  </si>
  <si>
    <t>CNTT2026-059.png</t>
  </si>
  <si>
    <t>CNTT2026-060</t>
  </si>
  <si>
    <t>Nghiên cứu và phát triển anten phân cực tròn hiệu năng cao cho các ứng dụng băng rộng</t>
  </si>
  <si>
    <t>Phạm Anh Tài; Hồ Đăng Khoa</t>
  </si>
  <si>
    <t>CNTT2026-060.png</t>
  </si>
  <si>
    <t>CNTT2026-061</t>
  </si>
  <si>
    <t>NGHIÊN CỨU, THIẾT KẾ VÀ TÍCH HỢP HỆ THỐNG SOC TĂNG TỐC VÀ GIÁM SÁT QUỸ ĐẠO AN TOÀN THỜI GIAN THỰC TRÊN FPGA CHO XE TỰ HÀNH (VLA-Traj &lt;-&gt; TSM)</t>
  </si>
  <si>
    <t>Ngô Đức Anh</t>
  </si>
  <si>
    <t>CNTT2026-061.png</t>
  </si>
  <si>
    <t>CNTT2026-062</t>
  </si>
  <si>
    <t>NGHIÊN CỨU PHÁT TRIỂN ANTEN ĐỘ LỢI CAO BĂNG TẦN N78 CHO TRẠM GỐC CỠ NHỎ 5G/5G-ADVANCED</t>
  </si>
  <si>
    <t>Trần Lê Phúc Khang; Phạm Hoàng Huy</t>
  </si>
  <si>
    <t>CNTT2026-062.png</t>
  </si>
  <si>
    <t>CNTT2026-063</t>
  </si>
  <si>
    <t>Nghiên cứu giải pháp AIot cho phát hiện hư hỏng mặt đường thời gian thực dựa trên hợp nhất dữ liệu đa cảm biến trên phần cứng nhúng hạn chế tài nguyên</t>
  </si>
  <si>
    <t>Võ Lê Huy; Trần Phúc Lâm; Nguyễn Ngọc Tới; Trần Thái Thanh Tố</t>
  </si>
  <si>
    <t>CNTT2026-063.png</t>
  </si>
  <si>
    <t>CNTT2026-064</t>
  </si>
  <si>
    <t>Phân tích dữ liệu sức khỏe, phát hiện bất thường và xây dựng hệ thống cảnh báo y tế thông minh</t>
  </si>
  <si>
    <t>Huỳnh Thảo Vy; Châu Hồng Ngọc</t>
  </si>
  <si>
    <t>CNTT2026-064.png</t>
  </si>
  <si>
    <t>CNTT2026-065</t>
  </si>
  <si>
    <t>HỆ THỐNG KIỂM SOÁT TÀI CHÍNH THÔNG MINH DỰA TRÊN NỀN TẢNG WEBSITE</t>
  </si>
  <si>
    <t>Nguyễn Hoàng Nhật; Nguyễn Trọng Hiếu; Nguyễn Minh Hào</t>
  </si>
  <si>
    <t>CNTT2026-065.png</t>
  </si>
  <si>
    <t>CNTT2026-066</t>
  </si>
  <si>
    <t>XÂY DỰNG HỆ THỐNG GỢI Ý LỘ TRÌNH DU LỊCH THÔNG MINH CHO DU KHÁCH TẠI ĐÀ LẠT</t>
  </si>
  <si>
    <t>Nguyễn Thị Thư Tín; Lương Vũ Kim Thu; Lê Nguyễn Duy Minh</t>
  </si>
  <si>
    <t>CNTT2026-066.png</t>
  </si>
  <si>
    <t>CNTT2026-067</t>
  </si>
  <si>
    <t>Tối ưu hoá đánh giá tính cách thông qua thuật toán rừng ngẫu nhiên và loại bỏ đặc trưng đệ quy: một phiên bản mbti rút gọn cho bối cảnh Việt Nam</t>
  </si>
  <si>
    <t>Nguyễn Tấn Hải; Khổng Đỗ Thanh Huyền</t>
  </si>
  <si>
    <t>CNTT2026-067.png</t>
  </si>
  <si>
    <t>CNTT2026-068</t>
  </si>
  <si>
    <t>3Br-MGD: Dự đoán độc tính trong bài toán học ít mẫu bằng bộ mã hóa sâu ba nhánh và khung học siêu dữ liệu</t>
  </si>
  <si>
    <t>Nguyễn Thị Phương Thảo</t>
  </si>
  <si>
    <t>CNTT2026-068.png</t>
  </si>
  <si>
    <t>CNTT2026-069</t>
  </si>
  <si>
    <t>Stacked Hybrid Ensemble Framework for Uncertainty-Aware Demand Forecasting and Inventory Optimization of Perishable Goods</t>
  </si>
  <si>
    <t>Đàm Trung Kiên; Cao Thị Thu Trang; Phạm Như Đạt; Trần Thị Yến</t>
  </si>
  <si>
    <t>CNTT2026-069.png</t>
  </si>
  <si>
    <t>CNTT2026-070</t>
  </si>
  <si>
    <t>Vision-Language Modeling for Vietnamese Multimodal Fake News Classification.</t>
  </si>
  <si>
    <t>Nguyễn Thành Đạt; Hoàng Hạnh Nguyên; Đỗ Bích Loan; Nguyễn Đào Bảo Ngọc</t>
  </si>
  <si>
    <t>CNTT2026-070.png</t>
  </si>
  <si>
    <t>CNTT2026-071</t>
  </si>
  <si>
    <t>A Concept Drift-Aware Hybrid Active Learning Framework for Network Intrusion Detection</t>
  </si>
  <si>
    <t>Nguyễn Phước Anh Dũng</t>
  </si>
  <si>
    <t>CNTT2026-071.png</t>
  </si>
  <si>
    <t>CNTT2026-072</t>
  </si>
  <si>
    <t>Hộ thống IoT giám sát và điều khiển cảnh báo khí độc trong nhà</t>
  </si>
  <si>
    <t>Nguyễn Hữu Gia Bảo</t>
  </si>
  <si>
    <t>CNTT2026-072.png</t>
  </si>
  <si>
    <t>CNTT2026-073</t>
  </si>
  <si>
    <t>ContextGuard-Robot: Ràng buộc quyết định với ngữ cảnh tại thời gian chạy và bảo đảm tính toàn vẹn tại thời điểm cam kết thực thi trong phân công robot (ContextGuard-Robot: Runtime Decision-Context Binding and Commit-Time Integrity Enforcement for Robot Dispatch)</t>
  </si>
  <si>
    <t>Lê Ngọc Tân; Nguyễn Đức Long; Hoàng Phương Thảo; Võ Ngọc Minh Đạt</t>
  </si>
  <si>
    <t>CNTT2026-073.png</t>
  </si>
  <si>
    <t>CNTT2026-074</t>
  </si>
  <si>
    <t>Tích hợp học máy giải thích được và luật kết hợp không dư thừa trong hệ thống dự đoán kết quả tốt nghiệp và khuyến nghị học tập cho sinh viên</t>
  </si>
  <si>
    <t>Lê Thị Kim Oanh; Huỳnh Thanh Quý; Lâm Phát Đạt; Nguyễn Huỳnh Đan Khánh; Huỳnh Nhật Minh Anh</t>
  </si>
  <si>
    <t>CNTT2026-074.png</t>
  </si>
  <si>
    <t>CNTT2026-075</t>
  </si>
  <si>
    <t>Nghiên cứu và xây dựng hệ thống cảnh báo thông minh hỗ trợ an toàn lái xe dựa trên nhận diện hành vi tài xế</t>
  </si>
  <si>
    <t>Nguyễn Minh Đức; Nguyễn Quang Hà; Lê Thị Hương Ly</t>
  </si>
  <si>
    <t>CNTT2026-075.png</t>
  </si>
  <si>
    <t>CNTT2026-076</t>
  </si>
  <si>
    <t>THÍCH NGHI TRONG THỜI GIAN KIỂM THỬ DỰA TRÊN MÔ HÌNH KHUẾCH TÁN VỚI CƠ CHẾ TỰ DẪN HƯỚNG</t>
  </si>
  <si>
    <t>Bảo Quý Định Tân; Hà Xuân Thiện</t>
  </si>
  <si>
    <t>CNTT2026-076.png</t>
  </si>
  <si>
    <t>CNTT2026-077</t>
  </si>
  <si>
    <t>ỨNG DỤNG PHƯƠNG PHÁP TRUY XUẤT KẾT HỢP TRONG HỆ THỐNG CHUYỂN ĐỔI VĂN BẢN TIẾNG VIỆT SANG VIDEO THỦ NGỮ</t>
  </si>
  <si>
    <t>Phan Thành Đạt</t>
  </si>
  <si>
    <t>CNTT2026-077.png</t>
  </si>
  <si>
    <t>CNTT2026-078</t>
  </si>
  <si>
    <t>Nghiên cứu và ứng dụng mã hóa đồng cấu để bảo vệ dữ liệu vân tay trong hệ thống IoT</t>
  </si>
  <si>
    <t>Ngô Hoàng Nhật Khang; Hồ Anh Tuấn</t>
  </si>
  <si>
    <t>CNTT2026-078.png</t>
  </si>
  <si>
    <t>CNTT2026-079</t>
  </si>
  <si>
    <t>Quantitative Assessment of Acupoint Localization Skill on the Learner’s Own Forearm Using a Single RGB Webcam</t>
  </si>
  <si>
    <t>Trần An Khoa; Nguyễn Tiến Đạt</t>
  </si>
  <si>
    <t>CNTT2026-079.png</t>
  </si>
  <si>
    <t>CNTT2026-080</t>
  </si>
  <si>
    <t>Kết hợp song tuyến CNN-Transformer cho phân đoạn ảnh vết nứt</t>
  </si>
  <si>
    <t>Bế Lã Anh Thư; Hồ Minh Đăng</t>
  </si>
  <si>
    <t>CNTT2026-080.png</t>
  </si>
  <si>
    <t>CNTT2026-081</t>
  </si>
  <si>
    <t>Mô hình học sâu cảnh báo sớm bạo lực trong môi trường học đường</t>
  </si>
  <si>
    <t>Ngô Quang Khánh; Dương Thị Thu Diểm; Phùng Ngọc Nhân; Nguyễn Xuân Phát</t>
  </si>
  <si>
    <t>CNTT2026-081.png</t>
  </si>
  <si>
    <t>CNTT2026-082</t>
  </si>
  <si>
    <t>Nghiên cứu và phát triển hệ thống tự động phát hiện truy cập bất thường vào hệ thống Web/App.</t>
  </si>
  <si>
    <t>Đặng Tuấn Nam; Hoàng Tùng Giang; Bùi Thị Lệ; Trần Thị Thuỳ Linh; Hà Bạch Dương</t>
  </si>
  <si>
    <t>CNTT2026-082.png</t>
  </si>
  <si>
    <t>CNTT2026-083</t>
  </si>
  <si>
    <t>KEODI - HỆ THỐNG GỢI Ý VÀ TÌM KIẾM ĐỊA ĐIỂM THEO NGỮ CẢNH VÀ HỖ TRỢ QUYẾT ĐỊNH NHÓM</t>
  </si>
  <si>
    <t>CNTT2026-083.png</t>
  </si>
  <si>
    <t>CNTT2026-084</t>
  </si>
  <si>
    <t>HỆ THỐNG TÍCH HỢP THỊ GIÁC MÁY TÍNH VÀ HỌC SÂU TRÊN ĐỒ THỊ CHO PHÂN LOẠI TẠI NGUỒN VÀ TỐI ƯU TUYẾN ĐƯỜNG THU GOM RÁC THẢI NHỰA TÁI CHẾ: NGHIÊN CỨU ĐIỂN HÌNH TẠI TP.HCM</t>
  </si>
  <si>
    <t>Trang Thiên Quý; Trương Nguyễn Minh Hiếu; Phạm Lê Thiên Kim; Nguyễn Hà Nhật Huy; Chu Hoàng Phúc</t>
  </si>
  <si>
    <t>CNTT2026-084.png</t>
  </si>
  <si>
    <t>CNTT2026-085</t>
  </si>
  <si>
    <t>EduMap: Bản đồ giáo dục số toàn quốc - kết hợp bản đồ địa lý, AI phân tích mật độ và chỉ đường thông minh</t>
  </si>
  <si>
    <t>Quách Khoa Đức; Lê Ngọc Tân; Nguyễn Trung Hơn; Nguyễn Tấn Tài; Phạm Đức Thiện</t>
  </si>
  <si>
    <t>CNTT2026-085.png</t>
  </si>
  <si>
    <t>CNTT2026-086</t>
  </si>
  <si>
    <t>Blockchain AI Sentinel: Hệ thống phát hiện gian lận chuỗi khối đa tác nhân với ràng buộc ngữ cảnh thời gian thực</t>
  </si>
  <si>
    <t>Lê Ngọc Tân; Quách Khoa Đức; Nguyễn Trung Hơn; Vũ Thị Thanh Hiền; Nguyễn Tấn Tài</t>
  </si>
  <si>
    <t>CNTT2026-086.png</t>
  </si>
  <si>
    <t>CNTT2026-087</t>
  </si>
  <si>
    <t>MORPH-IDS: KHUNG HỌC TĂNG CƯỜNG ĐA TÁC TỬ DỰA TRÊN BỐI CẢNH CHO HỆ PHÒNG THỦ MỤC TIÊU ĐỘNG NHẬN BIẾT SỰ DỊCH CHUYỂN DỮ LIỆU TRONG PHÁT HIỆN XÂM NHẬP KHÁNG ĐỐI KHÁNG</t>
  </si>
  <si>
    <t>HỒNG HUY HOÀNG; TRƯƠNG ĐỨC HÀO</t>
  </si>
  <si>
    <t>CNTT2026-087.png</t>
  </si>
  <si>
    <t>CNTT2026-088</t>
  </si>
  <si>
    <t>Giải pháp dịch vụ tên miền cấu hình động cho doanh nghiệp vừa và nhỏ</t>
  </si>
  <si>
    <t>Nguyễn Đức Tin</t>
  </si>
  <si>
    <t>CNTT2026-088.png</t>
  </si>
  <si>
    <t>CNTT2026-089</t>
  </si>
  <si>
    <t>XÂY DỰNG HỆ THỐNG PHÒNG CHỐNG LỪA ĐẢO TRỰC TUYẾN TÍCH HỢP WEBSITE, CHROME EXTENSION VÀ CHATBOT AI.</t>
  </si>
  <si>
    <t>Nguyễn Văn Trọng; Võ Văn Khải; Nguyễn Trọng Kiên</t>
  </si>
  <si>
    <t>CNTT2026-089.png</t>
  </si>
  <si>
    <t>CNTT2026-090</t>
  </si>
  <si>
    <t>Research project title: machine learning for congestion prediction in centralized and distributed 5g data-center deployments</t>
  </si>
  <si>
    <t>Huỳnh Trần Quang Khải; Phạm Thanh Danh; Nguyễn Đức Việt</t>
  </si>
  <si>
    <t>CNTT2026-090.png</t>
  </si>
  <si>
    <t>CNTT2026-091</t>
  </si>
  <si>
    <t>Hệ sinh thái Nông nghiệp tuần hoàn khép kín và Truy xuất hành trình chuỗi cung ứng lạnh nông sản ứng dụng Mạng cảm biến Edge-AI (TinyML), Dự báo chuỗi thời gian ARIMA và Trợ lý ảo LLM</t>
  </si>
  <si>
    <t>Nguyễn Việt Hải; Nguyễn Quang Vũ; Nguyễn Ngọc Hân; Trần An Kỳ; Nguyễn Thành Phong</t>
  </si>
  <si>
    <t>CNTT2026-091.png</t>
  </si>
  <si>
    <t>CNTT2026-092</t>
  </si>
  <si>
    <t>Nghiên cứu xây dựng hệ thống giám sát và cảnh báo thông tin tiêu cực trên không gian mạng bằng N8N</t>
  </si>
  <si>
    <t>Nguyễn Trung Hậu; Châu Nhuận Phát</t>
  </si>
  <si>
    <t>CNTT2026-092.png</t>
  </si>
  <si>
    <t>CNTT2026-093</t>
  </si>
  <si>
    <t>Nghiên cứu ứng dụng kỹ thuật Phishing và các phương pháp giúp người dùng nhận biết, phòng tránh hành vi lừa đảo trực tuyến</t>
  </si>
  <si>
    <t>Lâm Hoài Bảo; Nguyễn Văn Khánh</t>
  </si>
  <si>
    <t>CNTT2026-093.png</t>
  </si>
  <si>
    <t>CNTT2026-094</t>
  </si>
  <si>
    <t>REDUCING FALSE POSITIVES IN DDOS USING TRAFFIC BEHAVIOR ANALYSIS</t>
  </si>
  <si>
    <t>Nguyễn Ngọc Yến Thư; Cáp Phạm Thiên Hương; Bùi Trần Quỳnh Hương; Lầu Uyển Nhi</t>
  </si>
  <si>
    <t>CNTT2026-094.png</t>
  </si>
  <si>
    <t>CNTT2026-095</t>
  </si>
  <si>
    <t>ML-ASSISTED SERVICE PLACEMENT AND RESOURCE ALLOCATION IN DISTRIBUTED 5G DATA CENTERS</t>
  </si>
  <si>
    <t>Lê Thành Tài; Đặng Trường Thịnh; Phan Thị Ánh Tuyền</t>
  </si>
  <si>
    <t>Trường Cao đẳng Công nghệ Thông tin TP. Hồ Chí Minh</t>
  </si>
  <si>
    <t>CNTT2026-095.png</t>
  </si>
  <si>
    <t>CNTT2026-096</t>
  </si>
  <si>
    <t>Machine Learning for IPv6 Covert-Channel Detection in 5G-Oriented Data Centers</t>
  </si>
  <si>
    <t>Lê Duy Khánh; Lê Thanh Hậu; Tô Thanh Tân; Đỗ Manh Quang</t>
  </si>
  <si>
    <t>CNTT2026-096.png</t>
  </si>
  <si>
    <t>CNTT2026-097</t>
  </si>
  <si>
    <t>Integer values of generating functions for a type of second order linear recurrence sequences</t>
  </si>
  <si>
    <t>Nguyễn Duy Nguyên</t>
  </si>
  <si>
    <t>CNTT2026-097.png</t>
  </si>
  <si>
    <t>CNTT2026-098</t>
  </si>
  <si>
    <t>Nguyên lý ánh xạ co Banach và các mở rộng của nó trong các không gian metric suy rộng</t>
  </si>
  <si>
    <t>Nguyễn Sỹ Thắng; Ông Hoàng Anh Kiệt</t>
  </si>
  <si>
    <t>CNTT2026-098.png</t>
  </si>
  <si>
    <t>CNTT2026-099</t>
  </si>
  <si>
    <t>Tính chất bóng tiệm cận và tính ổn định tôpô của hệ động lực tuyến tính</t>
  </si>
  <si>
    <t>Lê Việt Hà; Vũ Khánh Linh</t>
  </si>
  <si>
    <t>CNTT2026-099.png</t>
  </si>
  <si>
    <t>CNTT2026-100</t>
  </si>
  <si>
    <t>Về biến ngẫu nhiên phụ thuộc âm và ứng dụng</t>
  </si>
  <si>
    <t>Nguyễn Bảo Nhi; Hồ Huỳnh Nguyên Bảo</t>
  </si>
  <si>
    <t>CNTT2026-100.png</t>
  </si>
  <si>
    <t>CNTT2026-101</t>
  </si>
  <si>
    <t>Cấu trúc đại số và khoảng cách Hamming của mã hằng tuần hoàn trên trường hữu hạn</t>
  </si>
  <si>
    <t>Trần Phương Thảo Uyên; Huỳnh Nhã Kỳ; Lê Thành Tài; Trần Hoàng Hoài Thương</t>
  </si>
  <si>
    <t>CNTT2026-101.png</t>
  </si>
  <si>
    <t>CNTT2026-102</t>
  </si>
  <si>
    <t>Nghiên cứu phân đoạn vùng tán lá cà chua trên ảnh nhiệt bằng mô hình YOLOv8n-seg.</t>
  </si>
  <si>
    <t>Phạm Thùy Dung; Kiều Thu Hà; Nguyễn Ngọc Như Quỳnh; Nguyễn Thùy Trang; Phạm Thị Thu Trang</t>
  </si>
  <si>
    <t>CNTT2026-102.png</t>
  </si>
  <si>
    <t>CNTT2026-103</t>
  </si>
  <si>
    <t>Xây dựng hệ thống hỏi đáp pháp lý đa phương thức tiếng Việt (LegalQA)</t>
  </si>
  <si>
    <t>Nguyễn Quang Hà; Lê Thị Hương Ly</t>
  </si>
  <si>
    <t>CNTT2026-103.png</t>
  </si>
  <si>
    <t>CNTT2026-104</t>
  </si>
  <si>
    <t>Nghiên cứu phát triển phương pháp phân cụm bán giám sát dựa trên mật độ</t>
  </si>
  <si>
    <t>Trần Viết Thụ</t>
  </si>
  <si>
    <t>CNTT2026-104.png</t>
  </si>
  <si>
    <t>CNTT2026-105</t>
  </si>
  <si>
    <t>KIẾN TRÚC HYBIRD AI CÓ KHẢ NĂNG GIẢI THÍCH NHẰM ĐẢM BẢO TÍNH LIÊM CHÍNH TRONG HỌC</t>
  </si>
  <si>
    <t>Đặng Vỹ Hào; Trịnh Hải Đăng; Nguyễn Tấn Thuận; Nguyễn Tấn Yên</t>
  </si>
  <si>
    <t>CNTT2026-105.png</t>
  </si>
  <si>
    <t>CNTT2026-106</t>
  </si>
  <si>
    <t>Nghiên cứu và xây dựng hệ thống giám sát, phát hiện nguy cơ rò rỉ dữ liệu thời gian thực cho doanh nghiệp ứng dụng Trí tuệ nhân tạo.</t>
  </si>
  <si>
    <t>Nguyễn Trần Gia Bảo; Nguyễn Thế An; Nguyễn Ngọc Hiền</t>
  </si>
  <si>
    <t>CNTT2026-106.png</t>
  </si>
  <si>
    <t>CNTT2026-107</t>
  </si>
  <si>
    <t>NỀN TẢNG DỰ BÁO Ô NHIỄM KHÔNG KHÍ &amp; KHUYẾN NGHỊ SỨC KHỎE ĐÔ THỊ</t>
  </si>
  <si>
    <t>Đặng Quốc Huy; Lê Trần Nhật Huy</t>
  </si>
  <si>
    <t>CNTT2026-107.png</t>
  </si>
  <si>
    <t>CNTT2026-108</t>
  </si>
  <si>
    <t>Intelligent Telemedicine Systems for Contactless Heart Rate Estimation using Deep Learning-based rPPG</t>
  </si>
  <si>
    <t>Đỗ Đức Thịnh; Nguyễn Đức Mạnh</t>
  </si>
  <si>
    <t>Trường Đại học Giao thông Vận tải</t>
  </si>
  <si>
    <t>CNTT2026-108.png</t>
  </si>
  <si>
    <t>CNTT2026-109</t>
  </si>
  <si>
    <t>Ứng dụng học sâu trong đánh giá thiệt hại do lũ lụt sử dụng ảnh UAV</t>
  </si>
  <si>
    <t>Đỗ Văn Tiến; Bùi Tuấn Anh; Trương Văn Hoàng; Nguyễn Đức Vũ; Nguyễn Vũ Lâm</t>
  </si>
  <si>
    <t>CNTT2026-109.png</t>
  </si>
  <si>
    <t>CNTT2026-110</t>
  </si>
  <si>
    <t>An example of researching models of metabolic disorders by diet in experimental mice</t>
  </si>
  <si>
    <t>Nguyễn Quốc Đại; Lê Minh Sơn; Thân Quang Huy; Phùng Ngọc Hiệp</t>
  </si>
  <si>
    <t>CNTT2026-110.png</t>
  </si>
  <si>
    <t>CNTT2026-111</t>
  </si>
  <si>
    <t>Mạng nơ-ron đồ thị không gian-thời gian thích nghi với chưng cất tri thức đa thành phố cho hệ thống giao thông thông minh tại Việt Nam</t>
  </si>
  <si>
    <t>Nguyễn Hải Yến; Lê Đức Hùng; Vũ Hữu Trí; Vũ Bình Dương; Phạm Đồng Khánh</t>
  </si>
  <si>
    <t>CNTT2026-111.png</t>
  </si>
  <si>
    <t>CNTT2026-112</t>
  </si>
  <si>
    <t>Phát triển mô hình học sâu ba giai đoạn tích hợp tiếp cận chưng cất tri thức và AI giải thích được cho bài toán phân loại mặt cắt siêu âm tim thai trong giai đoạn tam cá nguyệt thứ nhất</t>
  </si>
  <si>
    <t>Huỳnh Minh Quyền; Bạch Huỳnh Như Thuỷ</t>
  </si>
  <si>
    <t>CNTT2026-112.png</t>
  </si>
  <si>
    <t>CNTT2026-113</t>
  </si>
  <si>
    <t>Nghiên cứu khả năng tổng quát hóa của mô hình trí tuệ nhân tạo trong phân loại bệnh võng mạc tiểu đường từ ảnh đáy mắt.</t>
  </si>
  <si>
    <t>Nguyễn Thành Danh; Nguyễn Duy Phúc; Huỳnh Trọng Nghĩa; Phạm Hoàng Nhật Thành; Trần Phạm Kim Quyên</t>
  </si>
  <si>
    <t>CNTT2026-113.png</t>
  </si>
  <si>
    <t>CNTT2026-114</t>
  </si>
  <si>
    <t>Nghiên cứu các mô hình học sâu hỗ trợ chẩn đoán một số bệnh dựa trên hình ảnh y tế</t>
  </si>
  <si>
    <t>Nguyễn Thanh Minh Tâm</t>
  </si>
  <si>
    <t>CNTT2026-114.png</t>
  </si>
  <si>
    <t>CNTT2026-115</t>
  </si>
  <si>
    <t>ỨNG DỤNG HỌC MÁY DỰ ĐOÁN TRẦM CẢM Ở LỨA TUỔI THANH THIẾU NIÊN</t>
  </si>
  <si>
    <t>Quảng Minh Phương; Lê Vũ Đăng Khoa; Nguyễn Dạ Giao Đăng; Hà Hồng Phượng</t>
  </si>
  <si>
    <t>CNTT2026-115.png</t>
  </si>
  <si>
    <t>CNTT2026-116</t>
  </si>
  <si>
    <t>Phát triển hệ thống đối chiếu điểm tự động dựa trên nghiên cứu và tối ưu hóa mô hình học sâu cho bài toán nhận dạng chữ số viết tay.</t>
  </si>
  <si>
    <t>Trần Công Thành; Tạ Hồ Thanh Khương; Hoàng Trà My</t>
  </si>
  <si>
    <t>CNTT2026-116.png</t>
  </si>
  <si>
    <t>CNTT2026-117</t>
  </si>
  <si>
    <t>Tác động của quảng cáo dán nhãn AI đến ý định quảng bá thương hiệu: Nghiên cứu thực nghiệm tích hợp toàn diện mô hình lý thuyết PKM</t>
  </si>
  <si>
    <t>Tô Uyển Thanh</t>
  </si>
  <si>
    <t>CNTT2026-117.png</t>
  </si>
  <si>
    <t>CNTT2026-118</t>
  </si>
  <si>
    <t>Điều gì khiến người nghe chấp nhận và gắn kết với âm nhạc do AI tạo ra?</t>
  </si>
  <si>
    <t>Nguyễn Thị Phương Thảo; Phạm Lê Gia Hân</t>
  </si>
  <si>
    <t>CNTT2026-118.png</t>
  </si>
  <si>
    <t>CNTT2026-119</t>
  </si>
  <si>
    <t>Phát triển kiến trúc học sâu lai cho phân đoạn khối u não trên ảnh MRI đa phương thức với bộ dữ liệu Brats</t>
  </si>
  <si>
    <t>Trương Việt Vũ; Nguyễn Phúc Nguyên; Đặng Thị Thu Hằng</t>
  </si>
  <si>
    <t>CNTT2026-119.png</t>
  </si>
  <si>
    <t>CNTT2026-120</t>
  </si>
  <si>
    <t>XÂY DỰNG ỨNG DỤNG TỰ HỌC PHỤC VỤ CHO VIỆC ĐÀO TẠO NHÂN VIÊN ĐIỀU HÀNH MÁY BAY THÔNG QUA HỆ THỐNG NHẬN DIỆN CỬ CHỈ BẰNG AI</t>
  </si>
  <si>
    <t>Vũ Thái Bình Dương; Cao Bảo Phúc; Võ Hoàng Nhật Trường</t>
  </si>
  <si>
    <t>CNTT2026-120.png</t>
  </si>
  <si>
    <t>CNTT2026-121</t>
  </si>
  <si>
    <t>ON THE ROBUSTNESS OF LANGUAGE MODEL-BASED RANSOMWARE DETECTORS FOR API SEQUENCE ANALYSIS UNDER SEMANTIC-PRESERVING MUTATIONS</t>
  </si>
  <si>
    <t>Võ Đình Kiên; Trần Hồng Lĩnh; Phạm Tấn Lợi</t>
  </si>
  <si>
    <t>CNTT2026-121.png</t>
  </si>
  <si>
    <t>CNTT2026-122</t>
  </si>
  <si>
    <t>NHẬN DIỆN DẤU HIỆU LỪA ĐẢO TRONG HỘI THOẠI TIẾNG VIỆT BẰNG PHÂN TÍCH HÀNH ĐỘNG VÀ HỌC TỪ CÁC CẶP DỮ LIỆU BIẾN ĐỔI TỐI THIỂU</t>
  </si>
  <si>
    <t>Phan Tuấn Anh; Nguyễn Tuấn Phát; Đào Mạnh Quân</t>
  </si>
  <si>
    <t>CNTT2026-122.png</t>
  </si>
  <si>
    <t>CNTT2026-123</t>
  </si>
  <si>
    <t>TÍCH HỢP, PHÁT TRIỂN AI TRONG PHÂN TÍCH VÀ HỖ TRỢ CHẨN ĐOÁN Y KHOA BẰNG HÌNH ẢNH</t>
  </si>
  <si>
    <t>Nguyễn Nguyên Khang; Trần Minh Quân</t>
  </si>
  <si>
    <t>CNTT2026-123.png</t>
  </si>
  <si>
    <t>CNTT2026-124</t>
  </si>
  <si>
    <t>TÁI ĐỊNH DANH NGƯỜI TỪ GÓC NHÌN TRÊN CAO BẰNG TĂNG CƯỜNG DỮ LIỆU DỰA TRÊN THÔNG TIN PHÂN ĐOẠN</t>
  </si>
  <si>
    <t>Phạm Duy Hiển</t>
  </si>
  <si>
    <t>CNTT2026-124.png</t>
  </si>
  <si>
    <t>CNTT2026-125</t>
  </si>
  <si>
    <t>ĐÁNH GIÁ TÁC ĐỘNG CỦA VĂN BẢN BỔ TRỢ VÀ GIẢM THIỂU THIÊN LỆCH GÂY HẠI TRONG CÁC MÔ HÌNH THỊ GIÁC - NGÔN NGỮ</t>
  </si>
  <si>
    <t>Trần Văn Hoàng; Lê Thị Thanh Tâm</t>
  </si>
  <si>
    <t>CNTT2026-125.png</t>
  </si>
  <si>
    <t>CNTT2026-126</t>
  </si>
  <si>
    <t>Explainable AI for Vietnamese Student Feedback Evaluating Intervention-Dependent Fidelity</t>
  </si>
  <si>
    <t>Lương Đức Hùng; Nguyễn Mạnh Quyền; Vũ Công Bội</t>
  </si>
  <si>
    <t>CNTT2026-126.png</t>
  </si>
  <si>
    <t>CNTT2026-127</t>
  </si>
  <si>
    <t>Xây dựng giải pháp phòng thủ chủ động dựa trên cơ chế thêm nhiễu để chống lại các mô hình face-swapping</t>
  </si>
  <si>
    <t>Nguyễn Bảo Huy; Bùi Nguyễn Quỳnh Như; Ngô Ý Nhi; Phan Tuấn Khang; Trần Đức Anh</t>
  </si>
  <si>
    <t>CNTT2026-127.png</t>
  </si>
  <si>
    <t>CNTT2026-128</t>
  </si>
  <si>
    <t>CHUẨN ĐOÁN ĐA BỆNH LÝ VÕNG MẠC TIỂU ĐƯỜNG DỰA TRÊN HỌC SÂU TỔNG QUÁT VÀ TRANSFORMER ATTENTION</t>
  </si>
  <si>
    <t>Nguyễn Thái Bảo</t>
  </si>
  <si>
    <t>CNTT2026-128.png</t>
  </si>
  <si>
    <t>CNTT2026-129</t>
  </si>
  <si>
    <t>Phân đoạn hình ảnh y tế sử dụng học sâu (Medical Image Segmentation using Deep Learning)</t>
  </si>
  <si>
    <t>Ngô Đông Nguyên</t>
  </si>
  <si>
    <t>CNTT2026-129.png</t>
  </si>
  <si>
    <t>CNTT2026-130</t>
  </si>
  <si>
    <t>Xây dựng cố vấn học tập ảo bằng AI Agent hỗ trợ tư vấn học vụ cho sinh viên khối ngành Kỹ thuật trường Đại học Cửu Long</t>
  </si>
  <si>
    <t>Nguyễn Minh Chung</t>
  </si>
  <si>
    <t>CNTT2026-130.png</t>
  </si>
  <si>
    <t>CNTT2026-131</t>
  </si>
  <si>
    <t>Nghiên cứu tích hợp ROS, Navigation Stack và module AI cho hệ thống robot chữa cháy tự hành nhận diện và ứng phó hỏa hoạn</t>
  </si>
  <si>
    <t>Đào Tiến Đạt; Đặng Phan Duy; Lê Trần Minh Khôi; Ngô Thành Khôi; Phạm Lê Anh Khoa</t>
  </si>
  <si>
    <t>CNTT2026-131.png</t>
  </si>
  <si>
    <t>CNTT2026-132</t>
  </si>
  <si>
    <t>CÁC HỆ THỐNG NHẬN DIỆN BIỂN SỐ XE MỜ CÓ THẬT SỰ CẦN PHƯƠNG PHÁP SIÊU PHÂN GIẢI</t>
  </si>
  <si>
    <t>Phùng Minh Chí; Đặng Ngọc Trường Chinh</t>
  </si>
  <si>
    <t>CNTT2026-132.png</t>
  </si>
  <si>
    <t>CNTT2026-133</t>
  </si>
  <si>
    <t>Nghiên cứu kết hợp mô hình hybrid whisper với ViT5 để chuyển đổi giọng nói tiếng việt thành văn bản và phát triển chatbot hỗ trợ học tập dành cho sinh viên</t>
  </si>
  <si>
    <t>Phạm Thị Ngọc Oanh; Võ Hồng Thiên; Trần Nhất Long; Trần Đình Võ; Nguyễn Huy Khang</t>
  </si>
  <si>
    <t>CNTT2026-133.png</t>
  </si>
  <si>
    <t>CNTT2026-134</t>
  </si>
  <si>
    <t>Rethinking Over-generalization in Reconstruction-based Multi-class Anomaly Detection for Industrial Inspection</t>
  </si>
  <si>
    <t>Nguyễn Minh Trí</t>
  </si>
  <si>
    <t>CNTT2026-134.png</t>
  </si>
  <si>
    <t>CNTT2026-135</t>
  </si>
  <si>
    <t>Nghiên cứu xây dựng trạm đo đánh giá mức độ ô nhiễm mùi hôi tại phòng khám thú Y bằng công nghệ IoT</t>
  </si>
  <si>
    <t>Lương Ngọc Thiện; Doãn Thị Thu Hà; Nguyễn Viết Hiếu; Vũ Thùy Linh; Trần Bảo Văn</t>
  </si>
  <si>
    <t>CNTT2026-135.png</t>
  </si>
  <si>
    <t>CNTT2026-136</t>
  </si>
  <si>
    <t>Nhận dạng và phân loại đám cháy thời gian thực bằng máy học</t>
  </si>
  <si>
    <t>Trần Phạm Thái Toàn; Nguyễn Phi Nhân; Nguyễn Anh Kiệt</t>
  </si>
  <si>
    <t>CNTT2026-136.png</t>
  </si>
  <si>
    <t>CNTT2026-137</t>
  </si>
  <si>
    <t>Độ chụm và độ đúng tương đối của máy quét ngoài mặt 3D trong khảo sát hình thái khuôn mặt</t>
  </si>
  <si>
    <t>Lê Nguyễn Ngọc Hân; Nguyễn Trí Dũng</t>
  </si>
  <si>
    <t>CNTT2026-137.png</t>
  </si>
  <si>
    <t>CNTT2026-138</t>
  </si>
  <si>
    <t>Nghiên cứu đề xuất mô hình học sâu nhằm nâng cao độ tin cậy trong dự báo chuỗi thời gian dài hạn</t>
  </si>
  <si>
    <t>Võ Đình Phú</t>
  </si>
  <si>
    <t>CNTT2026-138.png</t>
  </si>
  <si>
    <t>CNTT2026-139</t>
  </si>
  <si>
    <t>Xây dựng hệ thống hỏi đáp tự động về quy trình học vụ cho sinh viên Trường Đại học Nha Trang dựa trên ontology và mô hình ngôn ngữ</t>
  </si>
  <si>
    <t>Nguyễn Gia Khánh; Vi Phúc Thịnh; Lê Văn Hoà</t>
  </si>
  <si>
    <t>Trường Đại học Nha Trang</t>
  </si>
  <si>
    <t>CNTT2026-139.png</t>
  </si>
  <si>
    <t>CNTT2026-140</t>
  </si>
  <si>
    <t>Hệ thống hỗ trợ xây dựng kế hoạch học tập cá nhân hóa dựa trên ontology chương trình đào tạo và hồ sơ sinh viên</t>
  </si>
  <si>
    <t>Đào Duy Tấn; Lê Kim Linh; Nguyễn Đức Mạnh</t>
  </si>
  <si>
    <t>CNTT2026-140.png</t>
  </si>
  <si>
    <t>CNTT2026-141</t>
  </si>
  <si>
    <t>Tổng quan vai trò của Trí tuệ nhân tạo trong chụp Cắt lớp vi tính nhằm nâng cao Chất lượng hình ảnh và Tối ưu hóa liều bức xạ</t>
  </si>
  <si>
    <t>Trương Minh Mẫn; Phan Thị Phượng Khánh; Trần Trang Ánh Ngọc; Cao Thiên Tuệ; Trương Ngọc Xuân Mai</t>
  </si>
  <si>
    <t>CNTT2026-141.png</t>
  </si>
  <si>
    <t>CNTT2026-142</t>
  </si>
  <si>
    <t>Ứng dụng trí tuệ nhân tạo trên thiết bị di động để đánh giá tự động bài tập Y học cổ truyền "Xuống tấn lắc thân" theo tiêu chuẩn chuyên gia</t>
  </si>
  <si>
    <t>Tô Bá Đông Hải; Ngô Nam Công; Nguyễn Văn Cường; Phạm Lê Nam Phương; Nguyễn Quốc Kiên Thành</t>
  </si>
  <si>
    <t>CNTT2026-142.png</t>
  </si>
  <si>
    <t>CNTT2026-143</t>
  </si>
  <si>
    <t>Đánh giá biên độ vận động khớp vai và nhiệt độ tại huyệt sử dụng hệ thống quang trắc tích hợp AI (ROMIX) và thiết bị đo nhiệt độ đo liên tục được chuẩn hóa (ATHERM) trên nhóm tình nguyện viên có thể chất Dương hư khi tập bài tập Dưỡng sinh Xuống Tấn Lắc Thân trong Y học cổ truyền.</t>
  </si>
  <si>
    <t>Đàm Khang Chánh; Lê Phan Thế Vinh; Lê Thanh Ngân; Nguyễn Quang Đại; Nguyễn Văn Cường</t>
  </si>
  <si>
    <t>CNTT2026-143.png</t>
  </si>
  <si>
    <t>CNTT2026-144</t>
  </si>
  <si>
    <t>Phát triển mô hình thử nghiệm giám sát tập luyện phục hồi chức năng từ xa dựa trên Trí tuệ nhân tạo (AI) và Thị giác máy tính (Computer Vision) tại bệnh viện đa khoa Phạm Ngọc Thạch - Trường Đại học Y tế công cộng (2025-2026).</t>
  </si>
  <si>
    <t>Nguyễn Thị Thu Hương; Đinh Lê Quỳnh Phương; Kim Mạnh Hưng; Nguyễn Thị Thanh Nga; Nguyễn Thị Thơm</t>
  </si>
  <si>
    <t>Trường Đại học Y tế Công cộng</t>
  </si>
  <si>
    <t>CNTT2026-144.png</t>
  </si>
  <si>
    <t>CNTT2026-145</t>
  </si>
  <si>
    <t>Xây dựng phần mềm người bệnh ảo trong tư vấn sử dụng thuốc</t>
  </si>
  <si>
    <t>Nguyễn Lê Minh Trực; Hà Thục Khánh Linh</t>
  </si>
  <si>
    <t>CNTT2026-145.png</t>
  </si>
  <si>
    <t>CNTT2026-146</t>
  </si>
  <si>
    <t>Xây dựng bộ dữ liệu VIRES-HOTELABSA cho bài toán phân tích cảm xúc theo khía cạnh</t>
  </si>
  <si>
    <t>Nguyễn Hữu Thắng; Đoàn Tấn Minh Tân</t>
  </si>
  <si>
    <t>CNTT2026-146.png</t>
  </si>
  <si>
    <t>CNTT2026-147</t>
  </si>
  <si>
    <t>Flow is All You Need for WiFi: Rectifying 3D Human Poses without Complex Architectures</t>
  </si>
  <si>
    <t>Nguyễn Vĩnh Nghi; Nguyễn Ngô Nhật Nam; Lê Ngọc Anh Thư</t>
  </si>
  <si>
    <t>CNTT2026-147.png</t>
  </si>
  <si>
    <t>CNTT2026-148</t>
  </si>
  <si>
    <t>Nghiên cứu mô hình học sâu dựa trên dữ liệu ước lượng tư thế người để đánh giá hành vi và hỗ trợ sàng lọc sớm rối loạn phổ tự kỉ ở trẻ em</t>
  </si>
  <si>
    <t>Phạm Viết Chí Luân; Lê Đặng Văn Thi; Lê Bá Nhân; Trần Lý Nghĩa; Nguyễn Văn Phụng</t>
  </si>
  <si>
    <t>CNTT2026-148.png</t>
  </si>
  <si>
    <t>CNTT2026-149</t>
  </si>
  <si>
    <t>Học sâu đa phương thức kết hợp siêu dữ liệu lâm sàng nhằm nâng cao hiệu quả chẩn đoán ung thư da</t>
  </si>
  <si>
    <t>Lê Tiến Vũ; Nguyễn Minh Toàn; Nguyễn Minh Nhật; Nguyễn Minh Khang</t>
  </si>
  <si>
    <t>CNTT2026-149.png</t>
  </si>
  <si>
    <t>CNTT2026-150</t>
  </si>
  <si>
    <t>BOOSTED CONTEXT ENGINEERING FOR DATA AGENTS: A HOLISTIC SELF-IMPROVING ARCHITECTURE WITH ADABOOST-INSPIRED CONTEXT UPDATES AND ITS APPLICATION TO ESG ANALYTICS</t>
  </si>
  <si>
    <t>Nguyễn Thanh Tâm</t>
  </si>
  <si>
    <t>CNTT2026-150.png</t>
  </si>
  <si>
    <t>CNTT2026-151</t>
  </si>
  <si>
    <t>ADAPTIVE ZERO TRUST AND AI-BASED BEHAVIORAL ANOMALY DETECTION FOR SECURE FINANCIAL TRANSACTION SYSTEMS</t>
  </si>
  <si>
    <t>Nguyễn Phương Thảo; Phạm Thị Uyên; Nguyễn Vũ Phương Nghi; Đỗ Hương Giang; Vũ Anh Thư</t>
  </si>
  <si>
    <t>CNTT2026-151.png</t>
  </si>
  <si>
    <t>CNTT2026-152</t>
  </si>
  <si>
    <t>NGHIÊN CỨU MÔ HÌNH HỌC SÂU ĐA PHƯƠNG THỨC KẾT HỢP DỮ LIỆU THỊ TRƯỜNG VÀ BIỂU DIỄN NGỮ NGHĨA TỪ TIN TỨC TÀI CHÍNH TIẾNG VIỆT TRONG DỰ BÁO BIẾN ĐỘNG CHỈ SỐ VN30</t>
  </si>
  <si>
    <t>Nguyễn Vũ Trường Huy; Nguyễn Di Đăng</t>
  </si>
  <si>
    <t>CNTT2026-152.png</t>
  </si>
  <si>
    <t>CNTT2026-153</t>
  </si>
  <si>
    <t>Nghiên cứu tối ưu hóa bố trí tua - bin gió sử dụng thuật toán lai ghép FTTA-KOA với cơ chế tìm kiếm cục bộ và học đối lập động</t>
  </si>
  <si>
    <t>Trần Đinh Hải Nguyên; Nguyễn Đình Đức</t>
  </si>
  <si>
    <t>CNTT2026-153.png</t>
  </si>
  <si>
    <t>CNTT2026-154</t>
  </si>
  <si>
    <t>Hệ thống chẩn đoán bệnh cây trồng tích hợp Neuro - symbolic và đồ thị tri thức</t>
  </si>
  <si>
    <t>Nguyễn Đình Lộc; Nguyễn Viết Hoàng Anh; Nguyễn Tùng Anh</t>
  </si>
  <si>
    <t>CNTT2026-154.png</t>
  </si>
  <si>
    <t>CNTT2026-155</t>
  </si>
  <si>
    <t>Nghiên cứu xây dựng và đánh giá hệ thống AI đàm thoại tiếng Việt thời gian thực trên môi trường cục bộ</t>
  </si>
  <si>
    <t>Ngô Tấn Đạt; Trần Tấn Phát; Hoàng Xuân Phi Long; Đỗ Đặng Hiếu Trung</t>
  </si>
  <si>
    <t>CNTT2026-155.png</t>
  </si>
  <si>
    <t>CNTT2026-156</t>
  </si>
  <si>
    <t>Phân loại cảm xúc văn bản tiếng Việt bằng phương pháp xếp chồng đa mô hình</t>
  </si>
  <si>
    <t>Nguyễn Ngọc Thắng</t>
  </si>
  <si>
    <t>CNTT2026-156.png</t>
  </si>
  <si>
    <t>CNTT2026-157</t>
  </si>
  <si>
    <t>Nghiên cứu ứng dụng thuật toán lai ghép tuần tự TGO-SMA tối ưu hóa trọng số đánh giá nguy cơ cháy rừng tỉnh Lâm Đồng dựa trên dữ liệu khí tượng và ảnh vệ tinh Lansat 8/9</t>
  </si>
  <si>
    <t>Nguyễn Đình Đức; Nguyễn Cao Mạnh Hùng</t>
  </si>
  <si>
    <t>CNTT2026-157.png</t>
  </si>
  <si>
    <t>CNTT2026-158</t>
  </si>
  <si>
    <t>Nghiên cứu và phát triển ứng dụng chú thích hình ảnh sử dụng Knowledge graph hướng đến hỗ trợ người khiếm thị</t>
  </si>
  <si>
    <t>Hà Huỳnh Ánh Ngân; Bùi Lâm Hoàng Phú</t>
  </si>
  <si>
    <t>CNTT2026-158.png</t>
  </si>
  <si>
    <t>CNTT2026-159</t>
  </si>
  <si>
    <t>BiHyPE: Binary-based Hybrid Positional Encoding for Time-series Analysis</t>
  </si>
  <si>
    <t>Khưu Trọng Quân</t>
  </si>
  <si>
    <t>CNTT2026-159.png</t>
  </si>
  <si>
    <t>CNTT2026-160</t>
  </si>
  <si>
    <t>Khung giám sát điều kiện mây theo đường ngắm cho liên kết quang vệ tinh bằng ảnh toàn bầu trời</t>
  </si>
  <si>
    <t>Nguyễn Thạc Anh; Phạm Bằng Trang; Đỗ Hà Linh</t>
  </si>
  <si>
    <t>CNTT2026-160.png</t>
  </si>
  <si>
    <t>CNTT2026-161</t>
  </si>
  <si>
    <t>Physics-Guided Underwater Image Restoration via Physical Prior Channel Fusion and U-Net Variants</t>
  </si>
  <si>
    <t>Đinh Khắc Nhật Trường; Nguyễn Thái Hưng; Phan Tuấn Hưng; Trương Công Phúc</t>
  </si>
  <si>
    <t>CNTT2026-161.png</t>
  </si>
  <si>
    <t>CNTT2026-162</t>
  </si>
  <si>
    <t>Nghiên cứu và phát triển mô hình ngôn ngữ lớn cho giao tiếp tiếng Thái Việt Nam trong bối cảnh ngôn ngữ ít tài nguyên</t>
  </si>
  <si>
    <t>Bùi Thị Quỳnh Trang; Nguyễn Thị Hồng Thúy; Trần Khánh Linh; Nguyễn Vũ Hoài Nhân; Lê Thùy Linh Trang</t>
  </si>
  <si>
    <t>CNTT2026-162.png</t>
  </si>
  <si>
    <t>CNTT2026-163</t>
  </si>
  <si>
    <t>Nghiên cứu và xây dựng tiện ích trình duyệt phát hiện ảnh do trí tuệ nhân tạo tạo sinh, suy luận cục bộ bảo vệ quyền riêng tư người dùng.</t>
  </si>
  <si>
    <t>Nguyễn Trọng Phước; Hà Văn Kiên; Nguyễn Hoàng Anh; Trần Quang Huy; Hoàng Minh Phát</t>
  </si>
  <si>
    <t>CNTT2026-163.png</t>
  </si>
  <si>
    <t>CNTT2026-164</t>
  </si>
  <si>
    <t>Hệ thống NLP hỗ trợ mã hóa chẩn đoán lâm sàng theo ICD-10 và liên thông bệnh án điện tử theo HL7 FHIR</t>
  </si>
  <si>
    <t>Nguyễn Thành Luân; Lê Thanh Khải</t>
  </si>
  <si>
    <t>CNTT2026-164.png</t>
  </si>
  <si>
    <t>CNTT2026-165</t>
  </si>
  <si>
    <t>Ứng dụng Machine Learning và công nghệ QR Code trong kiểm tra chất lượng rau củ quả</t>
  </si>
  <si>
    <t>Trần Thị Thanh Xuân; Nguyễn Thị Kiều Vi</t>
  </si>
  <si>
    <t>CNTT2026-165.png</t>
  </si>
  <si>
    <t>CNTT2026-166</t>
  </si>
  <si>
    <t>Tìm kiếm người thất lạc bằng việc sử dụng mô hình tạo sinh ảnh</t>
  </si>
  <si>
    <t>Nguyễn Tịnh Nhân; Nguyễn Đức Duy; Đoàn Đức Duy; Nguyễn Quỳnh Như</t>
  </si>
  <si>
    <t>CNTT2026-166.png</t>
  </si>
  <si>
    <t>CNTT2026-167</t>
  </si>
  <si>
    <t>Self-Supervised CT Through-Plane Interpolation via Residual 3D Gaussian Splatting</t>
  </si>
  <si>
    <t>Nguyễn Nhật Phát; Phạm Quốc Hùng</t>
  </si>
  <si>
    <t>CNTT2026-167.png</t>
  </si>
  <si>
    <t>CNTT2026-168</t>
  </si>
  <si>
    <t>QUALITY-AWARE ACTION AND FALL DETECTION FROM HUMAN SKELETON POSES</t>
  </si>
  <si>
    <t>Nguyễn Phi Long; Nguyễn Thành Triệu; Nguyễn Đức Thắng</t>
  </si>
  <si>
    <t>CNTT2026-168.png</t>
  </si>
  <si>
    <t>CNTT2026-169</t>
  </si>
  <si>
    <t>Nghiên cứu phát triển mô hình học sâu lai kết hợp CNN và Mamba cho bài toán phân loại ảnh ung thư vú</t>
  </si>
  <si>
    <t>Nguyễn Gia Huy</t>
  </si>
  <si>
    <t>CNTT2026-169.png</t>
  </si>
  <si>
    <t>CNTT2026-170</t>
  </si>
  <si>
    <t>IntentOS-GNN: MÔ HÌNH ĐIỀU PHỐI TÀI NGUYÊN HỆ THỐNG DỰA TRÊN Ý ĐỊNH NGƯỜI DÙNG BẰNG ĐỒ THỊ ĐỘNG VÀ HỌC MÁY TRONG MÔI TRƯỜNG GIẢ LẬP</t>
  </si>
  <si>
    <t>Lương Anh Hào; Nguyễn Văn Thành</t>
  </si>
  <si>
    <t>CNTT2026-170.png</t>
  </si>
  <si>
    <t>CNTT2026-171</t>
  </si>
  <si>
    <t>HỆ THỐNG TRỢ LÝ HUẤN LUYỆN THỂ HÌNH TRÊN THIẾT BỊ DI ĐỘNG DỰA TRÊN ƯỚC LƯỢNG TƯ THẾ THỜI GIAN THỰC TRI FORCE</t>
  </si>
  <si>
    <t>Phạm Hòa Anh Nam; Chung Trường Vũ; Phạm Gia Huy</t>
  </si>
  <si>
    <t>CNTT2026-171.png</t>
  </si>
  <si>
    <t>CNTT2026-172</t>
  </si>
  <si>
    <t>EmoViS: Emoji-Augmented ViSoBERT for Fine-Grained Multi-Label Emotion Recognition in Vietnamese Social Media Text</t>
  </si>
  <si>
    <t>Nguyễn Nhật Phát; Bùi Trần Tấn Phát; Huỳnh Gia Hân</t>
  </si>
  <si>
    <t>CNTT2026-172.png</t>
  </si>
  <si>
    <t>CNTT2026-173</t>
  </si>
  <si>
    <t>Adaptive Density-Based Geometry Compression for Efficient 3D Gaussian Splatting</t>
  </si>
  <si>
    <t>CNTT2026-173.png</t>
  </si>
  <si>
    <t>CNTT2026-174</t>
  </si>
  <si>
    <t>So sánh mô hình Entropy và thuật toán học máy trong đánh giá rủi ro cháy rừng tại khu vực Trạm quản lý và phát triển rừng Bình Chánh</t>
  </si>
  <si>
    <t>Nguyễn Thị Mỹ Uyên</t>
  </si>
  <si>
    <t>Trường Đại học Nông Lâm TP. Hồ Chí Minh</t>
  </si>
  <si>
    <t>CNTT2026-174.png</t>
  </si>
  <si>
    <t>CNTT2026-175</t>
  </si>
  <si>
    <t>Ứng dụng mô hình Prophet trong dự báo nhu cầu và tối ưu chính sách bổ sung hàng tươi sống cho nhà bán lẻ</t>
  </si>
  <si>
    <t>Lại Phạm Thúy Hiền; Lê Thành Đạt; Trương Minh Nhựt; Huỳnh Quang Hưng; Mai Khả Vy</t>
  </si>
  <si>
    <t>CNTT2026-175.png</t>
  </si>
  <si>
    <t>CNTT2026-176</t>
  </si>
  <si>
    <t>Nghiên cứu xây dựng công cụ hỗ trợ tìm kiếm và lựa chọn bất động sản cho thuê trên nền tảng web và trí tuệ nhân tạo</t>
  </si>
  <si>
    <t>Trần Thị Kim Thoa; Vũ Thị Thu Hương; Phạm Thanh Thảo</t>
  </si>
  <si>
    <t>CNTT2026-176.png</t>
  </si>
  <si>
    <t>CNTT2026-177</t>
  </si>
  <si>
    <t>Thiết kế hệ thống AI feedback ứng dụng cho học tiếng Anh trực tuyến: Triển khai trên website hỗ trợ học tập ECLOVER.</t>
  </si>
  <si>
    <t>Vũ Thị Huyền Thương; Phạm Hà Anh; Đỗ Ngọc Dung</t>
  </si>
  <si>
    <t>CNTT2026-177.png</t>
  </si>
  <si>
    <t>CNTT2026-178</t>
  </si>
  <si>
    <t>NHẬN DIỆN CẢM XÚC SINH VIÊN VÀ ĐÁNH GIÁ MỨC ĐỘ TẬP TRUNG TRONG LỚP HỌC BẰNG VISION TRANSFORMER</t>
  </si>
  <si>
    <t>Lê Tuấn Dũng</t>
  </si>
  <si>
    <t>CNTT2026-178.png</t>
  </si>
  <si>
    <t>CNTT2026-179</t>
  </si>
  <si>
    <t>Đề xuất kiến trúc kết hợp CAMERA AI với mạng VANET trong việc phát hiện và điều phối tai nạn trên đường cao tốc</t>
  </si>
  <si>
    <t>TRẦN MINH QUÂN; NGUYỄN ĐỖ KHÁNH NGỌC; NGUYỄN THIÊN NGÂN; PHAN LÊ HUỲNH ANH</t>
  </si>
  <si>
    <t>CNTT2026-179.png</t>
  </si>
  <si>
    <t>CNTT2026-180</t>
  </si>
  <si>
    <t>Điều phối tín hiệu giao thông đa tác tử thích ứng với giao tiếp không gian chọn lọc: Thiết kế GATED-ST và kiểm chứng trên mô phỏng SUMO</t>
  </si>
  <si>
    <t>TRỊNH XUÂN ĐẠT; HUỲNH NAM TRƯỜNG; PHẠM VĂN THÀNH</t>
  </si>
  <si>
    <t>CNTT2026-180.png</t>
  </si>
  <si>
    <t>CNTT2026-181</t>
  </si>
  <si>
    <t>VietCheckMed: A Training-Free Retrieval-Augmented Platform for Medical and Aesthetic Regulatory Compliance</t>
  </si>
  <si>
    <t>Đặng Trọng Bảo Thi; Lê Hoàng Uyên Thư; Nguyễn Quang Lập</t>
  </si>
  <si>
    <t>CNTT2026-181.png</t>
  </si>
  <si>
    <t>CNTT2026-182</t>
  </si>
  <si>
    <t>Xây dựng mô hình AI nhận diện hội thoại lừa đảo tin nhắn tiếng Việt dưới hình thức tuyển dụng việc làm và cộng tác viên, góp phần bảo đảm an ninh quốc gia trong giai đoạn hiện nay</t>
  </si>
  <si>
    <t>Lê Phạm Phúc Hưng; Bùi Phan Khánh Linh; Nguyễn Thị Tường Vi</t>
  </si>
  <si>
    <t>CNTT2026-182.png</t>
  </si>
  <si>
    <t>CNTT2026-183</t>
  </si>
  <si>
    <t>Retrieved But Not Reliable: A Survey on Attacks, and Defenses in Retrieval-Augmented Generation</t>
  </si>
  <si>
    <t>Trần Tạ Quang Minh</t>
  </si>
  <si>
    <t>CNTT2026-183.png</t>
  </si>
  <si>
    <t>CNTT2026-184</t>
  </si>
  <si>
    <t>Giải thích và tạo sinh hình ảnh sáng tạo hỗ trợ bởi AI</t>
  </si>
  <si>
    <t>Trần Quốc Duy; Võ Anh Tuấn</t>
  </si>
  <si>
    <t>CNTT2026-184.png</t>
  </si>
  <si>
    <t>CNTT2026-185</t>
  </si>
  <si>
    <t>PhysMirror: Physics-Aware Mirror Object Generation</t>
  </si>
  <si>
    <t>Mai Xuân Bách; Nguyễn Duy Phúc</t>
  </si>
  <si>
    <t>CNTT2026-185.png</t>
  </si>
  <si>
    <t>CNTT2026-186</t>
  </si>
  <si>
    <t>Tích hợp học nhân quả vào mô hình ngôn ngữ lớn dựa trên sở thích con người</t>
  </si>
  <si>
    <t>Lê Thục Uyên</t>
  </si>
  <si>
    <t>CNTT2026-186.png</t>
  </si>
  <si>
    <t>CNTT2026-187</t>
  </si>
  <si>
    <t>PHÁT HIỆN GIAO DỊCH GIAN LẬN NGÂN HÀNG BẰNG HỌC MÁY CÓ KHẢ NĂNG GIẢI THÍCH</t>
  </si>
  <si>
    <t>Nguyễn Thị Hải Anh</t>
  </si>
  <si>
    <t>CNTT2026-187.png</t>
  </si>
  <si>
    <t>CNTT2026-188</t>
  </si>
  <si>
    <t>Hệ thống gợi ý tuần tự học liên tục ứng dụng bộ nhớ ngữ cảnh dài hạn</t>
  </si>
  <si>
    <t>Lê Hoàng Vũ; Nguyễn Tường Bách Hỷ</t>
  </si>
  <si>
    <t>CNTT2026-188.png</t>
  </si>
  <si>
    <t>CNTT2026-189</t>
  </si>
  <si>
    <t>Những nhân tố tác động đến quyết định ứng dụng AI trong ngành kế toán - nghiên cứu điển hình tại các doanh nghiệp trên địa bàn Tp. HCM</t>
  </si>
  <si>
    <t>Nguyễn Tuấn Khang; Bùi Thị Khánh Huyền; Trần Đan Chi; Tô Thị Yến Nhi; Đặng Nguyễn Kiều Oanh</t>
  </si>
  <si>
    <t>CNTT2026-189.png</t>
  </si>
  <si>
    <t>CNTT2026-190</t>
  </si>
  <si>
    <t>A Multi-Agent Deep Reinforcement Learning Framework with Adaptive Risk-Controlled Meta Allocation: Application to the Vietnamese Stock Market and Cryptocurrencies</t>
  </si>
  <si>
    <t>Phạm Trọng Tiến; Nguyễn Trường Vỹ; Trần Quốc Bảo</t>
  </si>
  <si>
    <t>CNTT2026-190.png</t>
  </si>
  <si>
    <t>CNTT2026-191</t>
  </si>
  <si>
    <t>NHỮNG NHÂN TỐ TÁC ĐỘNG TIÊU CỰC ĐẾN VIỆC SỬ DỤNG CHAT GPT TRONG HỌC TẬP VÀ NGHIÊN CỨU CỦA SINH VIÊN – NGHIÊN CỨU ĐIỂN HÌNH SINH VIÊN TẠI TPHCM</t>
  </si>
  <si>
    <t>Nguyễn Hoài Phi Nhung; Lâm Như Phương; Đổng Thị Mỹ JaFan</t>
  </si>
  <si>
    <t>CNTT2026-191.png</t>
  </si>
  <si>
    <t>CNTT2026-192</t>
  </si>
  <si>
    <t>Định vị thời gian cơn động kinh trên điện não đồ da đầu bằng học không giám sát dựa trên Graph Autoencoder và phát hiện điểm thay đổi</t>
  </si>
  <si>
    <t>Nguyễn Quốc Trung Nhân</t>
  </si>
  <si>
    <t>CNTT2026-192.png</t>
  </si>
  <si>
    <t>CNTT2026-193</t>
  </si>
  <si>
    <t>Zero-Shot and Training-Free Detection of AI-Generated Images</t>
  </si>
  <si>
    <t>Võ Thịnh Phát; Mai Đăng Khoa</t>
  </si>
  <si>
    <t>CNTT2026-193.png</t>
  </si>
  <si>
    <t>CNTT2026-194</t>
  </si>
  <si>
    <t>Nghiên cứu ứng dụng mô hình nền tảng và học biểu diễn dị biệt bổ trợ hướng đến phát hiện deepfake tổng quát và bền vững</t>
  </si>
  <si>
    <t>Lê Minh Hoàng; Lê Phan Minh Khoa</t>
  </si>
  <si>
    <t>CNTT2026-194.png</t>
  </si>
  <si>
    <t>CNTT2026-195</t>
  </si>
  <si>
    <t>Đánh giá và xếp hạng các rào cản đối với ý định triển khai AI và ML trong Tài chính xanh tại các Ngân hàng thương mại ở Việt Nam</t>
  </si>
  <si>
    <t>Lê Quỳnh Nga; Nguyễn Thị Hương Quỳnh; Hà Thị Minh Thu; Vũ Thanh Lam; Lê Thị Thùy Trang</t>
  </si>
  <si>
    <t>CNTT2026-195.png</t>
  </si>
  <si>
    <t>CNTT2026-196</t>
  </si>
  <si>
    <t>Xây dựng mô hình phát hiện hình ảnh Deepfake sử dụng kiến trúc Efficientnet và kỹ thuật học chuyển giao</t>
  </si>
  <si>
    <t>Hoàng Quang Đạt; Giang Thị Thu Hoài; Nguyễn Thị Thúy; Lã Tấn Lộc; Đặng Trường Duy</t>
  </si>
  <si>
    <t>CNTT2026-196.png</t>
  </si>
  <si>
    <t>CNTT2026-197</t>
  </si>
  <si>
    <t>Ứng dụng AI trong phân tích phản hồi của khách hàng trên mạng xã hội để cải thiện dịch vụ ngân hàng</t>
  </si>
  <si>
    <t>Trần Thị Thanh Thảo; Phạm Hương Giang; Nguyễn Thanh Ngân; Nguyễn Hoàng Long</t>
  </si>
  <si>
    <t>CNTT2026-197.png</t>
  </si>
  <si>
    <t>CNTT2026-198</t>
  </si>
  <si>
    <t>Thiết kế và đánh giá hệ thống AI chatbot ULIS RESEARCH hỗ trợ kỹ năng nghiên cứu khoa học và đổi mới sáng tạo cho người học</t>
  </si>
  <si>
    <t>Trần Vũ Khánh Linh; Bùi Minh Long; Hoàng Anh Khoa; Nguyễn Quỳnh Thy</t>
  </si>
  <si>
    <t>CNTT2026-198.png</t>
  </si>
  <si>
    <t>CNTT2026-199</t>
  </si>
  <si>
    <t>VietInstrumentTwin: Xây dựng và khai thác bản sao số nhạc cụ truyền thống Việt Nam kết hợp AI và thực tế tăng cường trong bảo tồn văn hóa</t>
  </si>
  <si>
    <t>Nguyễn Thanh Hiếu; Thái Phú An; Nguyễn Thanh Xuân; Lê Thị Yến Thy; Nguyễn Phúc Kỳ</t>
  </si>
  <si>
    <t>CNTT2026-199.png</t>
  </si>
  <si>
    <t>CNTT2026-200</t>
  </si>
  <si>
    <t>IRISHEALTH: Hệ thống AI hỗ trợ sàng lọc bệnh lý phổi từ hình ảnh mống mắt</t>
  </si>
  <si>
    <t>Nguyễn Đoàn Công Tiến; Lê Quốc Bảo; Trần Phi Hùng</t>
  </si>
  <si>
    <t>CNTT2026-200.png</t>
  </si>
  <si>
    <t>CNTT2026-201</t>
  </si>
  <si>
    <t>Độ ổn định của các mô hình ngôn ngữ lớn (Large Language Models - LLMs) khi thay đổi cách diễn đạt: Nghiên cứu trên bộ câu hỏi thi môn học Kinh doanh và Công nghệ (Business and Technology) trong bối cảnh đào tạo chuyên ngành kế toán tích hợp ACCA</t>
  </si>
  <si>
    <t>Nguyễn Thế Hùng; Phạm Thị Hương; Lê Thị Minh Ngọc; Đinh Đức Việt Anh; Lê Thị Hồng Vân</t>
  </si>
  <si>
    <t>CNTT2026-201.png</t>
  </si>
  <si>
    <t>CNTT2026-202</t>
  </si>
  <si>
    <t>DelegateGuard: PURPOSE-BOUND CAPABILITIES FOR DELEGATED LLM AGENT WORKFLOWS</t>
  </si>
  <si>
    <t>CNTT2026-202.png</t>
  </si>
  <si>
    <t>CNTT2026-203</t>
  </si>
  <si>
    <t>HỆ THỐNG GIÁM SÁT PHÒNG THI THỜI GIAN THỰC BẰNG THỊ GIÁC MÁY TÍNH DỰA TRÊN YOLOv8 VÀ MediaPipe ĐỂ PHÁT HIỆN HÀNH VI CÓ TIỀM NĂNG GIAN LẬN</t>
  </si>
  <si>
    <t>Nguyễn Trần Quang; Trần Minh Khôi; Trần Chí Nhân; Phạm Minh Phú; Dương Nghiệp Phát</t>
  </si>
  <si>
    <t>CNTT2026-203.png</t>
  </si>
  <si>
    <t>CNTT2026-204</t>
  </si>
  <si>
    <t>ỨNG DỤNG MÔ HÌNH HỌC SÂU TRONG ĐỊNH VỊ UWB VÀ NHẬN DIỆN HÀNH VI TRUY CẬP CHO HỆ THỐNG DIGITAL KEY Ô TÔ</t>
  </si>
  <si>
    <t>Ngô Quang Tùng</t>
  </si>
  <si>
    <t>CNTT2026-204.png</t>
  </si>
  <si>
    <t>CNTT2026-205</t>
  </si>
  <si>
    <t>HỆ THỐNG HỌC MÁY VÀ PHÂN TÍCH ĐỊA KHÔNG GIAN ĐA NGUỒN CHO XẾP HẠNG ƯU TIÊN RÀ PHÁ BOM MÌN</t>
  </si>
  <si>
    <t>Nguyễn Thế Hoàng; Võ Hoàng Anh Kiệt; Lâm Minh Huy; Nguyễn Trọng Huy; Hồ Nguyễn Trung Hiếu</t>
  </si>
  <si>
    <t>CNTT2026-205.png</t>
  </si>
  <si>
    <t>CNTT2026-206</t>
  </si>
  <si>
    <t>NGHIÊN CỨU PHÁT TRIỂN HỆ THỐNG DEEP LEARNING VÀ PHÂN TÍCH ĐỊA KHÔNG GIAN ĐA NGUỒN TỪ ẢNH RADAR VỆ TINH SENTINEL-1 VÀ DỮ LIỆU AIS CHO GIÁM SÁT VÀ KIỂM TRA TÀU CÁ, PHỤC VỤ PHÒNG, CHỐNG KHAI THÁC IUU</t>
  </si>
  <si>
    <t>Nguyễn Thế Hoàng; Lâm Minh Huy; Nguyễn Đỗ Thành Phúc</t>
  </si>
  <si>
    <t>CNTT2026-206.png</t>
  </si>
  <si>
    <t>CNTT2026-207</t>
  </si>
  <si>
    <t>Nghiên cứu giải pháp tối ưu hóa quy hoạch hệ thống trạm sạc xe điện sử dụng kết hợp giữa thuật toán Marine Predators và Osprey Optimization</t>
  </si>
  <si>
    <t>Trần Đinh Hải Nguyên; Phùng Thị Như Ý; Nguyễn Thị Mỹ Duyên</t>
  </si>
  <si>
    <t>CNTT2026-207.png</t>
  </si>
  <si>
    <t>CNTT2026-208</t>
  </si>
  <si>
    <t>Development of an anonymized data-sharing web platform based on K-Anonymity and L-Diversity, optimized by the APO-ARO hybrid algorithm</t>
  </si>
  <si>
    <t>Lê Hoàng Minh Nhật; Bạch Ngọc Vy; Phùng Thị Ly</t>
  </si>
  <si>
    <t>CNTT2026-208.png</t>
  </si>
  <si>
    <t>CNTT2026-209</t>
  </si>
  <si>
    <t>An intelligent sleep disorder diagnostic system based on a hybrid Cuckoo Catfish and Artificial Afterimage Algorithm</t>
  </si>
  <si>
    <t>Hồ Nguyễn Linh Chi; Hứa Vĩnh Khang; Nguyễn Thị Ngọc</t>
  </si>
  <si>
    <t>CNTT2026-209.png</t>
  </si>
  <si>
    <t>HCPL2026-001</t>
  </si>
  <si>
    <t>Hành chính pháp lý</t>
  </si>
  <si>
    <t>Hoàn thiện pháp luật về tổ chức phiên tòa trực tuyến: Kinh nghiệm quốc tế và bài học cho Việt Nam</t>
  </si>
  <si>
    <t>Nguyễn Hồng Hạnh; Phạm Nam Khánh; Nguyễn Tâm Tâm; Phạm Phương Thảo; Lê Đặng An Bình</t>
  </si>
  <si>
    <t>Trường Học viện Ngoại giao</t>
  </si>
  <si>
    <t>HCPL2026-001.png</t>
  </si>
  <si>
    <t>HCPL2026-002</t>
  </si>
  <si>
    <t>Pháp luật về mang thai hộ vì mục đích nhân đạo tại Việt Nam hiện nay</t>
  </si>
  <si>
    <t>Lê Thị Diệu Thanh; Ngô Trường Huy; Đặng Anh Diên</t>
  </si>
  <si>
    <t>Phân hiệu Học viện Thanh thiếu niên Việt Nam</t>
  </si>
  <si>
    <t>HCPL2026-002.png</t>
  </si>
  <si>
    <t>HCPL2026-003</t>
  </si>
  <si>
    <t>Hoàn thiện pháp luật về quyền sở hữu tín chỉ Các-bon rừng tại Việt Nam hiện nay</t>
  </si>
  <si>
    <t>Lê Thị Như Quyên; Bùi Ngọc Gia Hân; Trương Nguyễn Hồng Phúc</t>
  </si>
  <si>
    <t>HCPL2026-003.png</t>
  </si>
  <si>
    <t>HCPL2026-004</t>
  </si>
  <si>
    <t>Quyền và nghĩa vụ của cá nhân sống chung như vợ chồng không đăng ký kết hôn theo pháp luật Việt Nam</t>
  </si>
  <si>
    <t>Lê Trần Kim Linh ; Phạm Lý Gia Huy ; Nguyễn Hà Khương</t>
  </si>
  <si>
    <t>HCPL2026-004.png</t>
  </si>
  <si>
    <t>HCPL2026-005</t>
  </si>
  <si>
    <t>Bảo vệ quyền riêng tư của người lao động theo pháp luật Việt Nam</t>
  </si>
  <si>
    <t>Nguyễn Thị Hải Yến; Đỗ Thị Thuý Dung</t>
  </si>
  <si>
    <t>HCPL2026-005.png</t>
  </si>
  <si>
    <t>HCPL2026-006</t>
  </si>
  <si>
    <t>TRÁCH NHIỆM PHÁP LÝ CỦA NỀN TẢNG TRỰC TUYẾN ĐỐI VỚI HÀNH VI QUẢNG CÁO KHÔNG ĐÚNG SỰ THẬT DO LẠM DỤNG CÔNG NGHỆ TRÍ TUỆ NHÂN TẠO (AI)</t>
  </si>
  <si>
    <t>Trần Hoàng Ngọc Phát; Trần Thị Thanh Thúy; Trương Hoàng Thi; Trần Ngọc An Hòa</t>
  </si>
  <si>
    <t>HCPL2026-006.png</t>
  </si>
  <si>
    <t>HCPL2026-007</t>
  </si>
  <si>
    <t>DEEPFAKE VÀ VẤN ĐỀ BẢO VỆ HÌNH ẢNH CÁ NHÂN TRONG THỜI ĐẠI CÔNG NGHỆ SỐ TẠI VIỆT NAM</t>
  </si>
  <si>
    <t>Tô Ngọc Hoài Thương; Võ Minh Thư; Trịnh Hoài Phương Mai</t>
  </si>
  <si>
    <t>HCPL2026-007.png</t>
  </si>
  <si>
    <t>HCPL2026-008</t>
  </si>
  <si>
    <t>PHÁP LUẬT VỀ QUẢN LÝ SÀN THƯƠNG MẠI ĐIỆN TỬ NHẰM BẢO VỆ NGƯỜI TIÊU DÙNG – KINH NGHIỆM TỪ TRUNG QUỐC</t>
  </si>
  <si>
    <t>Nguyễn Thị Giang</t>
  </si>
  <si>
    <t>HCPL2026-008.png</t>
  </si>
  <si>
    <t>HCPL2026-009</t>
  </si>
  <si>
    <t>Bảo vệ quyền cá nhân qua quyền được quên trên Internet: Góc nhìn pháp lý và thực tiễn tại Việt Nam</t>
  </si>
  <si>
    <t>Nguyễn Trường Giang; Trần Ngọc My</t>
  </si>
  <si>
    <t>Trường Đại học Công nghệ TP.HCM</t>
  </si>
  <si>
    <t>HCPL2026-009.png</t>
  </si>
  <si>
    <t>HCPL2026-010</t>
  </si>
  <si>
    <t>Thực trạng áp dụng pháp luật của sinh viên về phòng cháy chữa cháy và cứu nạn cứu hộ tại các trường đại học - cao đẳng trên địa bàn tỉnh Vĩnh Long</t>
  </si>
  <si>
    <t>Nguyễn Anh Tuấn</t>
  </si>
  <si>
    <t>HCPL2026-010.png</t>
  </si>
  <si>
    <t>HCPL2026-011</t>
  </si>
  <si>
    <t>Công nghệ hỗ trợ sinh sản trong hôn nhân đồng giới theo pháp luật một số quốc gia - Gợi mở cho Việt Nam</t>
  </si>
  <si>
    <t>Đào Tuyết Phương; Nguyễn Ngọc Ánh; Trần Kim Ngọc; Dương Nguyễn Thúy Vy</t>
  </si>
  <si>
    <t>Trường Đại học Kiểm sát</t>
  </si>
  <si>
    <t>HCPL2026-011.png</t>
  </si>
  <si>
    <t>HCPL2026-012</t>
  </si>
  <si>
    <t>Hoàn thiện khung pháp lý về ứng dụng giao diện não - máy tính trong điều trị các bệnh lý rối loạn nhận thức.</t>
  </si>
  <si>
    <t>Nguyễn Gia Kiệt; Lê Tố Ngân ; Phạm Thị Huyền; Phạm Thị Tuyết Băng ; Trần Thị Thu Trang</t>
  </si>
  <si>
    <t>HCPL2026-012.png</t>
  </si>
  <si>
    <t>HCPL2026-013</t>
  </si>
  <si>
    <t>NGHIÊN CỨU ĐỀ XUẤT GIẢI PHÁP BẢO HỘ NHÃN HIỆU TẬP THỂ SẢN PHẨM KẸO CAU TẠI THÀNH PHỐ HUẾ</t>
  </si>
  <si>
    <t>Phan Nguyễn Hồng Phúc; Trần Thị Việt An; Phạm Như Tài; Nguyễn Hữu Hải Long</t>
  </si>
  <si>
    <t>HCPL2026-013.png</t>
  </si>
  <si>
    <t>HCPL2026-014</t>
  </si>
  <si>
    <t>Hoàn thiện khung pháp lý về ứng dụng công nghệ chỉnh sửa gen trên người</t>
  </si>
  <si>
    <t>Nguyễn Thị Mai Trường; Đồng Thị Tú Linh; Danh Thị Huỳnh Như; Võ Thị Mỹ Hạnh ; Trịnh Hà Khanh</t>
  </si>
  <si>
    <t>HCPL2026-014.png</t>
  </si>
  <si>
    <t>HCPL2026-015</t>
  </si>
  <si>
    <t>Bảo đảm tính thống nhất giữa các quy định xử lý vi phạm hợp đồng nhằm đáp ứng yêu cầu phát triển đất nước trong kỷ nguyên mới</t>
  </si>
  <si>
    <t>Phạm Vũ Gia Khánh ; Hoàng Hải Linh ; Phạm Thành Đạt</t>
  </si>
  <si>
    <t>HCPL2026-015.png</t>
  </si>
  <si>
    <t>HCPL2026-016</t>
  </si>
  <si>
    <t>Giới hạn quyền của chủ thể dữ liệu cá nhân: Kinh nghiệm quốc tế và giá trị tham khảo cho Việt Nam</t>
  </si>
  <si>
    <t>Lương Hồ Anh Thư; Nguyễn Anh Thư; Đoàn Xuân Ngọc</t>
  </si>
  <si>
    <t>HCPL2026-016.png</t>
  </si>
  <si>
    <t>HCPL2026-017</t>
  </si>
  <si>
    <t>Bảo hộ quyền bản quyền trên không gian mạng trong bối cảnh chuyển đổi số - Quy định của pháp luật dân sự một số quốc gia trên thế giới và kinh nghiệm cho Việt Nam</t>
  </si>
  <si>
    <t>Nguyễn Mạnh Cường; Hoàng Thị Ánh; Nguyễn Thị Khánh Vy</t>
  </si>
  <si>
    <t>Học viện Toà án</t>
  </si>
  <si>
    <t>HCPL2026-017.png</t>
  </si>
  <si>
    <t>HCPL2026-018</t>
  </si>
  <si>
    <t>Lẽ công bằng trong việc giải quyết án dân sự tại Việt Nam</t>
  </si>
  <si>
    <t>Vũ Mạnh Nam; Nguyễn Thị Huyền; Lê Thành Sơn; Nguyễn Quang Minh</t>
  </si>
  <si>
    <t>HCPL2026-018.png</t>
  </si>
  <si>
    <t>HCPL2026-019</t>
  </si>
  <si>
    <t>Xác định tài sản của vợ, chồng là đối tượng quyền sở hữu trí tuệ - Pháp luật của một số quốc gia và kinh nghiệm cho Việt Nam</t>
  </si>
  <si>
    <t>Hoàng Thị Hương Trà; Nguyễn Đào Gia Hùng; Đào Việt Hà</t>
  </si>
  <si>
    <t>HCPL2026-019.png</t>
  </si>
  <si>
    <t>HCPL2026-020</t>
  </si>
  <si>
    <t>Pháp luật dân sự về tài sản số ở một số quốc gia trên thế giới và kinh nghiệm cho Việt Nam</t>
  </si>
  <si>
    <t>Nguyễn Vinh Quang; Dương Khôi Nguyên; Đỗ Phương Anh; Đỗ Minh Ánh</t>
  </si>
  <si>
    <t>HCPL2026-020.png</t>
  </si>
  <si>
    <t>HCPL2026-021</t>
  </si>
  <si>
    <t>Tố tụng dân sự công ích - Nhận thức mới về tư duy lập pháp và định hướng thiết lập tại Việt Nam trong kỷ nguyên mới</t>
  </si>
  <si>
    <t>Vũ Đức Duy; Đỗ Xuân Mai; Bùi Thế Huy</t>
  </si>
  <si>
    <t>HCPL2026-021.png</t>
  </si>
  <si>
    <t>HCPL2026-022</t>
  </si>
  <si>
    <t>CƠ CHẾ BẢO VỆ QUYỀN NHÂN THÂN KHI ÁP DỤNG CÔNG NGHỆ CHỈNH SỬA GEN - KINH NGHIỆM PHÁP LUẬT QUỐC TẾ VÀ KIẾN NGHỊ CHO VIỆT NAM</t>
  </si>
  <si>
    <t>Lê Huyền Thương; Nguyễn Trần Vân Trang</t>
  </si>
  <si>
    <t>HCPL2026-022.png</t>
  </si>
  <si>
    <t>HCPL2026-023</t>
  </si>
  <si>
    <t>Trách nhiệm minh bạch của bên triển khai hệ thống trí tuệ nhân tạo: Kinh nghiệm quốc tế và đề xuất hoàn thiện pháp luật Việt Nam</t>
  </si>
  <si>
    <t>Lê Anh Tiến; Trần Tường Vy; Hoàng Thị Ngọc Mai; Thạch Thị Thanh Nhân; Nguyễn Thanh Phú</t>
  </si>
  <si>
    <t>Trường Đại học Ngoại ngữ-Tin học TP.Hồ Chí Minh</t>
  </si>
  <si>
    <t>HCPL2026-023.png</t>
  </si>
  <si>
    <t>HCPL2026-024</t>
  </si>
  <si>
    <t>GIẢI QUYẾT TRANH CHẤP THƯƠNG MẠI BẰNG CƠ CHẾ LIÊN THÔNG HÒA GIẢI – TRỌNG TÀI. PHÁP LUẬT MỘT SỐ NƯỚC VÀ ĐỀ XUẤT CHO PHÁP LUẬT VIỆT NAM</t>
  </si>
  <si>
    <t>Nguyễn Thị Ngọc Tâm; Võ Thanh Thảo; Bùi Thanh Xuân</t>
  </si>
  <si>
    <t>Trường Đại Học Sài Gòn</t>
  </si>
  <si>
    <t>HCPL2026-024.png</t>
  </si>
  <si>
    <t>HCPL2026-025</t>
  </si>
  <si>
    <t>HOÀN THIỆN PHÁP LUẬT VỀ THỪA KẾ NHẰM ĐẢM BẢO QUY ĐỊNH VỀ TÀI SẢN SỐ TRONG LUẬT CÔNG NGHIỆP CÔNG NGHỆ SỐ</t>
  </si>
  <si>
    <t>Nguyễn Tấn Tài; Vũ Mạnh Tuấn; Lê Phạm Thảo Trúc</t>
  </si>
  <si>
    <t>HCPL2026-025.png</t>
  </si>
  <si>
    <t>HCPL2026-026</t>
  </si>
  <si>
    <t>Pháp luật về sử dụng hình ảnh của người chưa thành niên trong hoạt động thương mại - Kinh nghiệm quốc tế và bài học cho Việt Nam</t>
  </si>
  <si>
    <t>Chử Linh Trang; Lưu Hồng Hà; Phan Lê Na; Vũ Bảo Nhi</t>
  </si>
  <si>
    <t>Trường Đai học Ngoại Thương</t>
  </si>
  <si>
    <t>HCPL2026-026.png</t>
  </si>
  <si>
    <t>HCPL2026-027</t>
  </si>
  <si>
    <t>Nghiên cứu bồi thường thệt hại đối với vợ/chồng trong trường hợp vi phạm nghĩa vụ thủy chung theo quy định của pháp luật</t>
  </si>
  <si>
    <t>Nguyễn Việt Hương; Quán Minh Ánh; Bế Thị Linh Đan; Hà Khánh Ngọc; Tạ Thị Thu Quỳnh</t>
  </si>
  <si>
    <t>Trường Đại học Tài nguyên và môi trường Hà Nội</t>
  </si>
  <si>
    <t>HCPL2026-027.png</t>
  </si>
  <si>
    <t>HCPL2026-028</t>
  </si>
  <si>
    <t>Bảo hộ bản quyền sáng tạo nội dung số tại Việt Nam - thực trạng và giải pháp hoàn thiện pháp luật</t>
  </si>
  <si>
    <t>Nguyễn Thị Hồng Thủy; Nguyễn Ngọc Hà</t>
  </si>
  <si>
    <t>Trường Đại học Tài chính- Ngân hàng Hà Nội</t>
  </si>
  <si>
    <t>HCPL2026-028.png</t>
  </si>
  <si>
    <t>HCPL2026-029</t>
  </si>
  <si>
    <t>Hoàn thiện pháp luật Việt Nam về giải quyết xung đột giữa chủ sở hữu và người thứ ba ngay tình</t>
  </si>
  <si>
    <t>Trần Công Đạt; Nguyễn Huy Hoàng; Cao Trà My; Nguyễn Tùng Chi</t>
  </si>
  <si>
    <t>Trường Đại học Luật, ĐHQGHN</t>
  </si>
  <si>
    <t>HCPL2026-029.png</t>
  </si>
  <si>
    <t>HCPL2026-030</t>
  </si>
  <si>
    <t>Hiệu lực của hợp đồng trong Metaverse theo pháp luật của Liên minh Châu Âu, Singapore, Hàn Quốc và bài học cho Việt Nam</t>
  </si>
  <si>
    <t>Đỗ Cao Diệu Hoa ; Lê Nguyễn Tường Vy</t>
  </si>
  <si>
    <t>Trường Đại học Luật TPHCM</t>
  </si>
  <si>
    <t>HCPL2026-030.png</t>
  </si>
  <si>
    <t>HCPL2026-031</t>
  </si>
  <si>
    <t>Bảo hộ nhãn hiệu mùi hương: Kinh nghiệm của Liên minh Châu Âu (EU) và một số định hướng cho pháp luật Việt Nam</t>
  </si>
  <si>
    <t>Nguyễn Ngọc Ánh; Tạ Thu Hiền; Mai Phương Thuý; Lê Thị Thuỳ Linh; Bùi Huyền Trang</t>
  </si>
  <si>
    <t>HCPL2026-031.png</t>
  </si>
  <si>
    <t>HCPL2026-032</t>
  </si>
  <si>
    <t>BỒI THƯỜNG THIỆT HẠI DO PHƯƠNG TIỆN BAY KHÔNG NGƯỜI LÁI GÂY RA THEO PHÁP LUẬT VIỆT NAM</t>
  </si>
  <si>
    <t>Nguyễn Hồng Ngọc; Huỳnh Thị Ngọc Phi Lin; Nguyễn Minh Ngọc; Đặng Tấn Nhân; Nguyễn Mai Diễm Quỳnh</t>
  </si>
  <si>
    <t>HCPL2026-032.png</t>
  </si>
  <si>
    <t>HCPL2026-033</t>
  </si>
  <si>
    <t>Bản dạng số trong xã hội số - Nhận thức mới về đối tượng của quyền và định hướng lập pháp tại Việt Nam trong kỷ nguyên mới</t>
  </si>
  <si>
    <t>Nguyễn Hiểu Linh; Nguyễn Vũ Hà Phương; Nguyễn Mạnh Khôi; Dương Tiểu Linh</t>
  </si>
  <si>
    <t>Trường Đại học Quốc Gia Hà Nội</t>
  </si>
  <si>
    <t>HCPL2026-033.png</t>
  </si>
  <si>
    <t>HCPL2026-034</t>
  </si>
  <si>
    <t>Bảo vệ quyền nhân thân của trẻ em được sinh ra bằng kỹ thuật hỗ trợ sinh sản - Cơ chế pháp lý của một số quốc gia và kinh nghiệm chi Việt Nam</t>
  </si>
  <si>
    <t>Trần Khôi Nguyên; Phan Lê Huy Minh; Đặng Thị Thuỳ Trang; Nguyễn Tú Uyên</t>
  </si>
  <si>
    <t>HCPL2026-034.png</t>
  </si>
  <si>
    <t>HCPL2026-035</t>
  </si>
  <si>
    <t>Quyền của trẻ em sinh ra từ người mẹ đơn thân tự nguyện bằng phương pháp thụ tinh trong ống nghiệm tại Việt Nam</t>
  </si>
  <si>
    <t>Bùi Ngọc Hiếu; Vũ Thị Hương Giang; Vũ Quang Vinh</t>
  </si>
  <si>
    <t>HCPL2026-035.png</t>
  </si>
  <si>
    <t>HCPL2026-036</t>
  </si>
  <si>
    <t>Kinh nghiệm quốc tế về bảo vệ quyền lợi nhà đầu tư trên thị trường giao dịch tài sản số và bài học cho Việt Nam</t>
  </si>
  <si>
    <t>Bùi Đình Tuấn Mạnh; Lưu Ngọc Diệu Linh; Lương Thị Kim Chúc; Đinh Phương Anh</t>
  </si>
  <si>
    <t>Học viện Ngân Hàng</t>
  </si>
  <si>
    <t>HCPL2026-036.png</t>
  </si>
  <si>
    <t>HCPL2026-037</t>
  </si>
  <si>
    <t>Bảo đảm tính thống nhất giữa việc hướng dẫn áp dụng pháp luật của Tòa án nhân dân tối cao với Bộ luật Dân sự năm 2015</t>
  </si>
  <si>
    <t>Nguyễn Đặng Hải Linh; Đào Thị Thu Hằng; Lã Thị Ngọc Linh</t>
  </si>
  <si>
    <t>Trường Đại học luật Hà Nội</t>
  </si>
  <si>
    <t>HCPL2026-037.png</t>
  </si>
  <si>
    <t>HCPL2026-038</t>
  </si>
  <si>
    <t>QUYỀN CỦA NẠN NHÂN BỊ MUA BÁN THEO QUY ĐỊNH PHÁP LUẬT VIỆT NAM</t>
  </si>
  <si>
    <t>Tạ Hải Biên</t>
  </si>
  <si>
    <t>HCPL2026-038.png</t>
  </si>
  <si>
    <t>HCPL2026-039</t>
  </si>
  <si>
    <t>Thực hiện pháp luật về thu hút nhân tài tại khu vực công trong bối cảnh tinh gọn bộ máy từ thực tiễn thành phố Hà Nội</t>
  </si>
  <si>
    <t>Phan Minh Lam; Ngô Thị Hải Yến; Nguyễn Phương Thảo; Nguyễn Thị Hương Giang</t>
  </si>
  <si>
    <t>HCPL2026-039.png</t>
  </si>
  <si>
    <t>HCPL2026-040</t>
  </si>
  <si>
    <t>HOÀN THIỆN PHÁP LUẬT VỀ THUẾ THU NHẬP CÁ NHÂN TỪ TIỀN LƯƠNG, TIỀN CÔNG PHÙ HỢP VỚI KINH TẾ - XÃ HỘI VIỆT NAM</t>
  </si>
  <si>
    <t>Châu Lê Thảo Vân; Trương Ngọc Yến Nhi</t>
  </si>
  <si>
    <t>Trường Đại học Mở TP.HCM</t>
  </si>
  <si>
    <t>HCPL2026-040.png</t>
  </si>
  <si>
    <t>HCPL2026-041</t>
  </si>
  <si>
    <t>Xác định tư cách tác giả đối với tác phẩm được tạo ra có sử dụng hệ thống trí tuệ nhân tạo</t>
  </si>
  <si>
    <t>Hoàng Thị Thiên Cơ; Phạm Nguyên Trang</t>
  </si>
  <si>
    <t>HCPL2026-041.png</t>
  </si>
  <si>
    <t>HCPL2026-042</t>
  </si>
  <si>
    <t>Giải quyết tranh chấp hoạt động thương mại có liên quan đến đất đai bằng phương thức Trọng tài Thương mại tại Việt Nam hiện nay</t>
  </si>
  <si>
    <t>Nguyễn Thị Mỹ Kim; Võ Chí Tường</t>
  </si>
  <si>
    <t>HCPL2026-042.png</t>
  </si>
  <si>
    <t>HCPL2026-043</t>
  </si>
  <si>
    <t>QUYỀN ĐƯỢC SỐNG TRONG MÔI TRƯỜNG TRONG LÀNH TỪ VIỆC PHÁT TRIỂN GIAO THÔNG XANH TRÊN ĐỊA BÀN THÀNH PHỐ HÀ NỘI</t>
  </si>
  <si>
    <t>Hồ Khánh Linh; Nguyễn Lê Trung; Đặng Gia Bảo; Hoàng Phương Linh; Nguyễn Minh Tuấn</t>
  </si>
  <si>
    <t>HCPL2026-043.png</t>
  </si>
  <si>
    <t>HCPL2026-044</t>
  </si>
  <si>
    <t>Pháp luật về phòng cháy, chữa cháy trong các cơ sở kinh doanh dịch vụ karaoke, dịch vụ vũ trường qua thực tiễn tại thành phố Huế</t>
  </si>
  <si>
    <t>Đoàn Huyền Trang; Nguyễn Thị Hà Phương ; Trà Thị Thanh Huyền; Dương Thị Lam ; Bùi Thị Thu Trang</t>
  </si>
  <si>
    <t>Trường Đại học Huế</t>
  </si>
  <si>
    <t>HCPL2026-044.png</t>
  </si>
  <si>
    <t>HCPL2026-045</t>
  </si>
  <si>
    <t>Nghiên cứu đề xuất các giải pháp phổ biến, giáo dục pháp luật nhằm bảo vệ và phát huy di sản văn hóa Huế cho học sinh trung học phổ thông</t>
  </si>
  <si>
    <t>TRẦN ĐÀM MINH THƯƠNG; TRẦN THANH TRÚC; UNG THỊ THUỲ TRÂM; VÕ CÔNG HOÀN; CAO NGỌC TÂM THƯ</t>
  </si>
  <si>
    <t>HCPL2026-045.png</t>
  </si>
  <si>
    <t>HCPL2026-046</t>
  </si>
  <si>
    <t>Nghiên cứu pháp luật Việt Nam về quản lý, khai thác và sử dụng thông tin, dữ liệu dự báo thời tiết</t>
  </si>
  <si>
    <t>Phạm Ngọc Huy ; Trịnh Phú Đức; Tạ Thị Minh Thư</t>
  </si>
  <si>
    <t>HCPL2026-046.png</t>
  </si>
  <si>
    <t>HCPL2026-047</t>
  </si>
  <si>
    <t>QUYỀN RIÊNG TƯ CỦA TRẺ EM TRÊN KHÔNG GIAN MẠNG THEO PHÁP LUẬT VIỆT NAM VÀ MỘT SỐ KIẾN NGHỊ HOÀN THIỆN</t>
  </si>
  <si>
    <t>Bùi Thị Thanh Thảo; Lê Nguyễn Minh Châu; Nguyễn Thị Quỳnh Anh; Hồ Gia Mẫn; Nguyễn Ngọc Uyên</t>
  </si>
  <si>
    <t>HCPL2026-047.png</t>
  </si>
  <si>
    <t>HCPL2026-048</t>
  </si>
  <si>
    <t>CHỨNG CỨ ĐIỆN TỬ TRONG TỐ TỤNG HÌNH SỰ Ở VIỆT NAM</t>
  </si>
  <si>
    <t>Trần Thị Hồng Diệp</t>
  </si>
  <si>
    <t>HCPL2026-048.png</t>
  </si>
  <si>
    <t>HCPL2026-049</t>
  </si>
  <si>
    <t>PHÁP LUẬT VỀ XỬ LÝ HÀNH VI PHÁT TÁN NỘI DUNG TỔNG HỢP GIẢ MẠO KHIÊU DÂM BẰNG TRÍ TUỆ NHÂN TẠO TẠI VIỆT NAM</t>
  </si>
  <si>
    <t>Vũ Nguyễn Anh Thư; Lê Minh Trang; Đặng Thị Hà Phương</t>
  </si>
  <si>
    <t>Học viện Thanh Thiếu niên Việt Nam</t>
  </si>
  <si>
    <t>HCPL2026-049.png</t>
  </si>
  <si>
    <t>HCPL2026-050</t>
  </si>
  <si>
    <t>Thực hiện pháp luật về phòng, chống ma túy tại địa bàn Thành phố Hồ Chí Minh</t>
  </si>
  <si>
    <t>Nguyễn Phương Uyên; Nguyễn Hoàng Mỹ Tâm; Phạm Minh Nguyên; Lò Huyền Thương; Nguyễn Văn Đạt</t>
  </si>
  <si>
    <t>HCPL2026-050.png</t>
  </si>
  <si>
    <t>HCPL2026-051</t>
  </si>
  <si>
    <t>HOÀN THIỆN CÁC QUY ĐỊNH CỦA LUẬT HÌNH SỰ VIỆT NAM VỀ CÁC TỘI PHẠM TRONG LĨNH VỰC CÔNG NGHỆ THÔNG TIN, MẠNG VIỄN THÔNG ĐÁP ỨNG YÊU CẦU NỘI LUẬT HÓA CÔNG ƯỚC HÀ NỘI</t>
  </si>
  <si>
    <t>Ngô Anh Quân; Nguyễn Văn Hiền; Kiều Thu Chang; Tống Thanh Huyền</t>
  </si>
  <si>
    <t>HCPL2026-051.png</t>
  </si>
  <si>
    <t>HCPL2026-052</t>
  </si>
  <si>
    <t>Một số định hướng hoàn thiện mô hình tư pháp người chưa thành niên Việt Nam theo tiêu chuẩn quốc tế</t>
  </si>
  <si>
    <t>Đào Quốc Phi; Nguyễn Huỳnh Vân Phi; Bùi Võ Thanh Trịnh</t>
  </si>
  <si>
    <t>HCPL2026-052.png</t>
  </si>
  <si>
    <t>HCPL2026-053</t>
  </si>
  <si>
    <t>PHÁP LUẬT VỀ PHÒNG CHỐNG HÀNH VI MUA BÁN DỮ LIỆU TRÁI PHÉP XUYÊN BIÊN GIỚI TRONG BỐI CẢNH PHÁT TRIỂN NỀN KINH TẾ DỮ LIỆU: KINH NGHIỆM QUỐC TẾ VÀ BÀI HỌC CHO VIỆT NAM</t>
  </si>
  <si>
    <t>Hồ Ngọc Phương; Võ Thị Anh Thư; Liao Tingrong/ 廖庭蓉; Hou Wenxin/ 侯文欣; Qiu Yu Zhi/ 邱钰芝</t>
  </si>
  <si>
    <t>Trường Đại học Kinh tế- Tài chính TPHCM</t>
  </si>
  <si>
    <t>HCPL2026-053.png</t>
  </si>
  <si>
    <t>HCPL2026-054</t>
  </si>
  <si>
    <t>Pháp luật một số quốc gia về biện pháp giám sát điện tử trong thi hành án hình sự và kinh nghiệm cho việt nam</t>
  </si>
  <si>
    <t>HOÀNG THỊ THANH HUYỀN; NGUYỄN NGỌC HUYỀN; NGUYỄN ĐẮC QUANG</t>
  </si>
  <si>
    <t>HCPL2026-054.png</t>
  </si>
  <si>
    <t>HCPL2026-055</t>
  </si>
  <si>
    <t>Tội mua bán người trong pháp luật một số quốc gia và kinh nghiệm cho Việt Nam</t>
  </si>
  <si>
    <t>Lê Phương Thu; Vũ Thị Thùy Ly; Đoàn Nguyễn Bảo Ngọc; Lê Lương Minh</t>
  </si>
  <si>
    <t>HCPL2026-055.png</t>
  </si>
  <si>
    <t>HCPL2026-056</t>
  </si>
  <si>
    <t>Tài sản mã hoá và tịch thu tài sản mã hoá có liên quan đến tội phạm trong bối cảnh chuyển đổi số ở Việt Nam hiện nay – Những vấn đề pháp lý đặt ra và kiến nghị hoàn thiện pháp luật</t>
  </si>
  <si>
    <t>Hoàng Minh Nguyệt; Tạ Lê Thục Hiền ; Trần Lam Trường ; Đào Duy Minh ; Nguyễn Văn Quân</t>
  </si>
  <si>
    <t>HCPL2026-056.png</t>
  </si>
  <si>
    <t>HCPL2026-057</t>
  </si>
  <si>
    <t>Quyền miễn trừ trách nhiệm của nạn nhân mua bán người khi thực hiện hành vi vi phạm trong quá trình bị mua bán</t>
  </si>
  <si>
    <t>Trịnh Bình Minh; Bùi Quốc Thắng; Vi Thái Nhật Hoàng; Trần Hoàng Phúc; Nguyễn Thị Trâm Anh</t>
  </si>
  <si>
    <t>HCPL2026-057.png</t>
  </si>
  <si>
    <t>HCPL2026-058</t>
  </si>
  <si>
    <t>THÚC ĐẨY TỐ GIÁC TỘI PHẠM TẠI VIỆT NAM DỰA TRÊN LÝ THUYẾT ĐỘNG CƠ BẢO VỆ (PMT): HOÀN THIỆN PHÁP LUẬT THÔNG QUA BẰNG CHỨNG THỰC NGHIỆM VÀ KINH NGHIỆM QUỐC TẾ</t>
  </si>
  <si>
    <t>Nguyễn Hoàng Thảo Anh; Phạm Hồng Hiển; Bành Đức Gia Khánh</t>
  </si>
  <si>
    <t>Đại học Kinh tế TPHCM</t>
  </si>
  <si>
    <t>HCPL2026-058.png</t>
  </si>
  <si>
    <t>HCPL2026-059</t>
  </si>
  <si>
    <t>Tội sản xuất, buôn bán hàng giả theo quy định của Bộ luật hình sự Việt Nam tại Thành phố Hồ Chí Minh</t>
  </si>
  <si>
    <t>Cao Hạnh Nhi; Nguyễn Đức Kiên; Nguyễn Thiên Thư</t>
  </si>
  <si>
    <t>Trường Đại học Công thương TPHCM</t>
  </si>
  <si>
    <t>HCPL2026-059.png</t>
  </si>
  <si>
    <t>HCPL2026-060</t>
  </si>
  <si>
    <t>Bảo vệ trẻ em trước những hành vi sản xuất, sở hữu, phân phối CSAM - Pháp luật một số quốc gia trên thế giới và kinh nghiệm cho Việt Nam</t>
  </si>
  <si>
    <t>Nguyễn Ngọc Linh; Võ Hà Chi; Nguyễn Diệu Hương</t>
  </si>
  <si>
    <t>HCPL2026-060.png</t>
  </si>
  <si>
    <t>HCPL2026-061</t>
  </si>
  <si>
    <t>Thỏa thuận nhận tội trong pháp luật một số quốc gia và kinh nghiệm cho Việt Nam</t>
  </si>
  <si>
    <t>Đinh Tú Bình, Trương Đỗ Thiên Anh; Lại Hoàng Hải; Lê Hải Lâm; Phạm Thị Kim Luyến</t>
  </si>
  <si>
    <t>HCPL2026-061.png</t>
  </si>
  <si>
    <t>HCPL2026-062</t>
  </si>
  <si>
    <t>XÓA ÁN TÍCH TRONG XÃ HỘI SỐ: BẢO ĐẢM TÁI HÒA NHẬP CỘNG ĐỒNG CỦA NGƯỜI CHẤP HÀNH XONG ÁN PHẠT TÙ TẠI VIỆT NAM</t>
  </si>
  <si>
    <t>Đỗ Thái Như ; Phạm Trần Trung Kiên</t>
  </si>
  <si>
    <t>HCPL2026-062.png</t>
  </si>
  <si>
    <t>HCPL2026-063</t>
  </si>
  <si>
    <t>Nghiên cứu quy định pháp luật hình sự về tội sản xuất, buôn bán hàng giả là lương thực, thực phẩm, phụ gia thực phẩm</t>
  </si>
  <si>
    <t>Dương Cầm Khuê; Nguyễn Bá Nam ; Nguyễn Văn Quang; Nguyễn Mạnh Hùng; Bạc Thị Quỳnh Châu</t>
  </si>
  <si>
    <t>HCPL2026-063.png</t>
  </si>
  <si>
    <t>HCPL2026-064</t>
  </si>
  <si>
    <t>Mang thai hộ vì mục đích thương mại – vấn đề pháp lý đặt ra, bài học từ một số quốc gia và giải pháp hoàn thiện pháp luật Việt Nam</t>
  </si>
  <si>
    <t>Đinh Thùy Dương; Phan Ngọc Thảo Vy; Lê Nguyễn Triều An</t>
  </si>
  <si>
    <t>HCPL2026-064.png</t>
  </si>
  <si>
    <t>HCPL2026-065</t>
  </si>
  <si>
    <t>QUÁ TRÌNH THU HẸP HÌNH PHẠT TỬ HÌNH TẠI VIỆT NAM – THỰC TIỄN TẠI TỈNH LÂM ĐỒNG</t>
  </si>
  <si>
    <t>NGUYỄN TRƯƠNG NHẬT ANH; VÕ ĐẶNG HỒNG NHUNG</t>
  </si>
  <si>
    <t>Trường Đại học Đà Lạt</t>
  </si>
  <si>
    <t>HCPL2026-065.png</t>
  </si>
  <si>
    <t>HCPL2026-066</t>
  </si>
  <si>
    <t>Giám sát điện tử trong tư pháp người chưa thành niên – pháp luật một số quốc gia và kinh nghiệm cho Việt Nam</t>
  </si>
  <si>
    <t>Nguyễn Công Minh; Nguyễn Mạnh Khôi</t>
  </si>
  <si>
    <t>Đại học Luật, ĐHQGHN</t>
  </si>
  <si>
    <t>HCPL2026-066.png</t>
  </si>
  <si>
    <t>HCPL2026-067</t>
  </si>
  <si>
    <t>Nhận diện và phòng, chống tội phạm rửa tiền bằng tiền mã hóa</t>
  </si>
  <si>
    <t>Đỗ Thị Như Ý; Nguyễn Hương Giang</t>
  </si>
  <si>
    <t>HCPL2026-067.png</t>
  </si>
  <si>
    <t>HCPL2026-068</t>
  </si>
  <si>
    <t>Hoàn thiện quy định về loại trừ trách nhiệm hình sự vì rủi ro trong nghiên cứu, thử nghiệm, áp dụng khoa học kĩ thuật và công nghệ trong điều 25 BLHS tại Việt Nam</t>
  </si>
  <si>
    <t>Trần Nguyễn Huy Long</t>
  </si>
  <si>
    <t>HCPL2026-068.png</t>
  </si>
  <si>
    <t>HCPL2026-069</t>
  </si>
  <si>
    <t>Đánh giá rủi ro phạm tội của người chưa thành niên – Kinh nghiệm từ Canada và Singapore</t>
  </si>
  <si>
    <t>Nguyễn Lâm Bảo Ngọc; Trần Ngọc Thúy Nghi</t>
  </si>
  <si>
    <t>HCPL2026-069.png</t>
  </si>
  <si>
    <t>HCPL2026-070</t>
  </si>
  <si>
    <t>TỘI PHẠM HÓA HÀNH VI GIAN LẬN TÍN CHỈ CARBON THEO PHÁP LUẬT MỘT SỐ QUỐC GIA VÀ KINH NGHIỆM CHO VIỆT NAM</t>
  </si>
  <si>
    <t>Trang Tín Đạt; Nguyễn Hữu Phú; Trần Thị Lệ Quyên.; Phạm Quỳnh Châu</t>
  </si>
  <si>
    <t>HCPL2026-070.png</t>
  </si>
  <si>
    <t>HCPL2026-071</t>
  </si>
  <si>
    <t>PHÁP LUẬT VỀ HÀNH VI THAO TÚNG THỊ TRƯỜNG CHỨNG KHOÁN QUA MẠNG XÃ HỘI VÀ CÁC HỘI NHÓM TRỰC TUYẾN TẠI VIỆT NAM</t>
  </si>
  <si>
    <t>Nguyễn Ngọc Thanh Trang; Trần Duy Phương Nhi; Nguyễn Phạm Đức Nguyên</t>
  </si>
  <si>
    <t>HCPL2026-071.png</t>
  </si>
  <si>
    <t>HCPL2026-072</t>
  </si>
  <si>
    <t>VAI TRÒ CỦA CHẾ ĐỊNH TÍN CHỈ CARBON TRONG VIỆC THÚC ĐẨY DOANH NGHIỆP SMES VIỆT NAM THỰC HIỆN MỤC TIÊU PHÁT TRIỂN BỀN VỮNG (ESG): KIẾN NGHỊ HOÀN THIỆN KHUNG PHÁP LÝ</t>
  </si>
  <si>
    <t>Trần Thu Hiền; Lê Anh Thư ; Phạm Thị Minh Thu</t>
  </si>
  <si>
    <t>HCPL2026-072.png</t>
  </si>
  <si>
    <t>HCPL2026-073</t>
  </si>
  <si>
    <t>ĐỊA VỊ PHÁP LÝ CỦA HỘ KINH DOANH THEO PHÁP LUẬT VIỆT NAM VÀ THỰC TIỄN TRÊN ĐỊA BÀN THÀNH PHỐ HÀ NỘI</t>
  </si>
  <si>
    <t>Nguyễn Tài Minh Hiếu; Nguyễn Khánh Ly; Trịnh Bảo Ngọc</t>
  </si>
  <si>
    <t>HCPL2026-073.png</t>
  </si>
  <si>
    <t>HCPL2026-074</t>
  </si>
  <si>
    <t>THE PROTECTION OF CLIENT ASSETS ON DIGITAL ASSET EXCHANGES UNDER EU REGULATIONS - LESSONS AND EXPERIENCES FOR VIETNAM</t>
  </si>
  <si>
    <t>Hà Gia Bảo; Võ Nguyễn Bảo Uyên; Nguyễn Thị Tố Như</t>
  </si>
  <si>
    <t>HCPL2026-074.png</t>
  </si>
  <si>
    <t>HCPL2026-075</t>
  </si>
  <si>
    <t>Pháp luật về đầu tư trực tiếp nước ngoài ở Việt Nam trong bối cảnh tăng trưởng kinh tế xanh</t>
  </si>
  <si>
    <t>Nguyễn Ngân An; Lê Thị Hoàng Anh; Nguyễn Mai Anh</t>
  </si>
  <si>
    <t>HCPL2026-075.png</t>
  </si>
  <si>
    <t>HCPL2026-076</t>
  </si>
  <si>
    <t>Kiện phái sinh - phương thức bảo vệ quyền lợi của công ty trong giai đoạn hội nhập kinh tế quốc tế tại Việt Nam</t>
  </si>
  <si>
    <t>Trần Lưu Ly; Lê Thị Diệu Huyền; Nguyễn Trung Hiếu</t>
  </si>
  <si>
    <t>HCPL2026-076.png</t>
  </si>
  <si>
    <t>HCPL2026-077</t>
  </si>
  <si>
    <t>Cơ chế hỗ trợ đầu tư cho doanh nghiệp chịu thuế tối thiểu toàn cầu: Kinh nghiệm quốc tế và hàm ý chính sách cho Việt Nam</t>
  </si>
  <si>
    <t>Nguyễn Minh Tâm; Vũ Minh Anh</t>
  </si>
  <si>
    <t>HCPL2026-077.png</t>
  </si>
  <si>
    <t>HCPL2026-078</t>
  </si>
  <si>
    <t>TÁC ĐỘNG CỦA TRÍ TUỆ NHÂN TẠO ĐẾN QUYỀN ĐƯỢC LÀM VIỆC TẠI VIỆT NAM - TỪ LÝ LUẬN ĐẾN THỰC TIỄN VÀ KIẾN NGHỊ</t>
  </si>
  <si>
    <t>Huỳnh Trường Thịnh</t>
  </si>
  <si>
    <t>HCPL2026-078.png</t>
  </si>
  <si>
    <t>HCPL2026-079</t>
  </si>
  <si>
    <t>Bảo đảm quyền của nạn nhân tội phạm bằng mô hình tư pháp phục hồi: Kinh nghiệm quốc tế và phương hướng hoàn thiện pháp luật Việt Nam</t>
  </si>
  <si>
    <t>Nguyễn Minh Hiền; Nguyễn Như Anh</t>
  </si>
  <si>
    <t>HCPL2026-079.png</t>
  </si>
  <si>
    <t>HCPL2026-080</t>
  </si>
  <si>
    <t>TIỀN MÃ HÓA VỚI TƯ CÁCH LÀ TÀI SẢN BẢO ĐẢM TRONG PHÁP LUẬT DÂN SỰ VÀ HOẠT ĐỘNG CẤP TÍN DỤNG TẠI VIỆT NAM.</t>
  </si>
  <si>
    <t>Phạm Anh Khoa; Phạm Thị Phương; Lê Quỳnh Giao</t>
  </si>
  <si>
    <t>HCPL2026-080.png</t>
  </si>
  <si>
    <t>HCPL2026-081</t>
  </si>
  <si>
    <t>BẢO VỆ QUYỀN LỢI NGƯỜI TIÊU DÙNG TRONG HOẠT ĐỘNG QUẢNG CÁO THƯƠNG MẠI TRÊN MÔI TRƯỜNG SỐ: MỘT SỐ KHUYẾN NGHỊ HOÀN THIỆN CHO VIỆT NAM TỪ KINH NGHIỆM CỦA CÁC QUỐC GIA</t>
  </si>
  <si>
    <t>Trần Thanh Hòa; Võ Thị Mỹ Uyên</t>
  </si>
  <si>
    <t>HCPL2026-081.png</t>
  </si>
  <si>
    <t>HCPL2026-082</t>
  </si>
  <si>
    <t>QUYỀN ĐỐI VỚI GIỌNG NÓI CÁ NHÂN TRONG KỶ NGUYÊN TRÍ TUỆ NHÂN TẠO: KINH NGHIỆM QUỐC TẾ VÀ GỢI MỞ CHO VIỆT NAM</t>
  </si>
  <si>
    <t>Trần Văn Tuấn</t>
  </si>
  <si>
    <t>HCPL2026-082.png</t>
  </si>
  <si>
    <t>HCPL2026-083</t>
  </si>
  <si>
    <t>Trách nhiệm của doanh nghiệp trong việc bảo vệ dữ liệu cá nhân của người lao động trong quan hệ lao động theo pháp luật Việt Nam</t>
  </si>
  <si>
    <t>Trần Hoàng Khang; Trần Thị Mỹ Lê; Điểu Hà My; Lê Hồng Ngọc; Phạm Ngọc Phương Trinh</t>
  </si>
  <si>
    <t>Trường Đại học Công nghiệp TPHCM</t>
  </si>
  <si>
    <t>HCPL2026-083.png</t>
  </si>
  <si>
    <t>HCPL2026-084</t>
  </si>
  <si>
    <t>BẢO VỆ QUYỀN ĐỐI VỚI HÌNH ẢNH CỦA CÁ NHÂN TRƯỚC CÔNG NGHỆ DEEPFAKE THEO PHÁP LUẬT VIỆT NAM</t>
  </si>
  <si>
    <t>Nguyễn Thị Quỳnh Như; Võ Hồng Huế; Nguyễn Như Huỳnh; Vũ Minh Quang; Nguyễn Thúy Quỳnh</t>
  </si>
  <si>
    <t>HCPL2026-084.png</t>
  </si>
  <si>
    <t>HCPL2026-085</t>
  </si>
  <si>
    <t>Pháp luật về bảo vệ người tiêu dùng từ thực tiễn sử dụng xăng sinh học. Kinh nghiêm từ Liên minh EU và đề xuất hoàn thiện.</t>
  </si>
  <si>
    <t>Trần Thị Mỹ Tiên; Lê Hoài Anh Trí</t>
  </si>
  <si>
    <t>HCPL2026-085.png</t>
  </si>
  <si>
    <t>HCPL2026-086</t>
  </si>
  <si>
    <t>PHÁP LUẬT VIỆT NAM VỀ GIAO KẾT VÀ THỰC HIỆN HỢP ĐỒNG LAO ĐỘNG ĐIỆN TỬ: THỰC TRẠNG PHÁP LUẬT VÀ GIẢI PHÁP TRIỂN KHAI TRONG THỰC TIỄN</t>
  </si>
  <si>
    <t>Lê Bùi Bảo Linh; Nguyễn Thái Hưng; Trương Khánh Linh</t>
  </si>
  <si>
    <t>HCPL2026-086.png</t>
  </si>
  <si>
    <t>HCPL2026-087</t>
  </si>
  <si>
    <t>Bảo hộ quyền sở hữu trí tuệ đối với tri thức truyền thống theo pháp luật Việt Nam và một số kinh nghiệm quốc tế</t>
  </si>
  <si>
    <t>Lê Phạm Anh Kiệt ; Mai Thị Hồng Ngọc</t>
  </si>
  <si>
    <t>HCPL2026-087.png</t>
  </si>
  <si>
    <t>HCPL2026-088</t>
  </si>
  <si>
    <t>Pháp luật điều chỉnh dòng vốn đầu tư gián tiếp nước ngoài tại Việt Nam</t>
  </si>
  <si>
    <t>Nguyễn Thị Thảo Tuyên; Lại Thị Thư</t>
  </si>
  <si>
    <t>HCPL2026-088.png</t>
  </si>
  <si>
    <t>HCPL2026-089</t>
  </si>
  <si>
    <t>Áp dụng nguyên tắc “Primacy of Facts” để xác định quan hệ lao động trong nền kinh tế nền tảng: Kinh nghiệm quốc tế và kiến nghị cho Việt Nam</t>
  </si>
  <si>
    <t>Phan Phước Thái Nguyên; Nguyễn Trà My; Huỳnh Thảo Nhi; Huỳnh Quốc Kỳ</t>
  </si>
  <si>
    <t>HCPL2026-089.png</t>
  </si>
  <si>
    <t>HCPL2026-090</t>
  </si>
  <si>
    <t>Pháp luật về Nhà ở xã hội dành cho người thu nhập thấp và thực tiễn tại Thành phố Hồ Chí Minh</t>
  </si>
  <si>
    <t>Nguyễn Vũ Gia Hân; Nguyễn Phụng Bảo Châu</t>
  </si>
  <si>
    <t>HCPL2026-090.png</t>
  </si>
  <si>
    <t>HCPL2026-091</t>
  </si>
  <si>
    <t>Pháp luật về quyền thu giữ tài sản bảo đảm để xử lý nợ vay - Thực trạng xử lý tài sản bảo đảm tại các ngân hàng thương mại trên địa bàn tỉnh Vĩnh Long</t>
  </si>
  <si>
    <t>Trần Đặng Việt Pháp</t>
  </si>
  <si>
    <t>HCPL2026-091.png</t>
  </si>
  <si>
    <t>HCPL2026-092</t>
  </si>
  <si>
    <t>THỰC TIỄN XÉT XỬ VỀ VI PHẠM HỢP ĐỒNG HIỆU QUẢ TẠI ANH, MỸ - GỢI MỞ CHO PHÁP LUẬT VIỆT NAM</t>
  </si>
  <si>
    <t>Nguyễn Tuấn Tú; Đặng Quang Hoàng Tú; Nguyễn Tấn Thanh Danh</t>
  </si>
  <si>
    <t>HCPL2026-092.png</t>
  </si>
  <si>
    <t>HCPL2026-093</t>
  </si>
  <si>
    <t>SỬ DỤNG TRÍ TUỆ NHÂN TẠO (AI) TRONG THỰC HÀNH LUẬT CHO SINH VIÊN</t>
  </si>
  <si>
    <t>Nguyễn Thị Thảo; Nguyễn Ngọc Kim Chi; Nguyễn Thị Xuân Diệu; Phạm Lê Kiều Yến</t>
  </si>
  <si>
    <t>HCPL2026-093.png</t>
  </si>
  <si>
    <t>HCPL2026-094</t>
  </si>
  <si>
    <t>Pháp luật về phát triển năng lượng mặt trời hướng đến mục tiêu phát triển bền vững: Kinh nghiệm Quốc tế và gợi mở cho Việt Nam</t>
  </si>
  <si>
    <t>Bùi Diễm Nhi; Nguyễn Minh Ngọc; Nguyễn Lưu Tuệ Minh</t>
  </si>
  <si>
    <t>HCPL2026-094.png</t>
  </si>
  <si>
    <t>HCPL2026-095</t>
  </si>
  <si>
    <t>Pháp luật về quyền tác giả đối với sản phẩm có sử dụng trí tuệ nhân tạo - Thực trạng, thực tiễn thực hiện và kiến nghị hoàn thiện</t>
  </si>
  <si>
    <t>Trần Thu Huyền</t>
  </si>
  <si>
    <t>HCPL2026-095.png</t>
  </si>
  <si>
    <t>HCPL2026-096</t>
  </si>
  <si>
    <t>Hoàn thiện pháp luật thuế giá trị gia tăng đối với hoạt động kinh doanh thương mại điện tử ở Việt Nam hiện nay</t>
  </si>
  <si>
    <t>Vi Thị Hoàng Anh; Bùi Việt Anh; Trần Linh Chi ; Nguyễn Hoàng Luân</t>
  </si>
  <si>
    <t>HCPL2026-096.png</t>
  </si>
  <si>
    <t>HCPL2026-097</t>
  </si>
  <si>
    <t>MÔ HÌNH TRUNG TÂM TRỌNG TÀI QUỐC TẾ TRONG TRUNG TÂM TÀI CHÍNH QUỐC TẾ: KINH NGHIỆM QUỐC TẾ VÀ KIẾN NGHỊ CHO VIỆT NAM</t>
  </si>
  <si>
    <t>Nguyễn Khánh Tuyền; Nguyễn Xuân Thu; Nguyễn Thùy Linh; Doãn Mai Gia Khánh</t>
  </si>
  <si>
    <t>Trường Đại học Kinh tế- Luật, ĐHQG-HCM</t>
  </si>
  <si>
    <t>HCPL2026-097.png</t>
  </si>
  <si>
    <t>HCPL2026-098</t>
  </si>
  <si>
    <t>Pháp luật điều chỉnh dịch vụ tư vấn tự động (Robo-advisor) trong lĩnh vực chứng khoán tại Việt Nam.</t>
  </si>
  <si>
    <t>Thân Từ Yến Như; Nguyễn Ngọc Thành; Nguyễn Thị Ngọc Quỳnh; Trần Thị Mai Hương</t>
  </si>
  <si>
    <t>HCPL2026-098.png</t>
  </si>
  <si>
    <t>HCPL2026-099</t>
  </si>
  <si>
    <t>Mô hình quỹ sáng chế - Kinh nghiệm của các nước Đông Á và bài học cho Việt Nam.</t>
  </si>
  <si>
    <t>Phan Nhật Mỹ; Tạ Nguyễn Phúc Khang; Thái Đào Bảo An; Trần Ngọc Liên</t>
  </si>
  <si>
    <t>HCPL2026-099.png</t>
  </si>
  <si>
    <t>HCPL2026-100</t>
  </si>
  <si>
    <t>Pháp luật về kiểm soát hành vi “CSR-Washing” - Kinh nghiệm từ các quốc gia trên thế giới và kiến nghị giải pháp cho Việt Nam</t>
  </si>
  <si>
    <t>Võ Lê Bảo Trâm; Võ Thùy Trâm; Lê Thị Hải Yến; Võ Thị Thu Hương</t>
  </si>
  <si>
    <t>HCPL2026-100.png</t>
  </si>
  <si>
    <t>HCPL2026-101</t>
  </si>
  <si>
    <t>KHUNG PHÁP LÝ VỀ ƯU ĐÃI THUẾ THU NHẬP DOANH NGHIỆP ĐỐI VỚI DOANH NGHIỆP TRONG LĨNH VỰC TRÍ TUỆ NHÂN TẠO TẠI VIỆT NAM: THỰC TRẠNG VÀ GIẢI PHÁP HOÀN THIỆN</t>
  </si>
  <si>
    <t>Trần Bảo Hân; Bùi Trúc Ly</t>
  </si>
  <si>
    <t>HCPL2026-101.png</t>
  </si>
  <si>
    <t>HCPL2026-102</t>
  </si>
  <si>
    <t>Thỏa thuận bồi thường thiệt hại ước tính trong hợp đồng thương mại: Kinh nghiệm một số quốc gia và gợi mở cho pháp luật Việt Nam.</t>
  </si>
  <si>
    <t>Trần Đoàn Khánh Y; Phan Phùng Minh</t>
  </si>
  <si>
    <t>HCPL2026-102.png</t>
  </si>
  <si>
    <t>HCPL2026-103</t>
  </si>
  <si>
    <t>Pháp luật về kiểm soát thỏa thuận hạn chế cạnh tranh thông qua thuật toán - Kinh nghiệm quốc tế và bài học cho Việt Nam</t>
  </si>
  <si>
    <t>Nguyễn Hồng Ngọc; Ngô Nguyễn Cẩm Hương; Đỗ Thị Kiều Nhi</t>
  </si>
  <si>
    <t>HCPL2026-103.png</t>
  </si>
  <si>
    <t>HCPL2026-104</t>
  </si>
  <si>
    <t>Cơ chế pháp lý về công khai thông tin môi trường của doanh nghiệp trong chuỗi cung ứng xanh: So sánh pháp luật Việt Nam và Pháp</t>
  </si>
  <si>
    <t>Trần Ngọc Anh Thư; Nguyễn Ngọc Bảo Hân; Nguyễn Thanh Ngân</t>
  </si>
  <si>
    <t>HCPL2026-104.png</t>
  </si>
  <si>
    <t>HCPL2026-105</t>
  </si>
  <si>
    <t>Hoàn thiện pháp luật về cơ chế đánh giá độc lập Trái phiếu Xanh: Kinh nghiệm quốc tế và bài học cho Việt Nam</t>
  </si>
  <si>
    <t>Lưu Thanh Vy; Trần Vũ Trọng Hiếu; Võ Đặng Khánh Thy; Trịnh Gia Hân; Đặng Vĩnh Trường</t>
  </si>
  <si>
    <t>HCPL2026-105.png</t>
  </si>
  <si>
    <t>HCPL2026-106</t>
  </si>
  <si>
    <t>BẢO VỆ SINH VIÊN THỰC TẬP BẮT BUỘC TRONG QUAN HỆ NHÀ TRƯỜNG - DOANH NGHIỆP: KHOẢNG TRỐNG PHÁP LUẬT VIỆT NAM VÀ CƠ CHẾ TRÁCH NHIỆM BA BÊN</t>
  </si>
  <si>
    <t>Lê Văn Quân; Lê Minh Tình; Nguyễn Thị Thùy Tiên; Hồ Ngọc Hà</t>
  </si>
  <si>
    <t>Trường Đại học Kinh tế TPHCM</t>
  </si>
  <si>
    <t>HCPL2026-106.png</t>
  </si>
  <si>
    <t>HCPL2026-107</t>
  </si>
  <si>
    <t>HÀI HOÀ HOÁ QUYỀN SỬA CHỮA VÀ QUYỀN SỞ HỮU TRÍ TUỆ ĐỐI VỚI SẢN PHẨM CÔNG NGHỆ: KINH NGHIỆM QUỐC TẾ VÀ ĐỊNH HƯỚNG HOÀN THIỆN PHÁP LUẬT VIỆT NAM</t>
  </si>
  <si>
    <t>Nguyễn Trung Tín; Lê Minh Tình</t>
  </si>
  <si>
    <t>HCPL2026-107.png</t>
  </si>
  <si>
    <t>HCPL2026-108</t>
  </si>
  <si>
    <t>ĐIỀU CHỈNH MÔ THỨC THIẾT KẾ THAO TÚNG (DARK PATTERNS) TRONG MÔI TRƯỜNG SỐ TẠI VIỆT NAM: NGHIÊN CỨU THỰC CHỨNG VÀ HOÀN THIỆN KHUNG TRÁCH NHIỆM PHÁP LÝ</t>
  </si>
  <si>
    <t>Phạm Hồng Hiển; Phạm Đinh Thanh Huyền; Hoàng Thị Ngọc Trân; Lâm Bảo Nhi</t>
  </si>
  <si>
    <t>HCPL2026-108.png</t>
  </si>
  <si>
    <t>HCPL2026-109</t>
  </si>
  <si>
    <t>Pháp luật một số quốc gia về ứng dụng trí tuệ nhân tạo trong giải quyết tranh chấp thương mại tại Toà án và kinh nghiệm cho Việt Nam</t>
  </si>
  <si>
    <t>Trịnh Phúc Hiếu; Đỗ Ngọc Quỳnh Anh; Nguyễn Quang Huy</t>
  </si>
  <si>
    <t>HCPL2026-109.png</t>
  </si>
  <si>
    <t>HCPL2026-110</t>
  </si>
  <si>
    <t>Bảo đảm quyền lợi của người lao động “làm thêm giờ vô hình” trong doanh nghiệp Việt Nam</t>
  </si>
  <si>
    <t>Phan Đức Quang; Nguyễn Thị Mai Sương; Nguyễn Thuỵ Ngọc Hiền</t>
  </si>
  <si>
    <t>HCPL2026-110.png</t>
  </si>
  <si>
    <t>HCPL2026-111</t>
  </si>
  <si>
    <t>Trách nhiệm thanh toán nợ của doanh nghiệp đối với hàng hoá, dịch vụ trong hoạt động thương mại theo pháp luật Việt Nam</t>
  </si>
  <si>
    <t>Nguyễn Ngọc Quỳnh Như; Phan Ngọc Như Quỳnh</t>
  </si>
  <si>
    <t>HCPL2026-111.png</t>
  </si>
  <si>
    <t>HCPL2026-112</t>
  </si>
  <si>
    <t>Bồi thường tai nạn lao động theo pháp luật Việt Nam</t>
  </si>
  <si>
    <t>Ngô Đặng Gia An; Nguyễn Như Quỳnh; Nguyễn Vũ Phượng Hoàng; Nguyễn Thị Ngọc Hân; Nguyễn Lê Hoàng Thịnh</t>
  </si>
  <si>
    <t>HCPL2026-112.png</t>
  </si>
  <si>
    <t>HCPL2026-113</t>
  </si>
  <si>
    <t>Pháp luật về Thương mại điện tử xanh trong bối cảnh thúc đẩy Kinh tế tuần hoàn: Thực trạng và kiến nghị</t>
  </si>
  <si>
    <t>Bùi Thị Bảo Ngọc; Trương Quế Mai</t>
  </si>
  <si>
    <t>HCPL2026-113.png</t>
  </si>
  <si>
    <t>HCPL2026-114</t>
  </si>
  <si>
    <t>Pháp luật bảo vệ người tiêu dùng trong hoạt động livestream bán hàng tại Việt Nam</t>
  </si>
  <si>
    <t>Nguyễn Thị Thanh Thảo; Mai Quỳnh Tố Trinh</t>
  </si>
  <si>
    <t>HCPL2026-114.png</t>
  </si>
  <si>
    <t>HCPL2026-115</t>
  </si>
  <si>
    <t>Pháp luật về thị trường tài sản mã hóa - Kinh nghiệm trên thế giới và bài học cho Việt Nam</t>
  </si>
  <si>
    <t>Hoàng Ngọc Điệp; Trần Đức An</t>
  </si>
  <si>
    <t>HCPL2026-115.png</t>
  </si>
  <si>
    <t>HCPL2026-116</t>
  </si>
  <si>
    <t>Tiền ảo Việt Nam - những hệ luỵ và định hướng hoàn thiện pháp luật ở Việt Nam hiện nay</t>
  </si>
  <si>
    <t>Trương Hương Giang</t>
  </si>
  <si>
    <t>HCPL2026-116.png</t>
  </si>
  <si>
    <t>HCPL2026-117</t>
  </si>
  <si>
    <t>Pháp luật điều chỉnh trợ cấp xanh trong thương mại quốc tế: Kinh nghiệm từ một số quốc gia và bài học cho Việt Nam</t>
  </si>
  <si>
    <t>Vũ Thị Cẩm Anh; Vũ Yến Nhi; Phạm Tiến Huy</t>
  </si>
  <si>
    <t>HCPL2026-117.png</t>
  </si>
  <si>
    <t>HCPL2026-118</t>
  </si>
  <si>
    <t>Đề xuất mở rộng phạm vi bảo hiểm tài sản đối với quyền tài sản trong pháp luật Việt Nam</t>
  </si>
  <si>
    <t>Huỳnh Như Hảo; Trần Lâm Chi Bảo; Ngô Minh Anh</t>
  </si>
  <si>
    <t>HCPL2026-118.png</t>
  </si>
  <si>
    <t>HCPL2026-119</t>
  </si>
  <si>
    <t>Bảo Đảm Quyền Tiếp Cận Thông Tin Của Cổ Đông: So Sánh Pháp Luật Nước Ngoài Và Định Hướng Hoàn Thiện Pháp Luật Việt Nam</t>
  </si>
  <si>
    <t>Nguyễn Thị Thanh Thảo; Huỳnh Hoàng Thanh Hằng; Nguyễn Bảo Anh Khoa; Nguyễn Thành Thạo; Trần Trung Nhựt</t>
  </si>
  <si>
    <t>Trường Đại học Hùng Vương TPHCM</t>
  </si>
  <si>
    <t>HCPL2026-119.png</t>
  </si>
  <si>
    <t>HCPL2026-120</t>
  </si>
  <si>
    <t>Pháp luật về ứng dụng trí tuệ nhân tạo trong quản trị rủi ro hoạt động ngân hàng: Kinh nghiệm quốc tế và khuyến nghị cho Việt Nam</t>
  </si>
  <si>
    <t>Trần Mỹ Phượng; Nguyễn Vũ Hà Phương; Nguyễn Xuân Nhi</t>
  </si>
  <si>
    <t>HCPL2026-120.png</t>
  </si>
  <si>
    <t>HCPL2026-121</t>
  </si>
  <si>
    <t>Pháp luật về kiểm soát rủi ro tẩy xanh trong hoạt động cấp tín dụng xanh của ngân hàng thương mại: Kinh nghiệm quốc tế và bài học cho Việt Nam</t>
  </si>
  <si>
    <t>Trần Đào Phương Uyên ; Nguyễn Lan Anh; Nguyễn Phương Dung; Nguyễn Bảo Châu</t>
  </si>
  <si>
    <t>HCPL2026-121.png</t>
  </si>
  <si>
    <t>HCPL2026-122</t>
  </si>
  <si>
    <t>KHUNG PHÁP LÝ NHẰM ĐẢM BẢO VẬN HÀNH HIỆU QUẢ THỊ TRƯỜNG CARBON TẠI VIỆT NAM</t>
  </si>
  <si>
    <t>Nguyễn Thị Thùy Dung; Trần Quỳnh Anh; Hoàng Ngân Giang; Vũ Phan Bảo Ngân</t>
  </si>
  <si>
    <t>HCPL2026-122.png</t>
  </si>
  <si>
    <t>HCPL2026-123</t>
  </si>
  <si>
    <t>THE LEGAL FRAMEWORK FOR ARBITRATION DISPUTE RESOLUTION MECHANISMS IN INTERNATIONAL FINANCIAL CENTERS: THE CASE OF DUBAI AND SINGAPORE AND RECOMMENDATIONS FOR VIETNAM</t>
  </si>
  <si>
    <t>Hoàng Quốc Khánh</t>
  </si>
  <si>
    <t>Phân hiệu Trường Đại học Ngoại thương TPHCM</t>
  </si>
  <si>
    <t>HCPL2026-123.png</t>
  </si>
  <si>
    <t>HCPL2026-124</t>
  </si>
  <si>
    <t>PHÁP LUẬT VỀ QUẢN LÝ NHÀ CUNG CẤP DỊCH VỤ TÀI SẢN MÃ HOÁ TRONG LĨNH VỰC CHỐNG RỬA TIỀN VÀ TÀI TRỢ KHỦNG BỐ - KINH NGHIỆM QUỐC TẾ VÀ KHUYẾN NGHỊ CHO VIỆT NAM.</t>
  </si>
  <si>
    <t>Lại Quang Dũng; Lê Thị Kim Ngân; Lương Thuỳ Anh; Trần Bảo Khánh</t>
  </si>
  <si>
    <t>HCPL2026-124.png</t>
  </si>
  <si>
    <t>HCPL2026-125</t>
  </si>
  <si>
    <t>Pháp luật về huy động nguồn lực tài chính ngoài ngân sách thúc đẩy khởi nghiệp sáng tạo - Kinh nghiệm quốc tế và bài học cho Việt Nam</t>
  </si>
  <si>
    <t>Nguyễn Thị Thanh Thảo; Nguyễn Thị Hải Yến; Nguyễn Trần Lương; Đoàn Anh Phương</t>
  </si>
  <si>
    <t>HCPL2026-125.png</t>
  </si>
  <si>
    <t>HCPL2026-126</t>
  </si>
  <si>
    <t>Pháp luật về quản lý trí tuệ nhân tạo trong lĩnh vực ngân hàng – kinh nghiệm quốc tế và định hướng hoàn thiện pháp luật tại Việt Nam</t>
  </si>
  <si>
    <t>Phan Đình Bảo Chi; Vũ Thị Tuyết; Nguyễn Chí Thành; Cao Thị Cẩm Tú; Trần Kiều Trang</t>
  </si>
  <si>
    <t>HCPL2026-126.png</t>
  </si>
  <si>
    <t>HCPL2026-127</t>
  </si>
  <si>
    <t>HOÀN THIỆN KHUNG PHÁP LÝ QUẢN LÝ VỀ THUẾ ĐỐI VỚI TÀI SẢN MÃ HÓA TẠI VIỆT NAM: KINH NGHIỆM QUỐC TẾ VÀ BÀI HỌC CHO VIỆT NAM</t>
  </si>
  <si>
    <t>Nguyễn Cẩm Nhung; Nguyễn Thị Hồng Lụa; Lê Văn Lĩnh; Nguyễn Thị Minh Ngọc</t>
  </si>
  <si>
    <t>HCPL2026-127.png</t>
  </si>
  <si>
    <t>HCPL2026-128</t>
  </si>
  <si>
    <t>Kinh nghiệm quốc tế về thúc đẩy ESG trong lĩnh vực ngân hàng và vấn đề hoàn thiện pháp luật tại Việt Nam</t>
  </si>
  <si>
    <t>Lê Đức Huy; Đàm Thị Hương Lê; Phùng Nguyễn Ngọc Linh</t>
  </si>
  <si>
    <t>HCPL2026-128.png</t>
  </si>
  <si>
    <t>HCPL2026-129</t>
  </si>
  <si>
    <t>Pháp luật về thuế thu nhập đối với thu nhập từ tài sản mã hóa: nghiên cứu so sánh và bài học kinh nghiệm cho Việt Nam</t>
  </si>
  <si>
    <t>Lê Thị Thúy; Phan Văn Úy; Nguyễn Ngọc Linh; Lê Ánh Dương Huyền; Cao Yến Nhi</t>
  </si>
  <si>
    <t>HCPL2026-129.png</t>
  </si>
  <si>
    <t>HCPL2026-130</t>
  </si>
  <si>
    <t>Pháp luật về chia sẻ dữ liệu khách hàng trong hoạt động ngân hàng: Kinh nghiệm thế giới và gợi mở cho Việt Nam</t>
  </si>
  <si>
    <t>TRẦN THỊ THANH THẢO; NGUYỄN THỊ HỒNG NGỌC; NGUYỄN THỊ MỸ TIÊN</t>
  </si>
  <si>
    <t>Đại học Ngân Hàng</t>
  </si>
  <si>
    <t>HCPL2026-130.png</t>
  </si>
  <si>
    <t>HCPL2026-131</t>
  </si>
  <si>
    <t>Hoàn thiện pháp luật về phòng ngừa ô nhiễm môi trường biển tại Việt Nam hiện nay</t>
  </si>
  <si>
    <t>Trần Đại Nghĩa; Hoàng Khắc Thành; Nguyễn Thị Thiên Ân</t>
  </si>
  <si>
    <t>HCPL2026-131.png</t>
  </si>
  <si>
    <t>HCPL2026-132</t>
  </si>
  <si>
    <t>PHÁP LUẬT VỀ QUẤY RỐI TÌNH DỤC TẠI NƠI LÀM VIỆC VÀ THỰC TIỄN THỰC HIỆN TẠI THÀNH PHỐ HÀ NỘI</t>
  </si>
  <si>
    <t>Vũ Thu Hiền ; Trịnh Châu Anh; Trần Minh Nguyệt</t>
  </si>
  <si>
    <t>HCPL2026-132.png</t>
  </si>
  <si>
    <t>HCPL2026-133</t>
  </si>
  <si>
    <t>PHÁP LUẬT VỀ CƠ CHẾ KIỂM SOÁT PHÁT THẢI KHÍ NHÀ KÍNH TRONG HOẠT ĐỘNG VẬN TẢI BIỂN: KINH NGHIỆM QUỐC TẾ VÀ GỢI MỞ CHO VIỆT NAM</t>
  </si>
  <si>
    <t>Nguyễn Phương Thảo; Đặng Thị Vân Anh; Bùi Minh Khuê; Hồ Hằng Lê</t>
  </si>
  <si>
    <t>HCPL2026-133.png</t>
  </si>
  <si>
    <t>HCPL2026-134</t>
  </si>
  <si>
    <t>Hoàn thiện pháp luật về bảo vệ quyền riêng tư trong quản lý thuế đối với chủ thể kinh doanh trên sàn thương mại điện tử qua VNeID.</t>
  </si>
  <si>
    <t>Đinh Tiến Dũng; Phạm Diệp Anh</t>
  </si>
  <si>
    <t>HCPL2026-134.png</t>
  </si>
  <si>
    <t>HCPL2026-135</t>
  </si>
  <si>
    <t>HOÀN THIỆN PHÁP LUẬT VỀ THỰC THI QUYỀN SỞ HỮU TRÍ TUỆ ĐỐI VỚI CHỈ DẪN ĐỊA LÝ NÔNG SẢN XUẤT KHẨU THÔNG QUA SỐ HÓA HỆ THỐNG TRUY XUẤT NGUỒN GỐC: KIẾN NGHỊ HOÀN THIỆN PHÁP LUẬT VIỆT NAM</t>
  </si>
  <si>
    <t>Phạm Diệp Anh ; Nguyễn Quỳnh Chi ; Nguyễn Ngọc Linh Châu ; Nguyễn Hà Khánh Chi</t>
  </si>
  <si>
    <t>HCPL2026-135.png</t>
  </si>
  <si>
    <t>HCPL2026-136</t>
  </si>
  <si>
    <t>Pháp luật về bảo đảm quyền của người lao động trong các hình thức làm việc linh hoạt ở Việt Nam hiện nay.</t>
  </si>
  <si>
    <t>Nguyễn Thị Ngọc Ánh; Nguyễn Ngọc Phương Anh; Phạm Tuyết Nhung; Cao Thị Thanh Tâm; Cù Thanh Trà</t>
  </si>
  <si>
    <t>Trường Đại học Văn hoá Hà Nội</t>
  </si>
  <si>
    <t>HCPL2026-136.png</t>
  </si>
  <si>
    <t>HCPL2026-137</t>
  </si>
  <si>
    <t>Mối quan hệ giữa pháp luật và đạo đức trong lĩnh vực bảo đảm an toàn vệ sinh thực phẩm</t>
  </si>
  <si>
    <t>Vi Thanh Huỳnh; Đinh Tuấn Kiệt; Trịnh Duy Kiên; Đỗ Vân Anh</t>
  </si>
  <si>
    <t>HCPL2026-137.png</t>
  </si>
  <si>
    <t>HCPL2026-138</t>
  </si>
  <si>
    <t>Nghiên cứu pháp luật về việc biện pháp kê biên quyền sử dụng đất để cưỡng chế thi hành quyết định xử phạt vi phạm hành chính - Thực trạng tại tỉnh Vĩnh Long</t>
  </si>
  <si>
    <t>Đinh Nhật Duy; Phạm Hoàng Phúc</t>
  </si>
  <si>
    <t>HCPL2026-138.png</t>
  </si>
  <si>
    <t>HCPL2026-139</t>
  </si>
  <si>
    <t>Bảo vệ quyền lợi người lao động trong nền kinh tế Gig tại Thành phố Hồ Chí Minh</t>
  </si>
  <si>
    <t>Phan Khả Kỳ; Đinh Ngọc Minh Thư; Nguyễn Thành Yên Quân; Trương Thị Trúc Huỳnh; Phan Kim Ngân</t>
  </si>
  <si>
    <t>Học viện Cán bộ TPHCM</t>
  </si>
  <si>
    <t>HCPL2026-139.png</t>
  </si>
  <si>
    <t>HCPL2026-140</t>
  </si>
  <si>
    <t>Xây dựng chính quyền số về quản lý hai cấp sau tinh gọn</t>
  </si>
  <si>
    <t>Đỗ Hoàng Dương; Nguyễn Huy Anh; Tô Khánh Linh</t>
  </si>
  <si>
    <t>HCPL2026-140.png</t>
  </si>
  <si>
    <t>HCPL2026-141</t>
  </si>
  <si>
    <t>Tác động tâm lý của cha, mẹ đối với việc giải quyết nguồn tin tội phạm phát hiện từ không gian mạng có nạn nhân là người</t>
  </si>
  <si>
    <t>Lê Đức Hưng; Lưu Thị Hoài Thu; Hoàng Phương Vy</t>
  </si>
  <si>
    <t>HCPL2026-141.png</t>
  </si>
  <si>
    <t>HCPL2026-142</t>
  </si>
  <si>
    <t>Bảo đảm quyền tiếp cận công lý của trẻ em bị bạo lực ở một số quốc gia và kinh nghiệm cho Việt Nam</t>
  </si>
  <si>
    <t>Nông Thị Hương Giang; Hoàng Văn Minh; Nông Nguyễn Quỳnh Ly; Nguyễn Tuấn Anh</t>
  </si>
  <si>
    <t>HCPL2026-142.png</t>
  </si>
  <si>
    <t>HCPL2026-143</t>
  </si>
  <si>
    <t>Hoàn thiện quy định pháp luật về quản lý tài sản mã hoá ở Việt Nam: Kinh nghiệm quốc tế và bài học cho Việt Nam</t>
  </si>
  <si>
    <t>Hoàng Phương Duyên; Đinh Hữu Đăng Khoa; Phạm Lê Diệu Anh</t>
  </si>
  <si>
    <t>HCPL2026-143.png</t>
  </si>
  <si>
    <t>HCPL2026-144</t>
  </si>
  <si>
    <t>Phòng ngừa tội lừa đảo chiếm đoạt tài sản trên địa bàn Thành phố Hồ Chí Minh</t>
  </si>
  <si>
    <t>Phạm Trần Hiểu Lam; Tô Bảo Trâm; Nguyễn Thu Hậu; Dương Thị Huyền Trân; Nguyễn Phi Hùng</t>
  </si>
  <si>
    <t>HCPL2026-144.png</t>
  </si>
  <si>
    <t>HCPL2026-145</t>
  </si>
  <si>
    <t>Phòng, chống tội sản xuất, buôn bán hàng giả ở Việt Nam hiện nay</t>
  </si>
  <si>
    <t>Bùi Thị Nhật Linh; Đặng Ngọc Trâm; Nguyễn Trần Khánh Linh; Bùi Nguyễn Lê Thi</t>
  </si>
  <si>
    <t>HCPL2026-145.png</t>
  </si>
  <si>
    <t>HCPL2026-146</t>
  </si>
  <si>
    <t>Quyền được chết ở một số quốc gia trên thế giới và thực tiễn đặt ra cho Việt Nam</t>
  </si>
  <si>
    <t>Nguyễn Thị Xuân Nhi; Nguyễn Huỳnh Yến Nhi; Nguyễn Hoàng Xuân Phương; Đoàn Thị Ngọc Trân</t>
  </si>
  <si>
    <t>HCPL2026-146.png</t>
  </si>
  <si>
    <t>HCPL2026-147</t>
  </si>
  <si>
    <t>Hoàn thiện khung pháp lý phát triển năng lượng hydrogen xanh: Kinh nghiệm quốc tế và bài học cho Việt Nam</t>
  </si>
  <si>
    <t>Vũ Thị Hường; Nguyễn Thị Linh Nhi; Vũ Bảo Nhi; Nguyễn Thị Mai Linh</t>
  </si>
  <si>
    <t>HCPL2026-147.png</t>
  </si>
  <si>
    <t>HCPL2026-148</t>
  </si>
  <si>
    <t>Hoàn thiện pháp luật về truy xuất nguồn gốc hàng hóa nhằm đáp ứng tiêu chuẩn ESG trong hoạt động xuất khẩu của doanh nghiệp Việt Nam</t>
  </si>
  <si>
    <t>Nguyễn Thị Linh Nhi; Nguyễn Tú Linh; Nguyễn Thị Quỳnh Trang</t>
  </si>
  <si>
    <t>HCPL2026-148.png</t>
  </si>
  <si>
    <t>HCPL2026-149</t>
  </si>
  <si>
    <t>Tác động của nhận thức về Luật Bảo vệ dữ liệu cá nhân đến cảm nhận công bằng, tính hợp pháp và hành vi trao quyền riêng tư của người dùng tại Việt Nam</t>
  </si>
  <si>
    <t>Nguyễn Thị Ngọc Lan; Nguyễn Lan Anh; Thiều Gia Hân; Nguyễn Thị Thanh Trúc</t>
  </si>
  <si>
    <t>HCPL2026-149.png</t>
  </si>
  <si>
    <t>HCPL2026-150</t>
  </si>
  <si>
    <t>Bảo vệ thuyền viên trước rủi ro xung đột vũ trang trong hoạt động hàng hải: Thực tiễn các eo biển trọng yếu ở Trung đông và giải pháp pháp lý, mô hình cảnh báo rủi ro cho Việt Nam</t>
  </si>
  <si>
    <t>TẠ ĐỨC KHẢ; PHAN THỊ LIÊN; PHẠM HUỲNH LÀNH; LÂM HÀ KHANG; LÊ THỊ HUYỀN</t>
  </si>
  <si>
    <t>Trường Đại học Giao thông vận tải TPHCM</t>
  </si>
  <si>
    <t>HCPL2026-150.png</t>
  </si>
  <si>
    <t>HCPL2026-151</t>
  </si>
  <si>
    <t>Pháp luật về bảo vệ dữ liệu cá nhân trên không gian mạng tại Việt Nam - Thực trạng và kiến nghị</t>
  </si>
  <si>
    <t>Cao Công Đoàn; Nguyễn Thanh Tâm; Đỗ Trương Bảo Ngọc; Phạm Tường Vy; Vũ Quang Hiếu</t>
  </si>
  <si>
    <t>HCPL2026-151.png</t>
  </si>
  <si>
    <t>HCPL2026-152</t>
  </si>
  <si>
    <t>Xây dựng văn hóa tuân thủ pháp luật đáp ứng yêu cầu phát triển đất nước trong kỷ nguyên mới - Kinh nghiệm một số quốc gia và gợi mở cho Việt Nam</t>
  </si>
  <si>
    <t>Trần Thị Thanh Huyền; Đèo Thị Phương Nhung; Trương Vũ Khánh</t>
  </si>
  <si>
    <t>HCPL2026-152.png</t>
  </si>
  <si>
    <t>HCPL2026-153</t>
  </si>
  <si>
    <t>The legal framework of physician - assisted suicide (PAS): An analysis of permissive, discretionary and prohibitive regulatory models worldwide</t>
  </si>
  <si>
    <t>Hoàng Huyền Ngọc Diệp; Phạm Quỳnh Hương</t>
  </si>
  <si>
    <t>HCPL2026-153.png</t>
  </si>
  <si>
    <t>HCPL2026-154</t>
  </si>
  <si>
    <t>The Multidimensional Impact of Institutional Quality on Bilateral Services Trade: An empirical analysis</t>
  </si>
  <si>
    <t>Trần Võ Mạnh Tuấn; Nguyễn Hương Ly; Bùi Anh Khôi</t>
  </si>
  <si>
    <t>HCPL2026-154.png</t>
  </si>
  <si>
    <t>HCPL2026-155</t>
  </si>
  <si>
    <t>Impact of Minimum Wage by Zones on Real Average Wage in Vietnam (Tác động của mức lương tối thiểu theo vùng đến tiền lương bình quân thực tế tại Việt Nam)</t>
  </si>
  <si>
    <t>Nguyễn Ngọc Quỳnh Hương; Lưu Thành Trí; Phan Gia Hân; Nguyễn Thái Diễm Quỳnh; Võ Đoàn Phương Vy</t>
  </si>
  <si>
    <t>HCPL2026-155.png</t>
  </si>
  <si>
    <t>HCPL2026-156</t>
  </si>
  <si>
    <t>Hoàn thiện pháp luật về bảo vệ dữ liệu cá nhân trên không gian mạng tại Việt Nam.</t>
  </si>
  <si>
    <t>Đỗ Thị Lan Anh; Nguyễn Minh Thanh; Đào Mai Trang; Nguyễn Linh Ngân; Lê Thị Việt Trinh</t>
  </si>
  <si>
    <t>HCPL2026-156.png</t>
  </si>
  <si>
    <t>HCPL2026-157</t>
  </si>
  <si>
    <t>Xây dựng hình ảnh cá nhân trên không gian mạng và một số vấn đề đặt ra cho sinh viên Học viện Ngân hàng</t>
  </si>
  <si>
    <t>Nguyễn Bảo Hân; Lê Hà Giang; Nguyễn Thị Thuỳ Giang; Nguyễn Thị Hồng Hà</t>
  </si>
  <si>
    <t>HCPL2026-157.png</t>
  </si>
  <si>
    <t>HCPL2026-158</t>
  </si>
  <si>
    <t>Đề xuất hoàn thiện khung pháp luật về quản lý và sử dụng đất chợ theo mô hình phát triển đô thị định hướng giao thông công cộng (TOD) tại Việt Nam</t>
  </si>
  <si>
    <t>Nguyễn Hồng Nhi; Nguyễn Thị Ngọc Anh; Hoàng Bội Châu; Lê Thị Như Ngọc; Thái Thị Thùy Trang</t>
  </si>
  <si>
    <t>HCPL2026-158.png</t>
  </si>
  <si>
    <t>HCPL2026-159</t>
  </si>
  <si>
    <t>Thực hiện thủ tục hành chính trên Cổng Dịch vụ công Quốc gia cho người cao tuổi tại xã Gia Trấn, tỉnh Ninh Bình</t>
  </si>
  <si>
    <t>Nguyễn Thị Bích Quyên; Dương Thị Thùy Linh</t>
  </si>
  <si>
    <t>HCPL2026-159.png</t>
  </si>
  <si>
    <t>HCPL2026-160</t>
  </si>
  <si>
    <t>Quản lý nhà nước đối với làng nghề truyền thống dệt lụa Mã Châu tại xã Nam Phước, Thành phố Đà Nẵng</t>
  </si>
  <si>
    <t>Đoàn Văn Quốc; Vũ Ngô Thùy Linh; Nguyễn Thị Quỳnh Trang</t>
  </si>
  <si>
    <t>Phân hiệu Học viện Hành chính và Quản trị công TPHCM</t>
  </si>
  <si>
    <t>HCPL2026-160.png</t>
  </si>
  <si>
    <t>HCPL2026-161</t>
  </si>
  <si>
    <t>Năng lực của Bí thư Đoàn Thanh niên Cộng sản Hồ Chí Minh phường sau sắp xếp, tinh gọn bộ máy</t>
  </si>
  <si>
    <t>Nguyễn Phạm Yến Vy; Phan Gia Huy</t>
  </si>
  <si>
    <t>HCPL2026-161.png</t>
  </si>
  <si>
    <t>HCPL2026-162</t>
  </si>
  <si>
    <t>Pháp luật về quy hoạch không gian biển phát triển điện gió ngoài khơi gắn với bảo đảm quốc phòng, an ninh và an toàn hàng hải ở Việt Nam: Thực trạng và kiến nghị</t>
  </si>
  <si>
    <t>Nguyễn Trần Khánh Linh; Trần Thảo Linh; Nguyễn Thảo Nguyên ; Trần Mai Linh</t>
  </si>
  <si>
    <t>HCPL2026-162.png</t>
  </si>
  <si>
    <t>HCPL2026-163</t>
  </si>
  <si>
    <t>Truyền thông chính sách bảo tồn và phát huy văn hoá dân tộc Sán Chỉ ở tỉnh Quảng Ninh</t>
  </si>
  <si>
    <t>Nguyễn Duy Long; Nguyễn Ngọc Trâm; Nguyễn Thị Thu Lan; Lý Thị Lan; Cao Trà My</t>
  </si>
  <si>
    <t>HCPL2026-163.png</t>
  </si>
  <si>
    <t>HCPL2026-164</t>
  </si>
  <si>
    <t>Ứng dụng trí tuệ nhân tạo trong học tập của sinh viên tại Học viện Hành chính và Quản trị công</t>
  </si>
  <si>
    <t>Nguyễn Đình Khánh Linh; Nguyễn Mạnh Tân; Trần Thị Phương Anh; Vũ Thị Hồng Mai</t>
  </si>
  <si>
    <t>HCPL2026-164.png</t>
  </si>
  <si>
    <t>HCPL2026-165</t>
  </si>
  <si>
    <t>Sự hài lòng với dịch vụ hành chính công trực tuyến và niềm tin vào Chính phủ điện tử: Ảnh hưởng của chất lượng trải nghiệm của người dân Việt Nam</t>
  </si>
  <si>
    <t>Nguyễn Minh Ngọc; Nguyễn Kiều Trang; Đỗ Khánh Vân Anh; Trần Thị Minh Anh; Phạm Ngọc Đức</t>
  </si>
  <si>
    <t>Trường Đại học Kinh tế Quốc dân</t>
  </si>
  <si>
    <t>HCPL2026-165.png</t>
  </si>
  <si>
    <t>HCPL2026-166</t>
  </si>
  <si>
    <t>Pháp luật về bảo tồn và phát triển những giá trị di sản văn hóa, qua thực tiễn tại phố cổ Gia Hội – Chợ Dinh, Thành phố Huế</t>
  </si>
  <si>
    <t>Võ Như Huy, Nguyễn Văn Minh; Phạm Trần Bình Dương</t>
  </si>
  <si>
    <t>HCPL2026-166.png</t>
  </si>
  <si>
    <t>HCPL2026-167</t>
  </si>
  <si>
    <t>Quản trị công của chính quyền cấp xã từ thực tiễn tỉnh Hưng Yên</t>
  </si>
  <si>
    <t>Nguyễn Ngọc Anh; Đỗ Phan Đức Anh; Trần Dương Minh Hòa</t>
  </si>
  <si>
    <t>HCPL2026-167.png</t>
  </si>
  <si>
    <t>HCPL2026-168</t>
  </si>
  <si>
    <t>Giải pháp sắp xếp và khai thác hiệu quả không gian trụ sở hành chính sau sáp nhập tại phường Hải Dương - Thành phố Hải Phòng</t>
  </si>
  <si>
    <t>Lê Thu Huyền; Trần Thanh Ngân ; Nguyễn Trà Giang</t>
  </si>
  <si>
    <t>HCPL2026-168.png</t>
  </si>
  <si>
    <t>HCPL2026-169</t>
  </si>
  <si>
    <t>Quản lý nhà nước đối với các khu thương mại tự do – Kinh nghiệm của một số quốc gia và bài học cho Thành phố Hồ Chí Minh</t>
  </si>
  <si>
    <t>Võ Huỳnh Ngọc Hạnh</t>
  </si>
  <si>
    <t>HCPL2026-169.png</t>
  </si>
  <si>
    <t>HCPL2026-170</t>
  </si>
  <si>
    <t>Đánh giá các rào cản cho phát triển chung cư xanh tại các khu đô thị Việt Nam nhằm mục tiêu phát triển bền vững</t>
  </si>
  <si>
    <t>Nguyễn Thị Phương Liễu; Trần Thu Trang; Bùi Thị Nga; Tạ Hạnh Chi; Đỗ Mai Anh</t>
  </si>
  <si>
    <t>HCPL2026-170.png</t>
  </si>
  <si>
    <t>HCPL2026-171</t>
  </si>
  <si>
    <t>Chính sách phát triển mô hình kinh tế tầm thấp ở một số quốc gia và khuyến nghị cho Việt Nam</t>
  </si>
  <si>
    <t>Từ Ngọc Minh Tiến</t>
  </si>
  <si>
    <t>HCPL2026-171.png</t>
  </si>
  <si>
    <t>HCPL2026-172</t>
  </si>
  <si>
    <t>Nghiên Cứu Ứng Dụng AI Trong Quản Lý Nhà Ở Xã Hội Tại Hà Nội</t>
  </si>
  <si>
    <t>Trần Ngân Giang; Nguyễn Bảo Châu; Phạm Nhật Hảo; Trần Thị Phương Anh; Nguyễn Hương Giang</t>
  </si>
  <si>
    <t>HCPL2026-172.png</t>
  </si>
  <si>
    <t>HCPL2026-173</t>
  </si>
  <si>
    <t>Chính sách phát triển kinh tế biển xanh tại khu vực phía Đông Thành phố Hồ Chí Minh</t>
  </si>
  <si>
    <t>Trần Tiến</t>
  </si>
  <si>
    <t>HCPL2026-173.png</t>
  </si>
  <si>
    <t>HCPL2026-174</t>
  </si>
  <si>
    <t>CHẤP NHẬN CHÍNH PHỦ ĐIỆN TỬ TRONG BỐI CẢNH AI: VAI TRÒ CỦA NIỀM TIN VÀ NĂNG LỰC HIỂU BIẾT AI CỦA GEN Z TẠI TP.HCM</t>
  </si>
  <si>
    <t>HCPL2026-174.png</t>
  </si>
  <si>
    <t>HCPL2026-175</t>
  </si>
  <si>
    <t>Hoàn thiện pháp luật về chi tiêu công xanh: Kinh nghiệm quốc tế và bài học cho Việt Nam</t>
  </si>
  <si>
    <t>Phạm Bùi Vi Thảo; Lư Uyển My; Ngô Minh Hằng; Trần Ngọc Mai; Phan Duy Hoà</t>
  </si>
  <si>
    <t>HCPL2026-175.png</t>
  </si>
  <si>
    <t>HCPL2026-176</t>
  </si>
  <si>
    <t>Tác động của mô hình chính quyền địa phương hai cấp đến tăng trưởng kinh tế: Nghiên cứu thực nghiệm ở một số nước trên thế giới và hàm ý chính sách cho Việt Nam</t>
  </si>
  <si>
    <t>Nguyễn Phương Thảo; Lê Hương Giang; Đỗ Quang Hưng; Trần Khánh Linh ; Cao Việt Bách</t>
  </si>
  <si>
    <t>HCPL2026-176.png</t>
  </si>
  <si>
    <t>HCPL2026-177</t>
  </si>
  <si>
    <t>Phòng ngừa xã hội đối với tội phạm mua bán trái phép chất ma túy theo chức năng của Phòng Cảnh sát điều tra tội phạm về ma túy, Công an thành phố Hà Nội</t>
  </si>
  <si>
    <t>Vi Văn Men; Đặng Thúy Nga ; Lê Tiến Thành</t>
  </si>
  <si>
    <t>HCPL2026-177.png</t>
  </si>
  <si>
    <t>HCPL2026-178</t>
  </si>
  <si>
    <t>PHÁP LUẬT LIÊN MINH CHÂU ÂU VỀ YÊU CẦU MINH BẠCH THÔNG TIN MÔI TRƯỜNG TRONG CƠ CHẾ ĐIỀU CHỈNH BIÊN GIỚI CARBON - BÀI HỌC CHO VIỆT NAM</t>
  </si>
  <si>
    <t>Trần Đạt; Nguyễn Huỳnh Thuỳ Trang; Võ Hùng Quyến; Đinh Khắc Hoàng Tiến</t>
  </si>
  <si>
    <t>HCPL2026-178.png</t>
  </si>
  <si>
    <t>HCPL2026-179</t>
  </si>
  <si>
    <t>Quyền được tiếp cận nước sạch dưới góc độ pháp luật quốc tế và pháp luật Việt Nam.</t>
  </si>
  <si>
    <t>Lương Thị Tâm; Nguyễn Thị Thư</t>
  </si>
  <si>
    <t>HCPL2026-179.png</t>
  </si>
  <si>
    <t>HCPL2026-180</t>
  </si>
  <si>
    <t>Quy chế pháp lý của các thiết bị không người lái trên biển: Từ Công ước của Liên Hợp Quốc về Luật Biển 1982 (UNCLOS) đến những phát triển gần đây của luật pháp quốc tế.</t>
  </si>
  <si>
    <t>Nguyễn Phạm Thảo Anh; Nguyễn Linh Phương; Nguyễn Ngọc Anh Thư</t>
  </si>
  <si>
    <t>HCPL2026-180.png</t>
  </si>
  <si>
    <t>HCPL2026-181</t>
  </si>
  <si>
    <t>Trách nhiệm pháp lý của doanh nghiệp đối với quyền trẻ em trên không gian số: Nghiên cứu trường hợp vi phạm của Meta và định hướng hoàn thiện pháp luật Việt Nam</t>
  </si>
  <si>
    <t>Trần Tú Minh; Trần Phan Minh Hương</t>
  </si>
  <si>
    <t>HCPL2026-181.png</t>
  </si>
  <si>
    <t>HCPL2026-182</t>
  </si>
  <si>
    <t>Cam kết lưu chuyển dữ liệu xuyên biên giới trong DEFA: Đánh giá mức độ tương thích và khuyến nghị hoàn thiện pháp luật Việt Nam</t>
  </si>
  <si>
    <t>Lê Diệu Thảo; Bùi Hoàng Minh Thư; Vũ Thị Vi Hoa</t>
  </si>
  <si>
    <t>HCPL2026-182.png</t>
  </si>
  <si>
    <t>HCPL2026-183</t>
  </si>
  <si>
    <t>BẢO VỆ QUYỀN LỢI CỦA NGƯỜI LÀM VIỆC QUA NỀN TẢNG SỐ TRONG LĨNH VỰC VẬN TẢI: KINH NGHIỆM QUỐC TẾ VÀ KIẾN NGHỊ CHO VIỆT NAM.</t>
  </si>
  <si>
    <t>Đỗ Thị Yến Vi; Trần Nguyễn Ngọc Mỹ Quyên; Vũ Thị Thu Huyền</t>
  </si>
  <si>
    <t>HCPL2026-183.png</t>
  </si>
  <si>
    <t>HCPL2026-184</t>
  </si>
  <si>
    <t>Pháp luật về chuyển dữ liệu cá nhân nhạy cảm xuyên biên giới</t>
  </si>
  <si>
    <t>Nguyễn Thanh Đức Trí; Trần Hồ Như Quỳnh; Đinh Thị Thảo Ly</t>
  </si>
  <si>
    <t>HCPL2026-184.png</t>
  </si>
  <si>
    <t>HCPL2026-185</t>
  </si>
  <si>
    <t>Đề xuất khung pháp lý kinh tế tuần hoàn, thực tiễn từ Singapore và kinh nghiệm cho Việt Nam</t>
  </si>
  <si>
    <t>Lê Khánh Linh</t>
  </si>
  <si>
    <t>HCPL2026-185.png</t>
  </si>
  <si>
    <t>HCPL2026-186</t>
  </si>
  <si>
    <t>Non Fungible Token (NFT) - Những vấn đề pháp lý đặt ra dưới góc nhìn Tư pháp quốc tế</t>
  </si>
  <si>
    <t>Nguyễn Thanh Nga; Nguyễn Thảo Nhi; Nguyễn Ngọc Huyền</t>
  </si>
  <si>
    <t>HCPL2026-186.png</t>
  </si>
  <si>
    <t>HCPL2026-187</t>
  </si>
  <si>
    <t>Chính sách thu hút đầu tư trực tiếp nước ngoài của Việt Nam để thích ứng với cam kết về mức thuế tối thiểu toàn cầu - Một số khuyến nghị</t>
  </si>
  <si>
    <t>Hoàng Thị Phương Hoa; Ngụy Thu Hoài ; Hà Kim Huệ ; Lê Thị Thanh Huyền; Phạm Thanh Huyền</t>
  </si>
  <si>
    <t>HCPL2026-187.png</t>
  </si>
  <si>
    <t>HCPL2026-188</t>
  </si>
  <si>
    <t>THE REQUIREMENT FOR THE CRYPTO-ASSET OFFER TO THE PUBLIC: A STUDY ON MiCA REGULATIONS AND RECOMMENDATIONS FOR VIETNAM</t>
  </si>
  <si>
    <t>Nguyễn Ngọc Quỳnh Anh; Dương Nguyên Ngọc; Phạm Quỳnh Mi; Huỳnh Phan Như Ngọc</t>
  </si>
  <si>
    <t>HCPL2026-188.png</t>
  </si>
  <si>
    <t>HCPL2026-189</t>
  </si>
  <si>
    <t>Pháp luật về lò phản ứng hạt nhân mô-đun nhỏ – Kinh nghiệm từ Hoa Kỳ, Canada và kiến nghị cho Việt Nam</t>
  </si>
  <si>
    <t>Nguyễn Vũ Thiên Ân; Trương Đình Thế Anh</t>
  </si>
  <si>
    <t>HCPL2026-189.png</t>
  </si>
  <si>
    <t>HCPL2026-190</t>
  </si>
  <si>
    <t>LEGAL FRAMEWORK GOVERNING ACCOUNT SHARING: A COMPARATIVE STUDY OF THE EU AND INDONESIA AND RECOMMENDATIONS FOR VIETNAM</t>
  </si>
  <si>
    <t>Trần Thị Xuân Mai; Lê Giang Hồng Minh; Nhâm Bảo Trân; Nguyễn Phương Kim Ngân</t>
  </si>
  <si>
    <t>HCPL2026-190.png</t>
  </si>
  <si>
    <t>HCPL2026-191</t>
  </si>
  <si>
    <t>Interpreting “goods lost or damaged” concerning delay-related economic loss in Article IV Rule 5(a) of Hague-Visby Rules: Comparative perspectives and remarks for Vietnam</t>
  </si>
  <si>
    <t>Trần Võ Hưng Phú; Nguyễn Hoàng Nghi; Trần Phúc Sang; Nguyễn Khắc Bình; Nguyễn Thành Vinh</t>
  </si>
  <si>
    <t>HCPL2026-191.png</t>
  </si>
  <si>
    <t>HCPL2026-192</t>
  </si>
  <si>
    <t>Tác động của chứng nhận Halal đến kim ngạch xuất khẩu thủy sản Việt Nam: Bằng chứng thực nghiệm của các quốc gia Trung Đông</t>
  </si>
  <si>
    <t>Nguyễn Trọng Hoàn; Nguyễn Khánh Linh; Nguyễn Hoàng Diệu Anh</t>
  </si>
  <si>
    <t>HCPL2026-192.png</t>
  </si>
  <si>
    <t>HCPL2026-193</t>
  </si>
  <si>
    <t>Tác động của EUDR và EVFTA đối với xuất khẩu cà phê Việt Nam: thách thức và định hướng bền vững</t>
  </si>
  <si>
    <t>Trần Thị Phương Linh; Bùi Huỳnh Bích Ngọc; Lê Nhật Phương Mai; Nguyễn Nguyễn; Huỳnh Thị Thi Thảo</t>
  </si>
  <si>
    <t>HCPL2026-193.png</t>
  </si>
  <si>
    <t>KHGD2026-001</t>
  </si>
  <si>
    <t>Khoa học giáo dục</t>
  </si>
  <si>
    <t>A corpus-based analysis of the naturalness of lexical collocations in the "Global Success" high school English textbooks</t>
  </si>
  <si>
    <t>Võ Phương Quỳnh; Phạm Minh Ngọc</t>
  </si>
  <si>
    <t>KHGD2026-001.png</t>
  </si>
  <si>
    <t>KHGD2026-002</t>
  </si>
  <si>
    <t>Thiết kế bộ sách vải tương tác phát triển tư duy khoa học cho trẻ mầm non</t>
  </si>
  <si>
    <t>Giáp Thùy Trang; Chung Diệp Anh; Vũ Hà Thu</t>
  </si>
  <si>
    <t>KHGD2026-002.png</t>
  </si>
  <si>
    <t>KHGD2026-003</t>
  </si>
  <si>
    <t>Thiết kế sách điện tử tương tác theo chủ đề cho trẻ mầm non</t>
  </si>
  <si>
    <t>Dương Hoài Thương; Trương Thu Huyền; Bùi Thị Thanh Thảo</t>
  </si>
  <si>
    <t>KHGD2026-003.png</t>
  </si>
  <si>
    <t>KHGD2026-004</t>
  </si>
  <si>
    <t>Thiết kế và tổ chức hoạt động trải nghiệm giáo dục biển đảo trong dạy học môn Lịch sử và Địa lí lớp 8 theo định hướng phát triển năng lực.</t>
  </si>
  <si>
    <t>Nguyễn Thị Thu Hiền; Trần Quang Khiêm; Nguyễn Thị Ngọc Quyên; Huỳnh Thị Cẩm Tiên; Mai Thị Hồng Phấn</t>
  </si>
  <si>
    <t>KHGD2026-004.png</t>
  </si>
  <si>
    <t>KHGD2026-005</t>
  </si>
  <si>
    <t>Hiệu quả của ChatGPT trong việc hỗ trợ tự học cho sinh viên Trường Đại Học Nghệ An</t>
  </si>
  <si>
    <t>Nguyễn Thúy Hiền; Phạm Hồng Quân</t>
  </si>
  <si>
    <t>KHGD2026-005.png</t>
  </si>
  <si>
    <t>KHGD2026-006</t>
  </si>
  <si>
    <t>Nâng cao kỹ năng tự học của sinh viên Trường Đại học Nghệ An trong bối cảnh chuyển đổi số</t>
  </si>
  <si>
    <t>Nguyễn Thị Ngọc Luyến; Trần Quang Nhật</t>
  </si>
  <si>
    <t>KHGD2026-006.png</t>
  </si>
  <si>
    <t>KHGD2026-007</t>
  </si>
  <si>
    <t>Phát triển hứng thú học tập môn toán thông qua mô hình “Giờ học đảo ngược”: Vai trò trung gian của các nhu cầu tâm lý cơ bản</t>
  </si>
  <si>
    <t>Đỗ Thùy Linh; Nguyễn Thu Minh; Đặng Thị Nga; Đoàn Kim Thu</t>
  </si>
  <si>
    <t>KHGD2026-007.png</t>
  </si>
  <si>
    <t>KHGD2026-008</t>
  </si>
  <si>
    <t>LỖI SỬ DỤNG TRỢ TỪ TRONG BÀI VIẾT TIẾNG HÀN CỦA SINH VIÊN NĂM NHẤT NGÀNH HÀN QUỐC HỌC: KHO NGỮ LIỆU CÓ GÁN NHÃN VÀ BỘ BÀI TẬP LUYỆN THEO KIỂU LỖI</t>
  </si>
  <si>
    <t>Nguyễn Thị Huyền Trân</t>
  </si>
  <si>
    <t>KHGD2026-008.png</t>
  </si>
  <si>
    <t>KHGD2026-009</t>
  </si>
  <si>
    <t>Thiết kế trò chơi vận động từ nguyên vật liệu mở nhằm phát huy tính tích cực vận động cho trẻ mẫu giáo 5 – 6 tuổi.</t>
  </si>
  <si>
    <t>Lê Thị Kim Ngân; Nguyễn Thị Kim Ngân; Lý Cao Hoài Thu; Lê Thị Thanh Trúc</t>
  </si>
  <si>
    <t>Trường Cao đẳng Sư phạm Trung ương TP. Hồ Chí Minh</t>
  </si>
  <si>
    <t>KHGD2026-009.png</t>
  </si>
  <si>
    <t>KHGD2026-010</t>
  </si>
  <si>
    <t>Thiết kế trò chơi kể sáng tạo truyện cổ tích thần kỳ trên máy tính cho trẻ mẫu giáo 5 - 6 tuổi.</t>
  </si>
  <si>
    <t>Lương Ngọc Phương; Đặng Tiểu Linh Chi</t>
  </si>
  <si>
    <t>KHGD2026-010.png</t>
  </si>
  <si>
    <t>KHGD2026-011</t>
  </si>
  <si>
    <t>Ảnh hưởng của cố vấn học tập đến nhận thức về khả năng nghề nghiệp của sinh viên sau khi tốt nghiệp</t>
  </si>
  <si>
    <t>Trần Thị Ngọc Dung; Đặng Thị Cẫm Ly; Trịnh Gia Minh</t>
  </si>
  <si>
    <t>KHGD2026-011.png</t>
  </si>
  <si>
    <t>KHGD2026-012</t>
  </si>
  <si>
    <t>Ảnh hưởng của phim ảnh Trung Quốc đối với động lực học tiếng Trung của sinh viên chuyên ngành Ngôn ngữ Trung Quốc tại Thành phố Hồ Chí Minh</t>
  </si>
  <si>
    <t>Đặng Kim Long</t>
  </si>
  <si>
    <t>KHGD2026-012.png</t>
  </si>
  <si>
    <t>KHGD2026-013</t>
  </si>
  <si>
    <t>XÂY DỰNG VÀ SỬ DỤNG “HỒ SƠ DANH NHÂN VĂN HÓA VIỆT NAM ĐƯỢC UNESCO VINH DANH” PHỤC VỤ GIÁO DỤC PHỔ THÔNG THỜI KÌ CHUYỂN ĐỔI SỐ</t>
  </si>
  <si>
    <t>Nguyễn Phan Minh Hiển; Phan Phước Hoàn; Trần Thị Hồng Ánh; Đậu Đình Nguyên; Phan Nguyễn Thùy An</t>
  </si>
  <si>
    <t>KHGD2026-013.png</t>
  </si>
  <si>
    <t>KHGD2026-014</t>
  </si>
  <si>
    <t>Xây dựng bộ học liệu số về thiên nhiên và môi trường thành phố Đà Nẵng tích hợp trong dạy học chủ đề “ Vật sống” – môn khoa học tự nhiên lớp 8</t>
  </si>
  <si>
    <t>Nguyễn Hồ Anh Tiên; Nguyễn Ngọc Thanh Huyền; Phạm Trần Ái Ly; Nguyễn Thị Mẫn; Phạm Thị Thảo</t>
  </si>
  <si>
    <t>KHGD2026-014.png</t>
  </si>
  <si>
    <t>KHGD2026-015</t>
  </si>
  <si>
    <t>Ứng dụng AI trong thiết kế mô hình “Trợ lý học tập ảo” nhằm phát triển năng lực giải quyết vấn đề toán học cho học sinh lớp 5</t>
  </si>
  <si>
    <t>Phan Thị Thuý Diễm; Dương Hoàng Lan Nhi; Bùi Thị Minh Thư</t>
  </si>
  <si>
    <t>KHGD2026-015.png</t>
  </si>
  <si>
    <t>KHGD2026-016</t>
  </si>
  <si>
    <t>Ứng dụng AI vào thiết kế video câu chuyện giáo dục cảm xúc - xã hội cho trẻ mẫu giáo 3-4 tuổi.</t>
  </si>
  <si>
    <t>Trần Thuỳ Duyên; Cao Hoàng Diệu Linh; Trần Thị Nhật Ly; Lương Thảo Ly</t>
  </si>
  <si>
    <t>KHGD2026-016.png</t>
  </si>
  <si>
    <t>KHGD2026-017</t>
  </si>
  <si>
    <t>Vận dụng AI thiết kế hoạt động trải nghiệm nhằm giáo dục tài chính cho học sinh lớp 4</t>
  </si>
  <si>
    <t>Nguyễn Thị Ngọc Ánh; Nguyễn Thuý Huyền; Dương Thị Cẩm Chi; Nguyễn Thị Thương; Nguyễn Văn Sáng</t>
  </si>
  <si>
    <t>KHGD2026-017.png</t>
  </si>
  <si>
    <t>KHGD2026-018</t>
  </si>
  <si>
    <t>Ứng dụng AI thiết kế từ điển mini từ láy tiếng Việt cho học sinh lớp 4, 5.</t>
  </si>
  <si>
    <t>Bùi Thị Tuyết Mai; Đinh Thị Thanh; Nguyễn Khánh Linh; Nguyễn Thị Thanh Tiên; Nguyễn Khắc Sáng</t>
  </si>
  <si>
    <t>KHGD2026-018.png</t>
  </si>
  <si>
    <t>KHGD2026-019</t>
  </si>
  <si>
    <t>Ứng dụng công nghệ thực tế ảo (VR – Virtual Reality) mô phỏng bối cảnh thiên nhiên để giáo dục môi trường cho trẻ 5-6 tuổi thông qua hoạt động trải nghiệm ở trường Mầm non Khánh An – Đà Nẵng</t>
  </si>
  <si>
    <t>Võ Thị Thu Thuỳ; Trần Thị Bích Trâm; Dương Thị Hồng Hợp; Trần Nguyễn Yến Nhi</t>
  </si>
  <si>
    <t>KHGD2026-019.png</t>
  </si>
  <si>
    <t>KHGD2026-020</t>
  </si>
  <si>
    <t>Exploring the impact of the academic environment on the critical thinking development of English-major students at universities in Hanoi</t>
  </si>
  <si>
    <t>Nguyễn Thị Thanh Trà; Nguyễn Ngọc Anh; Trần Trúc Anh</t>
  </si>
  <si>
    <t>KHGD2026-020.png</t>
  </si>
  <si>
    <t>KHGD2026-021</t>
  </si>
  <si>
    <t>XÂY DỰNG HỌC LIỆU SỐ HỖ TRỢ DẠY HỌC CHỦ ĐỀ NĂNG LƯỢNG LỚP 4</t>
  </si>
  <si>
    <t>PHẠM LÝ NGÂN</t>
  </si>
  <si>
    <t>KHGD2026-021.png</t>
  </si>
  <si>
    <t>KHGD2026-022</t>
  </si>
  <si>
    <t>CÁ NHÂN HÓA TRẢI NGHIỆM HỌC TẬP TRONG BỐI CẢNH ỨNG DỤNG HỆ THỐNG HỌC TẬP THÍCH ỨNG: VAI TRÒ ĐIỀU TIẾT CỦA ĐỘNG LỰC NỘI SINH VÀ MỆT MỎI QUYẾT ĐỊNH</t>
  </si>
  <si>
    <t>Phạm Đức Minh; Nguyễn Thành Trung</t>
  </si>
  <si>
    <t>KHGD2026-022.png</t>
  </si>
  <si>
    <t>KHGD2026-023</t>
  </si>
  <si>
    <t>Thiết kế học liệu đa phương tiện hỗ trợ phát triển năng lực đọc cho học sinh lớp 1 dân tộc Dao Thanh Phán tại xã Ba Chẽ, thành phố Quảng Ninh</t>
  </si>
  <si>
    <t>Nguyễn Phương Uyên; Triệu Thùy Vân; Nguyễn Thủy Ngân; Nguyễn Thị Ngọc; Phạm Châu Anh</t>
  </si>
  <si>
    <t>Trường Đại học Hạ Long</t>
  </si>
  <si>
    <t>KHGD2026-023.png</t>
  </si>
  <si>
    <t>KHGD2026-024</t>
  </si>
  <si>
    <t>THE IMPACT OF ARTIFICIAL INTELLIGENCE USE IN LEARNING ON VIETNAMESE UNIVERSITY STUDENTS’ LEARNING</t>
  </si>
  <si>
    <t>Lê Đỗ Trà My; Nguyễn Thị Ngọc Lụa; Nguyễn Trần Thu Ngân; Nguyễn Hồ Tuyết Ngân</t>
  </si>
  <si>
    <t>KHGD2026-024.png</t>
  </si>
  <si>
    <t>KHGD2026-025</t>
  </si>
  <si>
    <t>Learning Through the Feed</t>
  </si>
  <si>
    <t>Trần Tường Khang</t>
  </si>
  <si>
    <t>KHGD2026-025.png</t>
  </si>
  <si>
    <t>KHGD2026-026</t>
  </si>
  <si>
    <t>Ứng dụng khung năng lực số Digcom để xây dựng mô hình phát triển miền năng lực an toàn số cho sinh viên trường Đại học Hùng Vương</t>
  </si>
  <si>
    <t>Nguyễn Thị Thanh Xuân; Lý Thu Thùy; Phạm Yến Nhi; Phùng Hoài Giang</t>
  </si>
  <si>
    <t>Trường Đại học Hùng Vương (Phú Thọ)</t>
  </si>
  <si>
    <t>KHGD2026-026.png</t>
  </si>
  <si>
    <t>KHGD2026-027</t>
  </si>
  <si>
    <t>Exploring Non-English-Majored students’ English-speaking anxiety at Hanoi Law University</t>
  </si>
  <si>
    <t>Ninh Thị An Thư; Nguyễn Lâm Khoa; Bùi Ngọc Minh</t>
  </si>
  <si>
    <t>KHGD2026-027.png</t>
  </si>
  <si>
    <t>KHGD2026-028</t>
  </si>
  <si>
    <t>Dạy học phân hóa chủ đề phân số môn Toán lớp 4 với sự hỗ trợ của GEN AI</t>
  </si>
  <si>
    <t>Bùi Lan Hương; Bùi Ngọc Bích Hà: Tạ Thị Hải Diệu; Nguyễn Mạnh Dung; Giang Mỹ Hoa</t>
  </si>
  <si>
    <t>KHGD2026-028.png</t>
  </si>
  <si>
    <t>KHGD2026-029</t>
  </si>
  <si>
    <t>Ảnh hưởng của kĩ năng quản lý thời gian đến kết quả học tập của sinh viên ngành kế toán trường Đại học Hùng Vương</t>
  </si>
  <si>
    <t>Nguyễn Thị Thu Hà; Nguyễn Thị Diệu Linh; Ngô Thị Phương Thảo; Nguyễn Thái Quang</t>
  </si>
  <si>
    <t>KHGD2026-029.png</t>
  </si>
  <si>
    <t>KHGD2026-030</t>
  </si>
  <si>
    <t>Nghiên cứu tổng hợp (Meta analysis) và thẩm định mô hình cấu trúc (SEM) về ảnh hưởng của một số xu hướng giáo dục Toán học hiện đại đến kết quả học tập của người học</t>
  </si>
  <si>
    <t>Trần Vũ Hiền Linh; Nguyễn Thu An; Nguyễn Phương Quỳnh; Nguyễn Minh Tú</t>
  </si>
  <si>
    <t>KHGD2026-030.png</t>
  </si>
  <si>
    <t>KHGD2026-031</t>
  </si>
  <si>
    <t>Khó khăn trong việc học kỹ năng viết học phần 2 của sinh viên ngành Ngôn Ngữ Anh tại trường Đại học Luật Hà Nội</t>
  </si>
  <si>
    <t>Đinh Ngọc Huy Hoàng; Đinh Thị Minh Hiền; Trần Vũ Khánh Hiền</t>
  </si>
  <si>
    <t>KHGD2026-031.png</t>
  </si>
  <si>
    <t>KHGD2026-032</t>
  </si>
  <si>
    <t>Nghiên cứu phát triển hệ thống dự báo sớm kết quả học tập và khuyến nghị học tập cá nhân hóa dựa trên mô hình trí tuệ nhân tạo lai và neutrosophy</t>
  </si>
  <si>
    <t>Phùng Thanh Huyền; Nguyễn Hồng Hoa; Hoàng Thị Thu Trang</t>
  </si>
  <si>
    <t>KHGD2026-032.png</t>
  </si>
  <si>
    <t>KHGD2026-033</t>
  </si>
  <si>
    <t>Ứng dụng công cụ Virtual Writing Tutor trong việc nâng cao kỹ năng viết thư tiếng Anh cho sinh viên năm thứ hai ngành Ngôn ngữ Anh, Trường Đại học Hồng Đức</t>
  </si>
  <si>
    <t>Nguyễn Quỳnh Mai; Lại Thuỳ Dương; Lương Hà Tâm; Phạm Mai Trang</t>
  </si>
  <si>
    <t>KHGD2026-033.png</t>
  </si>
  <si>
    <t>KHGD2026-034</t>
  </si>
  <si>
    <t>Challenges in Applying Guided Extensive Reading in English Vocabulary Acquisition among English- Majored Students at Hanoi Law University</t>
  </si>
  <si>
    <t>Nguyễn Hà Anh; Nguyễn Khánh Huyền</t>
  </si>
  <si>
    <t>KHGD2026-034.png</t>
  </si>
  <si>
    <t>KHGD2026-035</t>
  </si>
  <si>
    <t>Đánh giá mức độ cải thiện khả năng tiếng Anh của sinh viên đại học Việt Nam thông qua phương pháp học tập tích hợp TikTok-ChatGPT: Bằng chứng từ Hà Nội, Đà Nẵng, và thành phố Hồ Chí Minh</t>
  </si>
  <si>
    <t>Nguyễn Phúc Phương Uyên; Huỳnh Phan Kiên; Nguyễn Thị Tú Anh</t>
  </si>
  <si>
    <t>KHGD2026-035.png</t>
  </si>
  <si>
    <t>KHGD2026-036</t>
  </si>
  <si>
    <t>TÍCH HỢP MANIM VÀ BRISK TEACHING TRONG DẠY HỌC ỨNG DỤNG TÍCH PHÂN Ở LỚP 12</t>
  </si>
  <si>
    <t>Ung Nguyễn Thanh Nguyên</t>
  </si>
  <si>
    <t>KHGD2026-036.png</t>
  </si>
  <si>
    <t>KHGD2026-037</t>
  </si>
  <si>
    <t>Học tập trải nghiệm và tham gia nghiên cứu trong phát triển năng lực và hành vi tài chính của sinh viên đại học Việt Nam: Tiếp cận tích hợp TPB và COM-B.</t>
  </si>
  <si>
    <t>Lê Minh Quân; Trần Quốc Khánh; Phan Nữ Thái Châu</t>
  </si>
  <si>
    <t>KHGD2026-037.png</t>
  </si>
  <si>
    <t>KHGD2026-038</t>
  </si>
  <si>
    <t>Ứng dụng trí tuệ nhân tạo thiết kế trò chơi giáo dục môi trường cho trẻ 5-6 tuổi ở trường mầm non</t>
  </si>
  <si>
    <t>Hoàng Diệu Linh; Vũ Ngọc Linh</t>
  </si>
  <si>
    <t>KHGD2026-038.png</t>
  </si>
  <si>
    <t>KHGD2026-039</t>
  </si>
  <si>
    <t>SỬ DỤNG PHƯƠNG PHÁP SÂN KHẤU HÓA TRONG DẠY HỌC LỊCH SỬ Ở TRƯỜNG TRUNG HỌC PHỔ THÔNG (THỰC NGHIỆM TẠI MỘT SỐ TRƯỜNG TRÊN ĐỊA BÀN THÀNH PHỐ HỒ CHÍ MINH)</t>
  </si>
  <si>
    <t>Dương Ánh Ngọc</t>
  </si>
  <si>
    <t>KHGD2026-039.png</t>
  </si>
  <si>
    <t>KHGD2026-040</t>
  </si>
  <si>
    <t>ỨNG DỤNG AI TRONG DẠY HỌC HOẠT ĐỘNG THỰC HÀNH VÀ TRẢI NGHIỆM CHỦ ĐỀ QUẢN LÝ TÀI CHÍNH CÁ NHÂN Ở LỚP 8</t>
  </si>
  <si>
    <t>Nguyễn Thanh Phong; Lương Minh Trí</t>
  </si>
  <si>
    <t>KHGD2026-040.png</t>
  </si>
  <si>
    <t>KHGD2026-041</t>
  </si>
  <si>
    <t>Năng lực học tập tự chủ của sinh viên năm thứ nhất trong bối cảnh chuyển đổi số: Thực trạng và giải pháp tại một số trường đại học ở Hà Nội</t>
  </si>
  <si>
    <t>Nguyễn Thị Ngọc Ánh; Nguyễn Thị Ngọc Huyền; Đào Mai Chi</t>
  </si>
  <si>
    <t>KHGD2026-041.png</t>
  </si>
  <si>
    <t>KHGD2026-042</t>
  </si>
  <si>
    <t>ÁP DỤNG CÁC PHƯƠNG PHÁP DỊCH THUẬT TRONG VIỆC HỌC TIẾNG ANH PHÁP LÝ CƠ BẢN CHO SINH VIÊN NGÀNH NGÔN NGỮ ANH - NGHIÊN CỨU ĐIỂN HÌNH TẠI TRƯỜNG ĐẠI HỌC LUẬT HÀ NỘI</t>
  </si>
  <si>
    <t>Tạ Khánh Linh; Nguyễn Phương Anh; Nguyễn Minh Anh</t>
  </si>
  <si>
    <t>KHGD2026-042.png</t>
  </si>
  <si>
    <t>KHGD2026-043</t>
  </si>
  <si>
    <t>Khảo sát thói quen đọc sách của học sinh lớp 3 tại các trường tiểu học ở xã Hòa Bình, tỉnh Cà Mau</t>
  </si>
  <si>
    <t>Trần Tú Như; Cái Thị Anh Thư</t>
  </si>
  <si>
    <t>KHGD2026-043.png</t>
  </si>
  <si>
    <t>KHGD2026-044</t>
  </si>
  <si>
    <t>Các yếu tố ảnh hưởng đến việc sử dụng trí tuệ nhân tạo tạo sinh trong học tập của sinh viên ngành logistics tại Việt Nam: Hàm ý xây dựng mô hình giáo dục thông minh</t>
  </si>
  <si>
    <t>Nguyễn Đình Vũ Hoàng; Đào Thiện Nhân</t>
  </si>
  <si>
    <t>KHGD2026-044.png</t>
  </si>
  <si>
    <t>KHGD2026-045</t>
  </si>
  <si>
    <t>CÁC YẾU TỐ ẢNH HƯỞNG ĐẾN Ý ĐỊNH HỌC TẬP TRỰC TUYẾN TRONG LĨNH VỰC GIÁO DỤC CHÍNH TRỊ, TƯ TƯỞNG CỦA CÁC TRƯỜNG ĐẠI HỌC CÔNG LẬP TRÊN ĐỊA BÀN TP. HỒ CHÍ MINH</t>
  </si>
  <si>
    <t>Nguyễn Thị Hiền; Trần Bảo Diệp; Lê Minh Hưng; Nguyễn Trần Tố Nga; Hoàng Nguyễn Thảo Vy</t>
  </si>
  <si>
    <t>KHGD2026-045.png</t>
  </si>
  <si>
    <t>KHGD2026-046</t>
  </si>
  <si>
    <t>Ứng dụng phần mềm Scratch cho mô hình giáo dục STEM trong dạy học chủ đề “Hình khối trong thực tiễn” – Toán 7</t>
  </si>
  <si>
    <t>Nguyễn Thị Thảo; Phạm Thị Bích Ngọc</t>
  </si>
  <si>
    <t>Trường Đại học Giáo dục, ĐHQG Hà Nội</t>
  </si>
  <si>
    <t>KHGD2026-046.png</t>
  </si>
  <si>
    <t>KHGD2026-047</t>
  </si>
  <si>
    <t>Xây dựng bộ giáo cụ tích hợp đa giác quan chủ đề “Thực vật và Động vật” để dạy học môn Tự nhiên và Xã hội, Khoa học ở tiểu học.</t>
  </si>
  <si>
    <t>Nguyễn Thị Hồng Linh; Trương Thị Thảo; Nguyễn Thị Lan Anh; Trần Thành Luân; Nguyễn Minh Tuấn</t>
  </si>
  <si>
    <t>KHGD2026-047.png</t>
  </si>
  <si>
    <t>KHGD2026-048</t>
  </si>
  <si>
    <t>Xây dựng ứng dụng hỗ trợ ôn tập các học phần tiếng Trung cho sinh viên tại các cơ sở giáo dục, trường đại học đào tạo ngành ngôn ngữ Trung Quốc</t>
  </si>
  <si>
    <t>Đinh Hà Vi; Võ Đình Hoàng Yến; Đoàn Ngọc Mỹ Diệu; Trần Thị Hồng Vui; Tạ Nhật Nguyên</t>
  </si>
  <si>
    <t>KHGD2026-048.png</t>
  </si>
  <si>
    <t>KHGD2026-049</t>
  </si>
  <si>
    <t>Các nhân tố tác động đến hiệu quả sử dụng trí tuệ nhân tạo trong học tập các môn chuyên ngành bằng tiếng anh của sinh viên đại học</t>
  </si>
  <si>
    <t>Nguyễn Quang Minh; Vũ Thanh Vân; Trần Phương Anh; Lưu Thị Hồng Nhung</t>
  </si>
  <si>
    <t>KHGD2026-049.png</t>
  </si>
  <si>
    <t>KHGD2026-050</t>
  </si>
  <si>
    <t>Fostering social justice awareness in Legal English learning through educational films: A mixed-methods study.</t>
  </si>
  <si>
    <t>Trần Ngọc Oanh; Văn Thụy Khanh; Lê Minh Khang; Trần Quang Anh</t>
  </si>
  <si>
    <t>KHGD2026-050.png</t>
  </si>
  <si>
    <t>KHGD2026-051</t>
  </si>
  <si>
    <t>BOARD GAME “THOÁT BẪY”: MỘT GIẢI PHÁP GIÁO DỤC NHẬN THỨC VÀ KỸ NĂNG PHÒNG, CHỐNG MUA BÁN NGƯỜI DÀNH CHO SINH VIÊN</t>
  </si>
  <si>
    <t>Lê Phương Thảo; Trần Ngọc An; Phạm Hữu Phước; Trần Yến Nhi</t>
  </si>
  <si>
    <t>KHGD2026-051.png</t>
  </si>
  <si>
    <t>KHGD2026-052</t>
  </si>
  <si>
    <t>Phát triển tư duy thiết kế của học sinh thông qua các chủ đề STEM thông minh theo hình thức câu lạc bộ phần “Dòng điện, mạch điện” – Vật lí 11</t>
  </si>
  <si>
    <t>Võ Ngọc Mai Thy; Trần Huỳnh Mỹ Thuận; Lê Quốc Anh; Nguyễn Phước Diệu Hiền; Trần Quang Huy</t>
  </si>
  <si>
    <t>KHGD2026-052.png</t>
  </si>
  <si>
    <t>KHGD2026-053</t>
  </si>
  <si>
    <t>PRODUCTIVITY TODAY COLLABORATION TOMORROW: PROSPECTIVE ASSOCIATIONS BETWEEN GENAI INTEGRATION PATTERNS AND TEAMWORK SKILL DEVELOPMENT AMONG UNIVERSITY STUDENTS IN VIETNAM</t>
  </si>
  <si>
    <t>Châu Đặng Minh Nhật; Nguyễn Thành Khôi; Đoàn Minh Khôi; Hà Xuân Khôi; Lưu Đỗ Hoàng Bách</t>
  </si>
  <si>
    <t>KHGD2026-053.png</t>
  </si>
  <si>
    <t>KHGD2026-054</t>
  </si>
  <si>
    <t>Ứng dụng Storybook trong xây dựng kho học liệu hỗ trợ dạy học nghe - đọc tiếng Trung Quốc</t>
  </si>
  <si>
    <t>Hà Thị Thu Chúc; Nguyễn Khánh Linh; Trần Ngọc Anh Thư; Trương Nguyễn Minh Thư</t>
  </si>
  <si>
    <t>KHGD2026-054.png</t>
  </si>
  <si>
    <t>KHGD2026-055</t>
  </si>
  <si>
    <t>Nghiên cứu, thiết kế và chế tạo bộ thí nghiệm máy đo phổ phục vụ dạy học nội dung “Quang phổ vạch của nguyên tử” thuộc chuyên đề “Vật lí lượng tử” lớp 12</t>
  </si>
  <si>
    <t>Trần Đức Quốc Duy</t>
  </si>
  <si>
    <t>KHGD2026-055.png</t>
  </si>
  <si>
    <t>KHGD2026-056</t>
  </si>
  <si>
    <t>Ứng dụng trí tuệ nhân tạo tạo sinh trong thiết kế trò chơi dạy học chủ đề "Hydrocarbon và Nguồn nhiên liệu" môn Khoa học tự nhiên lớp 9</t>
  </si>
  <si>
    <t>Lê Ngọc Bảo Ngân; Lê Lâm Ngọc Hiếu; Hà Nhật Hạ; Lê Quốc Vinh Quang; Lê Thị Thủy Tiên</t>
  </si>
  <si>
    <t>KHGD2026-056.png</t>
  </si>
  <si>
    <t>KHGD2026-057</t>
  </si>
  <si>
    <t>Thiết kế tài liệu hướng dẫn phụ huynh sử dụng ngôn ngữ ký hiệu trong giao tiếp với trẻ Điếc tuổi tiểu học</t>
  </si>
  <si>
    <t>Dương Thị Thuý Nga; Nguyễn Thị Huyền Trang; Sơn Thị Như Ý; Nguyễn An Phúc</t>
  </si>
  <si>
    <t>KHGD2026-057.png</t>
  </si>
  <si>
    <t>KHGD2026-058</t>
  </si>
  <si>
    <t>Phân tích các hoạt động giáo dục vì sự phát triển bền vững trong các bộ sách giáo khoa toán phổ thông tại Việt Nam</t>
  </si>
  <si>
    <t>Nguyễn Đình Anh Hào</t>
  </si>
  <si>
    <t>KHGD2026-058.png</t>
  </si>
  <si>
    <t>KHGD2026-059</t>
  </si>
  <si>
    <t>Xây dựng Website JIN hỗ trợ phân biệt các cặp từ cận nghĩa thường gặp trong trình độ HSK Sơ - Trung cấp</t>
  </si>
  <si>
    <t>Phùng Thị Cẩm Thu; Dương Khánh Hà; Dung Huệ Mẫn; Trương Hồ Ngọc Huyền</t>
  </si>
  <si>
    <t>KHGD2026-059.png</t>
  </si>
  <si>
    <t>KHGD2026-060</t>
  </si>
  <si>
    <t>Thiết kế và thử nghiệm trò chơi học tập số nhằm phát triển kỹ năng hợp tác của trẻ 5–6 tuổi trong hoạt động làm quen với toán tại Trường Mầm non Anh Việt Mỹ</t>
  </si>
  <si>
    <t>Lê Thị Hồng Đào</t>
  </si>
  <si>
    <t>KHGD2026-060.png</t>
  </si>
  <si>
    <t>KHGD2026-061</t>
  </si>
  <si>
    <t>Thiết kế và đánh giá hiệu quả học liệu số tương tác trên nền tảng microsoft powerpoint trong phát triển khả năng nhận biết chữ cái cho trẻ mẫu giáo 5–6 tuổi</t>
  </si>
  <si>
    <t>Nguyễn Thị Thi</t>
  </si>
  <si>
    <t>KHGD2026-061.png</t>
  </si>
  <si>
    <t>KHGD2026-062</t>
  </si>
  <si>
    <t>Xây dựng hệ thống bản đồ cảnh báo ngập lụt bằng công nghệ Geomatics để hỗ trợ giáo dục phòng chống thiên tai trong dạy học Địa lí 12 ở trường Trung học phổ thông</t>
  </si>
  <si>
    <t>Hoàng Thị Toan; Đỗ Thị Thiên Sách</t>
  </si>
  <si>
    <t>KHGD2026-062.png</t>
  </si>
  <si>
    <t>KHGD2026-063</t>
  </si>
  <si>
    <t>Nghiên cứu đặc điểm truyện đồng thoại của Nguyễn Nhật Ánh và những bài học giáo dục đối với học sinh Tiểu học</t>
  </si>
  <si>
    <t>Trần Bảo Minh; Vũ Thị Bích Ngọc</t>
  </si>
  <si>
    <t>KHGD2026-063.png</t>
  </si>
  <si>
    <t>KHGD2026-064</t>
  </si>
  <si>
    <t>CINEFLUENT - HỆ SINH THÁI HỌC TIẾNG ANH THÔNG MINH VỚI AI TRÊN NỀN TẢNG PHIM ẢNH VÀ KẾT NỐI CỘNG ĐỒNG</t>
  </si>
  <si>
    <t>Đỗ Đặng Minh Luân; Nguyễn Thị Thu Uyên</t>
  </si>
  <si>
    <t>KHGD2026-064.png</t>
  </si>
  <si>
    <t>KHGD2026-065</t>
  </si>
  <si>
    <t>XÂY DỰNG BỘ KIT THEO CỐT TRUYỆN KHOA HỌC TRONG GIÁO DỤC STEM</t>
  </si>
  <si>
    <t>Ngô Khánh Ly; Vũ Phạm Quang Huy; Phạm Sơn Tùng; Nghiêm Thị Nhân Đức</t>
  </si>
  <si>
    <t>KHGD2026-065.png</t>
  </si>
  <si>
    <t>KHGD2026-066</t>
  </si>
  <si>
    <t>Xây dựng website hỗ trợ dạy học đọc hiểu truyện khoa học viễn tưởng ở trung học cơ sở theo hướng tích hợp giáo dục phát triển bền vững</t>
  </si>
  <si>
    <t>Nguyễn Ngọc Linh; Nguyễn Lê Ánh Dương</t>
  </si>
  <si>
    <t>KHGD2026-066.png</t>
  </si>
  <si>
    <t>KHGD2026-067</t>
  </si>
  <si>
    <t>Tần suất sử dụng và mức độ tự tin khi sử dụng AI trong quá trình học tập của sinh viên Điều dưỡng tại một số trường đại học tư thục tại Hà Nội</t>
  </si>
  <si>
    <t>Bùi Diễm Quỳnh; Lê Phương Anh</t>
  </si>
  <si>
    <t>KHGD2026-067.png</t>
  </si>
  <si>
    <t>KHGD2026-068</t>
  </si>
  <si>
    <t>Nhận thức về hiệu quả và đạo đức nghiên cứu khi sử dụng các công cụ AI trong viết học thuật: Trường hợp sinh viên trường Kinh tế - Đại học Phenikaa</t>
  </si>
  <si>
    <t>Phạm Hồng Vy; Lê Thanh Lam; Trần Thị Khánh Linh; Quách Hải Dương</t>
  </si>
  <si>
    <t>KHGD2026-068.png</t>
  </si>
  <si>
    <t>KHGD2026-069</t>
  </si>
  <si>
    <t>Tích hợp AI tạo sinh hình ảnh vào dạy học ngoại ngữ nhằm phát triển tư duy kể chuyện và nâng cao năng lực khẩu ngữ cho người học tiếng Trung</t>
  </si>
  <si>
    <t>Nguyễn Thị Thắm; Nguyễn Châu Kim Xuyến; Nguyễn Thị Như Ý</t>
  </si>
  <si>
    <t>KHGD2026-069.png</t>
  </si>
  <si>
    <t>KHGD2026-070</t>
  </si>
  <si>
    <t>Một số biện pháp giáo dục hành vi bảo vệ môi trường cho trẻ 5 – 6 tuổi thông qua chế độ sinh hoạt hàng ngày ở trường mầm non</t>
  </si>
  <si>
    <t>Phan Thị Trâm; Hoàng Thị Uyên</t>
  </si>
  <si>
    <t>KHGD2026-070.png</t>
  </si>
  <si>
    <t>KHGD2026-071</t>
  </si>
  <si>
    <t>Thực trạng tự học của sinh viên khoa Mầm non trường Đại học Nghệ An</t>
  </si>
  <si>
    <t>Phạm Thị Nhung; Ngân Thị Diệu Ly</t>
  </si>
  <si>
    <t>KHGD2026-071.png</t>
  </si>
  <si>
    <t>KHGD2026-072</t>
  </si>
  <si>
    <t>Các nhân tố ảnh hưởng đến sự hài lòng của sinh viên đối với hoạt động giảng dạy E-learning tại trường Đại học Nghệ An.</t>
  </si>
  <si>
    <t>Phan Anh thanh huyền; Nguyễn Thị Minh Ánh; Trần Trà My</t>
  </si>
  <si>
    <t>KHGD2026-072.png</t>
  </si>
  <si>
    <t>KHGD2026-073</t>
  </si>
  <si>
    <t>Ứng dụng thiết kế học tập phổ quát cho trẻ khuyết tật học hòa nhập ở trường mầm non</t>
  </si>
  <si>
    <t>Phan Ngọc Nam Phương; Nguyễn Thị Xuân Hương</t>
  </si>
  <si>
    <t>KHGD2026-073.png</t>
  </si>
  <si>
    <t>KHGD2026-074</t>
  </si>
  <si>
    <t>Xây dựng website hỗ trợ phát triển trí tuệ cảm xúc cho học sinh rối loạn tăng động giảm chú ý cấp tiểu học</t>
  </si>
  <si>
    <t>Trần Khánh Vi; Quách Ý Nhi; Tống Thị Hồng Nhung; Nguyễn Khánh Hoà</t>
  </si>
  <si>
    <t>KHGD2026-074.png</t>
  </si>
  <si>
    <t>KHGD2026-075</t>
  </si>
  <si>
    <t>Vai trò trung gian của trải nghiệm dòng chảy trong mối quan hệ giữa học tập dựa trên trò chơi hóa và động lực học tập của sinh viên đại học</t>
  </si>
  <si>
    <t>Trương Huỳnh Như; Mai Võ Yến Nhi; Nguyễn Văn Hanh</t>
  </si>
  <si>
    <t>KHGD2026-075.png</t>
  </si>
  <si>
    <t>KHGD2026-076</t>
  </si>
  <si>
    <t>RAAC – NỀN TẢNG PHẢN BIỆN KHOA HỌC AI PHI TẬP TRUNG VÀ CÓ THỂ KIỂM CHỨNG</t>
  </si>
  <si>
    <t>Huỳnh Ngọc Nhi; Trà Minh Trọng; Huỳnh Phan Gia Bảo</t>
  </si>
  <si>
    <t>KHGD2026-076.png</t>
  </si>
  <si>
    <t>KHGD2026-077</t>
  </si>
  <si>
    <t>Rào cản ảnh hưởng đến kết quả học tập trực tuyến của sinh viên Sư phạm</t>
  </si>
  <si>
    <t>Đỗ Ngọc Thanh Thúy; Lại Đặng Hoài Trâm; Sơn Thanh Toàn</t>
  </si>
  <si>
    <t>KHGD2026-077.png</t>
  </si>
  <si>
    <t>KHGD2026-078</t>
  </si>
  <si>
    <t>Đánh giá tác động của việc tham gia câu lạc bộ ngoại ngữ đến kỹ năng nghe - nói Tiếng Anh khối ngành đặc thù tại một trường đại học công lập trên địa bàn Thành phố Hồ Chí Minh</t>
  </si>
  <si>
    <t>Nguyễn Điền Huệ Thư; Tạ Huỳnh Thảo</t>
  </si>
  <si>
    <t>KHGD2026-078.png</t>
  </si>
  <si>
    <t>KHGD2026-079</t>
  </si>
  <si>
    <t>Bồi dưỡng tình yêu nước và nhận thức về bản sắc văn hóa địa phương qua hoạt động dạy học môn Ngữ văn lớp 10 trong bối cảnh sáp nhập địa giới hành chính và chuyển đổi số</t>
  </si>
  <si>
    <t>Nguyễn Thị Thảo Hoa; Trần Mai Lan; Nguyễn Thị Vân Anh; Lèo Hương Giang; Nguyễn Thanh Phương</t>
  </si>
  <si>
    <t>KHGD2026-079.png</t>
  </si>
  <si>
    <t>KHGD2026-080</t>
  </si>
  <si>
    <t>Tác động của việc chơi Game Online đến năng lực Tiếng Anh của sinh viên không chuyên ngôn ngữ tại Trường Đại học Mở Thành phố Hồ Chí Minh</t>
  </si>
  <si>
    <t>Nguyễn Lê Phương Mai; Lê Đoàn Khánh Như</t>
  </si>
  <si>
    <t>KHGD2026-080.png</t>
  </si>
  <si>
    <t>KHGD2026-081</t>
  </si>
  <si>
    <t>Giải pháp chuyển đổi số trong giám sát học vụ: Khắc phục điểm mù đánh giá bằng phương pháp phân cụm quỹ đạo giờ thư viện</t>
  </si>
  <si>
    <t>Nguyễn Mai Yến Nhi.; Đặng Tường Linh; Châu Gia Bảo; Hoàng Văn Hướng</t>
  </si>
  <si>
    <t>KHGD2026-081.png</t>
  </si>
  <si>
    <t>KHGD2026-083</t>
  </si>
  <si>
    <t>Nghiên cứu chế tạo giấy thủ công từ vật liệu hữu cơ và ứng dụng dạy học trải nghiệm nghề truyền thống giới thiệu di sản văn hóa phi vật thể cấp quốc gia của tỉnh Quảng Ninh</t>
  </si>
  <si>
    <t>Nguyễn Hoài An; Lê Thị Thúy Nga; Vũ Ngọc Mai; Nguyễn Vũ Minh Tâm; Trần Thi Đoan Trang</t>
  </si>
  <si>
    <t>KHGD2026-083.png</t>
  </si>
  <si>
    <t>KHGD2026-084</t>
  </si>
  <si>
    <t>Phát triển năng lực viết chữ cho học sinh lớp 2 thông qua hoạt động trải nghiệm sáng tạo</t>
  </si>
  <si>
    <t>Trần Phương Uyên; Trần Thị Thu; Trần Thị Xuân; Nguyễn Thị Huyền Trang; Dương Thị Thanh</t>
  </si>
  <si>
    <t>KHGD2026-084.png</t>
  </si>
  <si>
    <t>KHGD2026-085</t>
  </si>
  <si>
    <t>Thiết kế hoạt động giáo dục phòng tránh tai nạn thông qua trò chơi đóng vai theo chủ đề cho trẻ 5 - 6 tuổi tại trường Mẫu giáo Thực hành Sư Phạm, Khoa Sư phạm, Trường Đại học Hạ Long</t>
  </si>
  <si>
    <t>Phạm Minh Nguyệt; Phạm Yến Nhi; Đinh Thị Thanh Trúc; Vy Thùy Trang</t>
  </si>
  <si>
    <t>KHGD2026-085.png</t>
  </si>
  <si>
    <t>KHGD2026-086</t>
  </si>
  <si>
    <t>Tích hợp giáo dục di sản Hát Then của người Tày ở Bình Liêu vào tổ chức hoạt động trải nghiệm STEM chủ đề Âm thanh cho học sinh lớp 7</t>
  </si>
  <si>
    <t>Đào Phương Linh; Đoàn Ngọc Bách Diệp; Hà Diệu Linh; Nguyễn Hoàng Hiệp; Hoàng Trường Huy</t>
  </si>
  <si>
    <t>KHGD2026-086.png</t>
  </si>
  <si>
    <t>KHGD2026-087</t>
  </si>
  <si>
    <t>KIẾN THỨC VỀ NHẬN BIẾT NGỘ ĐỘC THUỐC TÊ CỦA SINH VIÊN ĐIỀU DƯỠNG CHUYÊN NGÀNH GÂY MÊ HỒI SỨC TẠI ĐẠI HỌC Y DƯỢC THÀNH PHỐ HỒ CHÍ MINH NĂM 2025.</t>
  </si>
  <si>
    <t>Trần Hải Đăng; Phạm Lê Huỳnh</t>
  </si>
  <si>
    <t>KHGD2026-087.png</t>
  </si>
  <si>
    <t>KHGD2026-088</t>
  </si>
  <si>
    <t>Digital Fabric Atlas – Thư viện mẫu vải số phục vụ giảng dạy và học tập</t>
  </si>
  <si>
    <t>Huỳnh Cẩm Loan; Đỗ Thị Ngọc Kiều; Bùi Thị Phương Loan</t>
  </si>
  <si>
    <t>KHGD2026-088.png</t>
  </si>
  <si>
    <t>KHGD2026-089</t>
  </si>
  <si>
    <t>TÁC ĐỘNG CỦA CƠ CHẾ TÍCH ĐIỂM THUỘC MÔ HÌNH UEH GREEN CITIZENS ĐẾN HÀNH VI SỐNG XANH CỦA SINH VIÊN TẠI ĐẠI HỌC KINH TẾ TP. HCM</t>
  </si>
  <si>
    <t>Nguyễn Lê Trà My</t>
  </si>
  <si>
    <t>KHGD2026-089.png</t>
  </si>
  <si>
    <t>KHGD2026-090</t>
  </si>
  <si>
    <t>Sự chuyển biến trong đầu tư giáo dục cho con cái của phụ huynh Hàn Quốc (Trường hợp gia đình Hàn Quốc cư trú tại Việt Nam)</t>
  </si>
  <si>
    <t>Nguyễn Đặng Thanh Thanh; Mai Đăng Khải</t>
  </si>
  <si>
    <t>Trường Đại học Khoa học xã hội và Nhân văn,</t>
  </si>
  <si>
    <t>KHGD2026-090.png</t>
  </si>
  <si>
    <t>KHGD2026-091</t>
  </si>
  <si>
    <t>English majors’ perceptions of ethics and information verification in AI - assisted academic writing at tertiary level</t>
  </si>
  <si>
    <t>Nguyễn Trần Mai Quyên; Nguyễn Thị Thanh Bình; Nguyễn Thị Anh Thư; Hồ Thị Mỹ Kim; Lưu Thị Minh Tâm</t>
  </si>
  <si>
    <t>KHGD2026-091.png</t>
  </si>
  <si>
    <t>KHGD2026-092</t>
  </si>
  <si>
    <t>THIẾT KẾ TRÒ CHƠI ĐIỆN TỬ NHẰM GIÚP TRẺ MẪU GIÁO 5–6 TUỔI LÀM QUEN VỚI CÁC NÉT CHỮ VIẾT TIẾNG VIỆT</t>
  </si>
  <si>
    <t>Ngô Thị Như Thùy; Trần Lý Kiều Thơ; Nguyễn Minh Phúc; Nguyễn Văn Thường; Ngô Tuấn Hưng</t>
  </si>
  <si>
    <t>KHGD2026-092.png</t>
  </si>
  <si>
    <t>KHGD2026-093</t>
  </si>
  <si>
    <t>Ảnh hưởng của hình - âm - nghĩa trong quá trình ghi nhớ chữ Hán của sinh viên năm nhất ngành Ngôn ngữ Trung Quốc</t>
  </si>
  <si>
    <t>Võ Hoàng Hải Đăng</t>
  </si>
  <si>
    <t>KHGD2026-093.png</t>
  </si>
  <si>
    <t>KHGD2026-094</t>
  </si>
  <si>
    <t>THIẾT KẾ TRÒ CHƠI NHẰM PHÁT TRIỂN KHẢ NĂNG ÂM NHẠC CHO TRẺ MẪU GIÁO 5-6 TUỔI</t>
  </si>
  <si>
    <t>Trần Phúc Mỹ Linh; Trần Thị Hòa Minh; Đỗ Thị Thanh Hiền; Nguyễn Thị Thùy Linh</t>
  </si>
  <si>
    <t>KHGD2026-094.png</t>
  </si>
  <si>
    <t>KHGD2026-095</t>
  </si>
  <si>
    <t>Phân tích lỗi sai thường gặp của sinh viên K14 ngành Ngôn ngữ Trung Quốc khi học môn Biên dịch thương mại</t>
  </si>
  <si>
    <t>Phạm Thanh Yến; Dương Thị Diệu; Đồng Thị Thu Hiền</t>
  </si>
  <si>
    <t>KHGD2026-095.png</t>
  </si>
  <si>
    <t>KHGD2026-096</t>
  </si>
  <si>
    <t>The use of short stories to improve English essay writing among freshman English majors at a Vietnamese public university</t>
  </si>
  <si>
    <t>Nguyễn Hà Huy Thắng</t>
  </si>
  <si>
    <t>KHGD2026-096.png</t>
  </si>
  <si>
    <t>KHGD2026-097</t>
  </si>
  <si>
    <t>Vai trò của sinh viên Thành phố Hồ Chí Minh trong việc thực hiện trong phong trào "Bình dân học vụ số"</t>
  </si>
  <si>
    <t>Quách Hải Đăng</t>
  </si>
  <si>
    <t>KHGD2026-097.png</t>
  </si>
  <si>
    <t>KHGD2026-098</t>
  </si>
  <si>
    <t>Đọc mở rộng có hướng dẫn: Nghiên cứu trường hợp ở một trường đại học tại Việt Nam (Scaffolded Extensive Reading: A case study at a university in Vietnam)</t>
  </si>
  <si>
    <t>Võ Thái Bình; Nguyễn Thị Vân Anh; Nguyễn Thị Thanh Bình; Bùi Bảo Châu; Nguyễn Trần Đăng Khôi</t>
  </si>
  <si>
    <t>KHGD2026-098.png</t>
  </si>
  <si>
    <t>KHGD2026-099</t>
  </si>
  <si>
    <t>Việc cải thiện kỹ năng viết của sinh viên ngành Ngôn ngữ Anh: Nhận xét từ bạn học và nhận xét từ Grammarly (English majors's writing improvement: Peer feedback vs. Grammarly feedback)</t>
  </si>
  <si>
    <t>Võ Thế Thanh Giang; Allawi; Nguyễn Trần Phương Anh; Phạm Trần Linh Đan; Hoàng Hà Giang</t>
  </si>
  <si>
    <t>KHGD2026-099.png</t>
  </si>
  <si>
    <t>KHGD2026-100</t>
  </si>
  <si>
    <t>THIẾT KẾ VÀ TỔ CHỨC DẠY HỌC CHỦ ĐỀ “CHUYỂN HÓA CHẤT BÉO THÀNH XÀ PHÒNG” THEO ĐỊNH HƯỚNG E-STEM</t>
  </si>
  <si>
    <t>Vũ Duy Trọng; Ngô Thị Hồng Hoa; Phạm Thị Tình</t>
  </si>
  <si>
    <t>KHGD2026-100.png</t>
  </si>
  <si>
    <t>KHGD2026-101</t>
  </si>
  <si>
    <t>THIẾT KẾ VÀ TỔ CHỨC DẠY HỌC CHỦ ĐỀ “TÁCH TINH DẦU TỪ CÁC NGUỒN THẢO MỘC TỰ NHIÊN” THEO ĐỊNH HƯỚNG E-STEM</t>
  </si>
  <si>
    <t>Nguyễn Mai Đăng Quyên; Tô Bích Ni; Hoàng Quốc Trung</t>
  </si>
  <si>
    <t>KHGD2026-101.png</t>
  </si>
  <si>
    <t>KHGD2026-102</t>
  </si>
  <si>
    <t>DẠY HỌC KHÁM PHÁ CÓ HƯỚNG DẪN ĐỊNH LI CÔSIN VỚI SỰ HỖ TRỢ CỦA CHATGPT Ở LỚP 10</t>
  </si>
  <si>
    <t>Trần Hoàng Mỹ</t>
  </si>
  <si>
    <t>KHGD2026-102.png</t>
  </si>
  <si>
    <t>KHGD2026-103</t>
  </si>
  <si>
    <t>Giáo dục kỹ năng vận động tinh cho trẻ mẫu giáo 5 - 6 tuổi thông qua hoạt động giáo dục STEAM</t>
  </si>
  <si>
    <t>Nguyễn Thị Linh; Lê Thị Thuỳ Linh; Vũ Hải Hà; Nguyễn Thu Phương; Dương Thị Lan Anh</t>
  </si>
  <si>
    <t>KHGD2026-103.png</t>
  </si>
  <si>
    <t>KHGD2026-104</t>
  </si>
  <si>
    <t>Nghiên cứu ứng dụng Chatbot - Trợ lý ảo AI trong đào tạo Y học cổ truyền</t>
  </si>
  <si>
    <t>Tạ Bích Hồng; Phạm Thị Quỳnh Trang; Đỗ Văn Khoa; Lê Văn Minh; Vũ Tiến Dũng</t>
  </si>
  <si>
    <t>Trường Đại học Victoria Hòa Bình</t>
  </si>
  <si>
    <t>KHGD2026-104.png</t>
  </si>
  <si>
    <t>KHGD2026-105</t>
  </si>
  <si>
    <t>Tác động của việc điều chỉnh trần học phí theo cơ chế tự chủ đại học (Nghị định 97/2023/NĐ-CP) đến áp lực chi phí và an sinh của sinh viên: Phân tích chính sách và mô hình mô phỏng tại Thành phố Hà Nội</t>
  </si>
  <si>
    <t>Đỗ Viết Giang; Võ Thành Đạt; Đặng Thị Minh Anh; Nguyễn Thị Quỳnh Trang; Phạm Việt Bình</t>
  </si>
  <si>
    <t>KHGD2026-105.png</t>
  </si>
  <si>
    <t>KHGD2026-106</t>
  </si>
  <si>
    <t>ỨNG DỤNG GEOGEBRA VÀ TRÍ TUỆ NHÂN TẠO TRONG XÂY DỰNG VIDEO BÀI GIẢNG HÌNH HỌC TRỰC QUAN CHO HỌC SINH BỊ SUY GIẢM THỊ LỰC</t>
  </si>
  <si>
    <t>Dương Thị Hải Yến; Phan Ngọc Minh Hằng; Nguyễn Lâm Thảo Ly; Lê Thành Nhân; Trịnh Tuấn Hưng</t>
  </si>
  <si>
    <t>Trường Đại học Khoa học tự nhiên, ĐHQG-HCM</t>
  </si>
  <si>
    <t>KHGD2026-106.png</t>
  </si>
  <si>
    <t>KHGD2026-107</t>
  </si>
  <si>
    <t>Ứng dụng Deepseek như công cụ hỗ trợ phát triển kỹ năng Nói cho sinh viên chuyên ngành Ngôn ngữ Anh tại trường Đại học Thủ đô Hà Nội.</t>
  </si>
  <si>
    <t>Đỗ Thu Uyên; Đinh Quốc Huy; Bùi Thị Xuân Mai; Nguyễn Linh Chi; Nguyễn Hoàng Yến Nhi</t>
  </si>
  <si>
    <t>KHGD2026-107.png</t>
  </si>
  <si>
    <t>KHGD2026-108</t>
  </si>
  <si>
    <t>Thiết kế chatbot tích hợp trò chơi hóa hỗ trợ kỹ năng rèn luyện chính tả cho học sinh lớp 3</t>
  </si>
  <si>
    <t>Hồ Phạm Khánh Duy; Trần Tấn Đạt; Phạm Thị Như Ý; Nguyễn Nhật Thiên; Quách Anh Khôi</t>
  </si>
  <si>
    <t>KHGD2026-108.png</t>
  </si>
  <si>
    <t>KHGD2026-109</t>
  </si>
  <si>
    <t>Nghiên cứu việc học tự định hướng của sinh viên năm nhất với sự hỗ trợ của trí tuệ nhân tạo tạo sinh và trong việc học một số môn chung ở trường đại học.</t>
  </si>
  <si>
    <t>Trịnh Diệu An; Nguyễn Thị Trinh</t>
  </si>
  <si>
    <t>KHGD2026-109.png</t>
  </si>
  <si>
    <t>KHGD2026-110</t>
  </si>
  <si>
    <t>THE FORMATION OF AI TRUST IN HUMAN-IN-THE-LOOP SYSTEMS: QUANTITATIVE MODELING OF VIETNAMESE UNIVERSITY STUDENTS WITH REGIONAL COMPARATIVE EVIDENCE</t>
  </si>
  <si>
    <t>Trần Thị Xuân Mai; Lê Giang Hồng Minh; Nguyễn Châu Thảo Nguyên; Nhâm Bảo Trân; Nguyễn Lê Đức Huy</t>
  </si>
  <si>
    <t>KHGD2026-110.png</t>
  </si>
  <si>
    <t>KHGD2026-111</t>
  </si>
  <si>
    <t>FACTORS AFFECTING ENTREPRENEURIAL INTENTIONS AMONG ECONOMICS STUDENTS AT VIETNAM UNIVERSITIES</t>
  </si>
  <si>
    <t>Đỗ Tuấn Khôi; Nguyễn Ngọc Trà Giang; Dương Ngọc Uyển Nhi; Nguyễn Nhật Thành; Nguyễn Trí Thành</t>
  </si>
  <si>
    <t>KHGD2026-111.png</t>
  </si>
  <si>
    <t>KHGD2026-112</t>
  </si>
  <si>
    <t>Nghiên cứu về ảnh hưởng tích cực của “Phương pháp nghe chép chính tả” tới kỹ năng nghe của sinh viên năm nhất khoa Ngôn ngữ và Văn hóa Trung Quốc và đề xuất giải pháp xây dựng kho ngữ liệu.</t>
  </si>
  <si>
    <t>Lê Thu Huyền; Đặng Thị Mai Quyên; Đào Thị Minh Trang; Tô Thị Lệ; Nguyễn Thị Uyên</t>
  </si>
  <si>
    <t>KHGD2026-112.png</t>
  </si>
  <si>
    <t>KHGD2026-113</t>
  </si>
  <si>
    <t>Comparative Logistics Skill Demand across Five Asian Markets and Alignment with Vietnamese University Curricula</t>
  </si>
  <si>
    <t>Nguyễn Anh Khoa; Vũ Tâm Minh; Lê Thị Khánh Vi</t>
  </si>
  <si>
    <t>KHGD2026-113.png</t>
  </si>
  <si>
    <t>KHGD2026-114</t>
  </si>
  <si>
    <t>Exploring Students’ Perception of AI-Based Summarization Tools in Reading Comprehension: A Mixed-Methods Study in Banking Academy of Vietnam</t>
  </si>
  <si>
    <t>Trình Minh Diệp; Hà Thục Uyên; Lê Thị Thu Quỳnh; Nguyễn Lan Anh; Đặng Thị Thùy Ninh</t>
  </si>
  <si>
    <t>KHGD2026-114.png</t>
  </si>
  <si>
    <t>KHGD2026-115</t>
  </si>
  <si>
    <t>Phát huy vai trò của mạng xã hội trong giáo dục chủ nghĩa yêu nước Việt Nam cho sinh viên Học viện Ngân hàng trong kỷ nguyên số</t>
  </si>
  <si>
    <t>Lã Ngọc Kim Khánh; Nguyễn Thị Ngọc Linh; Nguyễn Khánh Linh; Nguyễn Phạm Hoài Vi</t>
  </si>
  <si>
    <t>KHGD2026-115.png</t>
  </si>
  <si>
    <t>KHGD2026-116</t>
  </si>
  <si>
    <t>ARTIFICIAL INTELLIGENCE IN EDUCATION: A BIDRECTIONAL IMPACT ON STUDENTS’ SELF-DIRECTED LEARNING CAPACITY</t>
  </si>
  <si>
    <t>Nguyễn Quang Mạnh; Nguyễn Thảo Trang; Lã Thị Thu Trang; Nguyễn Quốc Lợi; Nguyễn Thị Minh Châu</t>
  </si>
  <si>
    <t>KHGD2026-116.png</t>
  </si>
  <si>
    <t>KHGD2026-117</t>
  </si>
  <si>
    <t>Gig Economy và Cân bằng học tập- công việc của sinh viên khối ngành kinh tế trong kỷ nguyên số.</t>
  </si>
  <si>
    <t>Đặng Vĩnh Thịnh; Đỗ Thuỳ Linh; Lưu Huyền Trang; Nguyễn Thị Khánh Linh; Ngô Việt Thắng</t>
  </si>
  <si>
    <t>KHGD2026-117.png</t>
  </si>
  <si>
    <t>KHGD2026-118</t>
  </si>
  <si>
    <t>Vận dụng mô hình tư duy phản biện của Paul-Elder để hướng dẫn học sinh lớp 8 rèn luyện kĩ năng trình bày ý kiến trong bài văn nghị luận xã hội</t>
  </si>
  <si>
    <t>Nguyễn Thụy Mai Thảo; Châu Nguyễn Ái My; Nguyễn Thùy Dung</t>
  </si>
  <si>
    <t>KHGD2026-118.png</t>
  </si>
  <si>
    <t>KHGD2026-119</t>
  </si>
  <si>
    <t>Xây dựng sách velcro hỗ trợ kỹ năng nhận biết chữ cái cho trẻ tự kỷ chức năng cao học hoà nhập ở lớp Một</t>
  </si>
  <si>
    <t>Nguyễn Hoàng Vũ; Đinh Thị Thuỳ Mai; Phạm Hồ Như Quỳnh; Đỗ Hồng Ngọc</t>
  </si>
  <si>
    <t>KHGD2026-119.png</t>
  </si>
  <si>
    <t>KHGD2026-120</t>
  </si>
  <si>
    <t>Xây dựng mô hình trò chơi mô phỏng board game phát triển vốn từ vựng cho sinh viên khoa tiếng Nga ở cấp độ A0 - A1</t>
  </si>
  <si>
    <t>Trịnh Gia Khiêm; Dương Quang Vinh; Nguyễn Gia Nghi; Tạ Thị Thu Hiền; Nguyễn Thị Phương Thảo</t>
  </si>
  <si>
    <t>KHGD2026-120.png</t>
  </si>
  <si>
    <t>KHGD2026-121</t>
  </si>
  <si>
    <t>Investigating the Impact of a ChatGPT-Based Chatbot as a Support Tool on the English Writing Performance of High School Students</t>
  </si>
  <si>
    <t>Nguyễn Minh Anh</t>
  </si>
  <si>
    <t>Trường Đại học Sư phạm, Đại học Thái Nguyên</t>
  </si>
  <si>
    <t>KHGD2026-121.png</t>
  </si>
  <si>
    <t>KHGD2026-122</t>
  </si>
  <si>
    <t>Kỹ năng tự học của sinh viên Phân hiệu Học viện Hành chính và Quản trị công tại Thành phố Hồ Chí Minh</t>
  </si>
  <si>
    <t>Nguyễn Trần Khánh Hà; Bùi Ngọc GIa Hân; Ngô Trương Thanh Hương; Nguyễn Ngọc Mỹ Dung</t>
  </si>
  <si>
    <t>Phân hiệu Học viện Hành chính và Quản trị công tại TP. Hồ Chí Minh</t>
  </si>
  <si>
    <t>KHGD2026-122.png</t>
  </si>
  <si>
    <t>KHGD2026-123</t>
  </si>
  <si>
    <t>Ảnh hưởng của trí tuệ nhân tạo (AI) đến việc học tập của sinh viên Trường Đại học Kiểm sát</t>
  </si>
  <si>
    <t>Hà Đức Anh; Nguyễn Quang Minh; Nguyễn Hữu Hiếu; Lò Trần Lực; Lý Quang Bằng</t>
  </si>
  <si>
    <t>KHGD2026-123.png</t>
  </si>
  <si>
    <t>KHGD2026-124</t>
  </si>
  <si>
    <t>VAI TRÒ CỦA GIÁO DỤC KHỞI NGHIỆP SỐ TRONG VIỆC HÌNH THÀNH Ý ĐỊNH KHỞI NGHIỆP SỐ: PHÂN TÍCH MULTI-DIMENSIONAL BẰNG NCA VÀ PLS-SEM.</t>
  </si>
  <si>
    <t>Nguyễn Thuý Anh; Nguyễn Thị Hoài Oanh; Trần Trương Dâng; Ngô Thanh Thảo</t>
  </si>
  <si>
    <t>KHGD2026-124.png</t>
  </si>
  <si>
    <t>KHGD2026-125</t>
  </si>
  <si>
    <t>Tác động của kỹ năng số đến kết quả phát triển vốn con người của sinh viên đại học thuộc lĩnh vực kinh doanh và quản lý ở Hà Nội</t>
  </si>
  <si>
    <t>Nguyễn Khánh Ly; Lý Lê Bảo Trang; Nguyễn Phương Linh; Nguyễn Xuân Vinh; Phạm Minh Tuệ</t>
  </si>
  <si>
    <t>KHGD2026-125.png</t>
  </si>
  <si>
    <t>KHGD2026-126</t>
  </si>
  <si>
    <t>Kiến thức, thái độ và nhu cầu của sinh viên đại học y dược thành phố hồ chí minh về đào tạo các nội dung liên quan đến sức khỏe toàn cầu</t>
  </si>
  <si>
    <t>Lê Bảo Phúc Nhân; Nguyễn Phú Nhất</t>
  </si>
  <si>
    <t>KHGD2026-126.png</t>
  </si>
  <si>
    <t>KHGD2026-127</t>
  </si>
  <si>
    <t>Kiến thức, thái độ và thực hành tiêm chủng các vắc-xin khuyến cáo cho nhân viên y tế ở sinh viên y khoa</t>
  </si>
  <si>
    <t>Phạm Đăng Huy; Đoàn Trần Diễm Phúc; Trần Nguyễn Thùy Trang; Phan Minh Trí; Phan Bảo Linh</t>
  </si>
  <si>
    <t>KHGD2026-127.png</t>
  </si>
  <si>
    <t>KHGD2026-128</t>
  </si>
  <si>
    <t>TỔNG QUAN HỆ THỐNG VỀ PHÁT TRIỂN VÀ ỨNG DỤNG CÁC KHUNG NĂNG LỰC DƯỢC</t>
  </si>
  <si>
    <t>Phạm Hoàng Việt Khanh; Nguyễn Thị Hồng Lan Thảo; Nguyễn Ngọc Trâm; Nguyễn Ngọc Bảo Trân; Tô Thanh Lan</t>
  </si>
  <si>
    <t>KHGD2026-128.png</t>
  </si>
  <si>
    <t>KHGD2026-129</t>
  </si>
  <si>
    <t>MỐI QUAN HỆ GIỮA HỌC VẤN, KINH NGHIỆM VÀ MỨC LƯƠNG TRONG NGÀNH NHÂN SỰ: BẰNG CHỨNG TỪ TIN TUYỂN DỤNG TẠI TP. HỒ CHÍ MINH VÀ HÀM Ý CHO GIÁO DỤC</t>
  </si>
  <si>
    <t>Bùi Thị Quỳnh Trang; Trần Thị Hoài Thu; Đỗ Hồng Ngọc; Danh Nguyễn Nhật Khang</t>
  </si>
  <si>
    <t>KHGD2026-129.png</t>
  </si>
  <si>
    <t>KHGD2026-130</t>
  </si>
  <si>
    <t>Khung hướng dẫn sử dụng ai nhằm nâng cao nhận thức đạo đức công nghệ của sinh viên: trường hợp một trường đại học đào tạo ngoại ngữ trên địa bàn Hà Nội.</t>
  </si>
  <si>
    <t>Nguyễn Thu Thảo; Trần Thị Huyền Trang; Bùi Bảo Linh; Trần Yến Nhi; Lê Thị Ngọc Huyền</t>
  </si>
  <si>
    <t>KHGD2026-130.png</t>
  </si>
  <si>
    <t>KHGD2026-131</t>
  </si>
  <si>
    <t>The impact of Digital Entrepreneurship Education and Digital Competence on Digital Entrepreneurial Intention among university students and recent graduates in Ho Chi Minh City</t>
  </si>
  <si>
    <t>Đỗ Thị Ánh Linh; Nguyễn Thị Quy; Nguyễn Thị Mai Nhung; Nguyễn Nhật Khang</t>
  </si>
  <si>
    <t>KHGD2026-131.png</t>
  </si>
  <si>
    <t>KHGD2026-132</t>
  </si>
  <si>
    <t>Đánh giá mối quan hệ giữa năng lực tích lũy từ việc đạt văn bằng nhỏ - chứng chỉ vi mô (micro-credentials) tới khả năng làm việc, nhận diện và công nhận nhân tài tại các ngân hàng thương mại tại Việt Nam</t>
  </si>
  <si>
    <t>Nguyễn Ngọc Quỳnh Anh; Nguyễn Thị Minh Lý; Phạm Thùy Trang; Nguyễn Tuệ Minh</t>
  </si>
  <si>
    <t>KHGD2026-132.png</t>
  </si>
  <si>
    <t>KHGD2026-133</t>
  </si>
  <si>
    <t>Kỹ năng xanh của sinh viên Học viện Ngân hàng trong bối cảnh chuyển đổi kinh tế xanh</t>
  </si>
  <si>
    <t>Phạm Phương Uyên; Đoàn Việt Anh; Phạm Như Thành; Đỗ Khánh Ly</t>
  </si>
  <si>
    <t>KHGD2026-133.png</t>
  </si>
  <si>
    <t>KHGD2026-134</t>
  </si>
  <si>
    <t>Nghiên cứu phát triển môi trường Thực tế ảo thích ứng cảm xúc trong đào tạo kỹ năng ứng phó khủng hoảng giao tiếp y tế.</t>
  </si>
  <si>
    <t>Trần Thị Ngọc Thư; Lê Vĩ Kỳ; Lê Nữ Trà Mi; Phan Công Anh</t>
  </si>
  <si>
    <t>KHGD2026-134.png</t>
  </si>
  <si>
    <t>KHGD2026-135</t>
  </si>
  <si>
    <t>Các yếu tố ảnh hưởng đến ý định sử dụng Trí tuệ nhân tạo trong học tập của sinh viên Trường Đại học Văn Lang</t>
  </si>
  <si>
    <t>Nguyễn Thị Ngọc Anh</t>
  </si>
  <si>
    <t>KHGD2026-135.png</t>
  </si>
  <si>
    <t>KHGD2026-136</t>
  </si>
  <si>
    <t>Xây dựng mô hình quản lý năng lực an toàn phòng thí nghiệm cho sinh viên theo tiếp cận OBE</t>
  </si>
  <si>
    <t>Dương Minh Thiên; Lê Ngọc Thắng; Lê Minh Tuấn</t>
  </si>
  <si>
    <t>KHGD2026-136.png</t>
  </si>
  <si>
    <t>KHGD2026-137</t>
  </si>
  <si>
    <t>GIẢI PHÁP NÂNG CAO HIỆU QUẢ HOẠT ĐỘNG ĐOÀN - HỘI THÔNG QUA HOÀN THIỆN CÔNG CỤ KHẢO SÁT VÀ HỆ THỐNG ĐÁNH GIÁ CHẤT LƯỢNG CHƯƠNG TRÌNH</t>
  </si>
  <si>
    <t>Lê Hoàng Hương Thảo; Phạm Đào Trà My</t>
  </si>
  <si>
    <t>KHGD2026-137.png</t>
  </si>
  <si>
    <t>KHGD2026-138</t>
  </si>
  <si>
    <t>Xây dựng Ebook: Ứng dụng mô hình TPACK trong việc nâng cao năng lực số cho giáo viên môn lịch sử cấp Trung học phổ thông</t>
  </si>
  <si>
    <t>Nguyễn Tuấn Anh; Nguyễn Thị Thuỳ Linh; Nguyễn Thị Trang; Nguyễn Khánh Linh; Nguyễn Thu Thảo</t>
  </si>
  <si>
    <t>KHGD2026-138.png</t>
  </si>
  <si>
    <t>KHGD2026-139</t>
  </si>
  <si>
    <t>Xây dựng website tích hợp AI phân tích cá nhân hoá kết quả học tập của học sinh trung học phổ thông</t>
  </si>
  <si>
    <t>Lê Phương Uyên; Lê Gia Huy</t>
  </si>
  <si>
    <t>KHGD2026-139.png</t>
  </si>
  <si>
    <t>KHGD2026-140</t>
  </si>
  <si>
    <t>Mối quan hệ giữa hiểu biết trí tuệ nhân tạo, sự phụ thuộc trí tuệ nhân tạo và kĩ năng thế kỉ 21 của sinh viên: Nghiên cứu trường hợp ở một trường đại học công lập tại Thành phố Hồ Chí Minh</t>
  </si>
  <si>
    <t>Trần Thúy Trinh; Trần Nguyễn Giáng My; Đặng Thị Lê Ngân; Nguyễn Ngọc Gia Hân</t>
  </si>
  <si>
    <t>KHGD2026-140.png</t>
  </si>
  <si>
    <t>KHGD2026-141</t>
  </si>
  <si>
    <t>LIÊM CHÍNH THI CỬ VÀ THIẾT KẾ GIÁM SÁT DỰA TRÊN RỦI RO: BẰNG CHỨNG KINH TẾ LƯỢNG PHÁP CHỨNG TỪ DỮ LIỆU ĐIỂM THI THPT VIỆT NAM, 2017-2026</t>
  </si>
  <si>
    <t>Nguyễn Hoàng Minh Phương; Phan Ngọc Liễu; Lương Thị Diệu Hiền; Trần Thị Minh Thư; Huỳnh Tô Trúc Vy</t>
  </si>
  <si>
    <t>KHGD2026-141.png</t>
  </si>
  <si>
    <t>KHGD2026-142</t>
  </si>
  <si>
    <t>Ứng dụng bài tập bổ trợ chuyên môn nâng cao thành tích bơi ếch cho sinh viên đội tuyển bơi lội Trường Đại học Sư phạm Hà Nội</t>
  </si>
  <si>
    <t>Trần Phương Thảo</t>
  </si>
  <si>
    <t>KHGD2026-142.png</t>
  </si>
  <si>
    <t>KHGD2026-143</t>
  </si>
  <si>
    <t>Xây dựng và kiểm chứng mô hình ứng dụng trí tuệ nhân tạo trong thiết kế Cổng học liệu số nhằm nâng cao hiệu quả dạy học Cầu lông cho học sinh lớp 10 trường THPT Huỳnh Thúc Kháng, tỉnh Nghệ An</t>
  </si>
  <si>
    <t>Nguyễn Thị Thanh Minh; Thái Phúc Thành; Thái Thị Quỳnh Hoa</t>
  </si>
  <si>
    <t>KHGD2026-143.png</t>
  </si>
  <si>
    <t>KHGD2026-144</t>
  </si>
  <si>
    <t>ỨNG DỤNG PHÂN TÍCH ĐẶC ĐIỂM TRỌNG TÂM CƠ THỂ (COM) ĐỂ ĐIỀU CHỈNH MỘT SỐ KỸ THUẬT CƠ BẢN TRONG MÔN CẦU LÔNG CHO SINH VIÊN CHUYÊN SÂU TẠI ĐHSP TDTT TPHCM</t>
  </si>
  <si>
    <t>Trần Thị Kim Thoa; Diệp Như Anh</t>
  </si>
  <si>
    <t>KHGD2026-144.png</t>
  </si>
  <si>
    <t>KHGD2026-146</t>
  </si>
  <si>
    <t>Lựa chọn ứng dụng một số bài tập phát triển sức bật nhằm nâng cao thành tích nhảy cao kiểu bước qua cho nữ học sinh lớp 8 trường THCS Tân Hội</t>
  </si>
  <si>
    <t>Nguyễn Ngọc Bảo; Nguyễn Thanh Tâm; Phạm Thị An Hà</t>
  </si>
  <si>
    <t>KHGD2026-146.png</t>
  </si>
  <si>
    <t>KHGD2026-147</t>
  </si>
  <si>
    <t>FACTORS SHAPING STUDENTS’ CONTINUANCE INTENTION TO USE GENERATIVE AI FOR ACADEMIC PURPOSES: THE MEDIATING ROLE OF PERCEIVED USEFULNESS — EVIDENCE FROM A BILINGUAL HIGHER EDUCATION INSTITUTION IN VIETNAM</t>
  </si>
  <si>
    <t>Đoàn Nguyễn Khánh Linh</t>
  </si>
  <si>
    <t>KHGD2026-147.png</t>
  </si>
  <si>
    <t>KHGD2026-148</t>
  </si>
  <si>
    <t>TEACHER AND TECHNICAL SUPPORT IN AI-ASSISTED LEARNING: ASSOCIATIONS WITH BASIC PSYCHOLOGICAL NEED SATISFACTION, SELF-REPORTED AI LITERACY, AND PERCEIVED ACADEMIC PERFORMANCE AMONG UNIVERSITY STUDENTS IN HO CHI MINH CITY</t>
  </si>
  <si>
    <t>Võ Minh Hiến; Phạm Quang Khải</t>
  </si>
  <si>
    <t>KHGD2026-148.png</t>
  </si>
  <si>
    <t>KHGD2026-149</t>
  </si>
  <si>
    <t>Thực trạng trì hoãn việc phát triển bản thân của sinh viên trường Đại học Nghệ An</t>
  </si>
  <si>
    <t>Nguyễn Thuỳ Dương; Lê Văn Hiếu; Đặng Quỳnh Giang; Nguyễn Thị Thảo Hiền</t>
  </si>
  <si>
    <t>KHGD2026-149.png</t>
  </si>
  <si>
    <t>KHGD2026-150</t>
  </si>
  <si>
    <t>Student stress and academic achievement in International School students</t>
  </si>
  <si>
    <t>Dương Thị Khánh Linh; Bùi Thị Thùy Linh</t>
  </si>
  <si>
    <t>KHGD2026-150.png</t>
  </si>
  <si>
    <t>KHGD2026-151</t>
  </si>
  <si>
    <t>Áp dụng Trí tuệ nhân tạo và vấn đề Liêm chính học thuật (đạo đức học thuật) đối với sinh viên Việt Nam</t>
  </si>
  <si>
    <t>Nguyễn Thị Tuyết Lâm; Bùi Mai Chi; Đoàn Minh Đức</t>
  </si>
  <si>
    <t>KHGD2026-151.png</t>
  </si>
  <si>
    <t>KHGD2026-152</t>
  </si>
  <si>
    <t>Ý chí học tập của sinh viên chương trình đào tạo chất lượng cao tại một trường đại học ở Thành phố Hồ Chí Minh</t>
  </si>
  <si>
    <t>Phạm Phương Loan; Hồ Trúc Đào; Huỳnh Thị Hồng Phấn</t>
  </si>
  <si>
    <t>KHGD2026-152.png</t>
  </si>
  <si>
    <t>KHGD2026-153</t>
  </si>
  <si>
    <t>Ứng dụng công nghệ 3D vào thiết kế mascot hỗ trợ kỹ năng giao tiếp cho trẻ tự kỷ 5-10 tuổi</t>
  </si>
  <si>
    <t>Bùi Thị Hương Giang; Đặng Anh Thư; Nguyễn Hoàng Hồng Sơn; Vương Xuân Khang; Lê Nguyệt Minh</t>
  </si>
  <si>
    <t>Trường Đại học Kiến Trúc Hà Nội</t>
  </si>
  <si>
    <t>KHGD2026-153.png</t>
  </si>
  <si>
    <t>KHGD2026-154</t>
  </si>
  <si>
    <t>THE IMPACT OF AI-DRIVEN LEARNING ON STUDENTS’ PSYCHOLOGICAL WELL-BEING AND ACADEMIC INTEGRITY IN THE DIGITAL EDUCATION ERA: EVIDENCE FROM STUDENTS FROM UNIVERSITY OF ECONOMICS HO CHI MINH CITY, VIETNAM</t>
  </si>
  <si>
    <t>Trần Nam Khang; Đào Nguyễn Cẩm Tú; Dương Ngọc Diễm Quỳnh; Trần Nguyễn Gia Bảo; Lâm Bích Duyên</t>
  </si>
  <si>
    <t>Trường Đại học Kinh Tế TP. Hồ Chí Minh</t>
  </si>
  <si>
    <t>KHGD2026-154.png</t>
  </si>
  <si>
    <t>KHGD2026-155</t>
  </si>
  <si>
    <t>Ảnh hưởng của kiến thức về AI, thái độ đối với AI, niềm tin vào năng lực sử dụng AI đến thành tích học tập của sinh viên dưới vai trò điều tiết của thời lượng sử dụng AI và số năm học của sinh viên</t>
  </si>
  <si>
    <t>Đặng Hoàng Anh Thư; Nguyễn Thị Gia Khánh; Nguyễn Ngọc Quỳnh Như; Trương Nguyễn Huỳnh</t>
  </si>
  <si>
    <t>KHGD2026-155.png</t>
  </si>
  <si>
    <t>KHGD2026-156</t>
  </si>
  <si>
    <t>Mối liên hệ giữa các thành phần nhân cách theo mô hình HEXACO và nỗi sợ bị bỏ lỡ (Fear of Missing Out - FoMO) ở sinh viên</t>
  </si>
  <si>
    <t>Đỗ Quốc An</t>
  </si>
  <si>
    <t>KHGD2026-156.png</t>
  </si>
  <si>
    <t>KHGD2026-157</t>
  </si>
  <si>
    <t>Ảnh hưởng của mức độ phụ thuộc vào AI tạo sinh (Generative AI) đến khả năng sáng tạo của sinh viên</t>
  </si>
  <si>
    <t>Nguyễn Ngọc Bình An; Đỗ Quốc An; Lê Hòa Dân An; Phạm Hoàng Tâm An; Hà Nhật Khuê</t>
  </si>
  <si>
    <t>KHGD2026-157.png</t>
  </si>
  <si>
    <t>KHGD2026-158</t>
  </si>
  <si>
    <t>Khó khăn trong điều tiết cảm xúc và hành vi Trì hoãn học tập trong kỷ nguyên AI: Vai trò của Vốn tâm lý</t>
  </si>
  <si>
    <t>Nguyễn Huỳnh Ngọc ÁNh Như; Phạm Tất Đạt; Lê Bảo Toàn; Nguyễn Trần Mỹ Ý</t>
  </si>
  <si>
    <t>KHGD2026-158.png</t>
  </si>
  <si>
    <t>KHGD2026-159</t>
  </si>
  <si>
    <t>Thực nghiệm đánh giá tác động của nền tảng ChatGPT dựa trên tiếp cận nhận thức - Hành vi trong hỗ trợ tâm lý cho sinh viên có trầm cảm</t>
  </si>
  <si>
    <t>Nguyễn Võ Song Ân</t>
  </si>
  <si>
    <t>KHGD2026-159.png</t>
  </si>
  <si>
    <t>KHGD2026-160</t>
  </si>
  <si>
    <t>Tác động của chánh niệm lên sinh viên có mức độ trầm cảm trung bình tại Thành phố Hồ Chí Minh</t>
  </si>
  <si>
    <t>Nguyễn Ngọc Gia Uyên; Lê Hoàng Gia Mỹ; Nguyễn Tuấn Anh</t>
  </si>
  <si>
    <t>KHGD2026-160.png</t>
  </si>
  <si>
    <t>KHGD2026-161</t>
  </si>
  <si>
    <t>Ảnh hưởng của nội dung truyền cảm hứng trên TikTok đến động lực học tập của sinh viên tại TP.HCM</t>
  </si>
  <si>
    <t>Ngô Thị Lan Anh</t>
  </si>
  <si>
    <t>KHGD2026-161.png</t>
  </si>
  <si>
    <t>KHGD2026-162</t>
  </si>
  <si>
    <t>Mối liên hệ của thể hiện bản thân trên mạng xã hội đến cảm nhận hạnh phúc của sinh viên: vai trò trung gian của lòng tự trọng (nghiên cứu trên nhóm sinh viên có sử dụng ứng dụng Locket Widget)</t>
  </si>
  <si>
    <t>Trần Quốc Huy; Trần Tuấn Anh; Nguyễn Nam Trân; Phạm Mai Phương</t>
  </si>
  <si>
    <t>KHGD2026-162.png</t>
  </si>
  <si>
    <t>KHGD2026-163</t>
  </si>
  <si>
    <t>Đánh giá các yếu tố ảnh hưởng đến đông lực học tập của sinh viên Trường Đại học Thủ đô Hà Nội bằng phương pháp hồi quy đa biến.</t>
  </si>
  <si>
    <t>Nguyễn Thị Trang Huyền; Lã Quang Nam; Lê Hồng Thư; Nguyễn Quỳnh Anh; Nguyễn Trần Bảo Linh</t>
  </si>
  <si>
    <t>KHGD2026-163.png</t>
  </si>
  <si>
    <t>KHGD2026-164</t>
  </si>
  <si>
    <t>Khả năng thích nghi trong việc học ngoại ngữ có sự hỗ trợ công nghệ của sinh viên tại Thành phố Hồ Chí Minh</t>
  </si>
  <si>
    <t>Nguyễn Thanh Hòa; Nguyễn Dương Ngọc Hân; Đào Phương Trâm Anh; Đoàn Đức Mạnh; Lê Ngọc Bảo Hân</t>
  </si>
  <si>
    <t>KHGD2026-164.png</t>
  </si>
  <si>
    <t>KHGD2026-165</t>
  </si>
  <si>
    <t>MỨC ĐỘ SỬ DỤNG CHATGPT VÀO HỌC TẬP CỦA SINH VIÊN ĐẠI HỌC LUẬT HÀ NỘI</t>
  </si>
  <si>
    <t>Hà Công Tiến; Trần Thu Trang; Trần Viết Thành</t>
  </si>
  <si>
    <t>KHGD2026-165.png</t>
  </si>
  <si>
    <t>KHGD2026-166</t>
  </si>
  <si>
    <t>CALM4KIDS - KÊNH YOUTUBE LOW-STIMULATION (DỊU NHẸ) DẠY KỸ NĂNG SỐNG CHO TRẺ EM VIỆT NAM</t>
  </si>
  <si>
    <t>Lê Bích Thuỷ; Phạm Việt Hà; Nguyễn Hà Ngân; Nguyễn Tùng Chi</t>
  </si>
  <si>
    <t>Trường Đại học Ngoại Ngữ, ĐHQG Hà Nội</t>
  </si>
  <si>
    <t>KHGD2026-166.png</t>
  </si>
  <si>
    <t>KHGD2026-167</t>
  </si>
  <si>
    <t>Thúc đẩy đổi mới sáng tạo trong sinh viên trong bối cảnh học phần tâm lý học - trường hợp dự án bộ trò chơi GlobalTalk6 hỗ trợ học sinh luyện nói tiếng Anh theo chương trình Global Success</t>
  </si>
  <si>
    <t>Trần Thị Tâm Anh; Trần Thị Ngọc Minh; Nguyễn Minh Thư; Hoàng Hải Yến; Nguyễn Đặng Kim Ngân</t>
  </si>
  <si>
    <t>KHGD2026-167.png</t>
  </si>
  <si>
    <t>KHGD2026-168</t>
  </si>
  <si>
    <t>Các nhân tố tác động đến ý định khởi sự kinh doanh và kỳ vọng kết quả giáo dục thông qua cơ chế trung gian của học tập tự định hướng đối với sinh viên</t>
  </si>
  <si>
    <t>Trần Huy Dương; Vũ Khánh Linh; Lã Hoàng Linh; Nguyễn Phương Linh; Nguyễn Phương Linh</t>
  </si>
  <si>
    <t>KHGD2026-168.png</t>
  </si>
  <si>
    <t>KHGD2026-169</t>
  </si>
  <si>
    <t>The relationship between academic social comparison and academic stress among foreign-language undergraduates at a university in Hanoi</t>
  </si>
  <si>
    <t>Nguyễn Đức Hạnh; Đinh Lan Nhi; Vũ Thị Phương; Phạm Quỳnh Anh; Dương Thu Hà</t>
  </si>
  <si>
    <t>KHGD2026-169.png</t>
  </si>
  <si>
    <t>KHGD2026-170</t>
  </si>
  <si>
    <t>NGHIÊN CỨU CÁC YẾU TỐ ẢNH HƯỞNG ĐẾN NIỀM TIN CỦA SINH VIÊN ĐỐI VỚI CHATGPT</t>
  </si>
  <si>
    <t>Nguyễn Trần Quỳnh Như; Vương Thị Minh Châu; Dương Quyền Linh; Võ Công Vương Vũ</t>
  </si>
  <si>
    <t>KHGD2026-170.png</t>
  </si>
  <si>
    <t>KHGD2026-171</t>
  </si>
  <si>
    <t>CÁC NGUYÊN NHÂN VÀ KẾT QUẢ CỦA VIỆC SỬ DỤNG AI</t>
  </si>
  <si>
    <t>Trần Yên Trân; Nguyễn Anh Nhân; Lê Nguyễn Thiện Nhân; Bùi Văn Quốc</t>
  </si>
  <si>
    <t>KHGD2026-171.png</t>
  </si>
  <si>
    <t>KTCN2026-001</t>
  </si>
  <si>
    <t>Kỹ thuật công nghệ</t>
  </si>
  <si>
    <t>Nghiên cứu và phát triển mô hình robot di động bám quỹ đạo sử dụng thị giác máy tính để giám sát lộ trình</t>
  </si>
  <si>
    <t>Cao Thành Luân; Huỳnh Quốc Huy; Nguyễn Hữu Khang</t>
  </si>
  <si>
    <t>KTCN2026-001.png</t>
  </si>
  <si>
    <t>KTCN2026-002</t>
  </si>
  <si>
    <t>Thiết kế, chế tạo cánh tay robot dạng người tương tác điều khiển bằng thị giác máy tính hoặc nhận diện giọng nói</t>
  </si>
  <si>
    <t>Trần Hoàng Long; Vũ Đức Thành; Nguyễn Đình Hưng; Văn Hồng Ngọc; Tô Thế Đạt</t>
  </si>
  <si>
    <t>KTCN2026-002.png</t>
  </si>
  <si>
    <t>KTCN2026-003</t>
  </si>
  <si>
    <t>THIẾT KẾ VÀ CHẾ TẠO ACTUATOR VÒNG KÍN CHO HỆ ROBOT 4 CHÂN TỪ ĐỘNG CƠ BLDC (8318) NÔNG NGHIỆP</t>
  </si>
  <si>
    <t>Nguyễn Xuân Kỳ; Nguyễn Trung Nghĩa</t>
  </si>
  <si>
    <t>KTCN2026-003.png</t>
  </si>
  <si>
    <t>KTCN2026-004</t>
  </si>
  <si>
    <t>THIẾT KẾ VÀ CHẾ TẠO ROBOT QUADRUPED ỨNG DỤNG TRONG CỨU HỘ CỨU NẠN</t>
  </si>
  <si>
    <t>KTCN2026-004.png</t>
  </si>
  <si>
    <t>KTCN2026-005</t>
  </si>
  <si>
    <t>THIẾT KẾ HỆ THỐNG PHÂN LOẠI PHÔI TỰ ĐỘNG SỬ DỤNG ROBOT</t>
  </si>
  <si>
    <t>Nguyễn Quốc An; Trương Minh Vũ; Huỳnh Trí Hiếu</t>
  </si>
  <si>
    <t>KTCN2026-005.png</t>
  </si>
  <si>
    <t>KTCN2026-006</t>
  </si>
  <si>
    <t>Nghiên cứu và xây dựng hệ thống phát hiện sớm bệnh lá trên cây dưa lưới bằng học sâu phục vụ canh tác nhà màng</t>
  </si>
  <si>
    <t>Phạm Hồng Vinh; Trần Huỳnh Kha; Cao Văn Quý; Nguyễn Thanh Vũ</t>
  </si>
  <si>
    <t>KTCN2026-006.png</t>
  </si>
  <si>
    <t>KTCN2026-007</t>
  </si>
  <si>
    <t>MÔ HÌNH DRONE CHỮA CHÁY DÙNG CAMERA KẾT HỢP MÔ HÌNH HỌC SÂU</t>
  </si>
  <si>
    <t>Phan Trung Tiển; Nguyễn Minh Khôi; Hồ Đăng Khoa; Nguyễn Tuấn Khang; Huỳnh Thành Lộc</t>
  </si>
  <si>
    <t>KTCN2026-007.png</t>
  </si>
  <si>
    <t>KTCN2026-008</t>
  </si>
  <si>
    <t>Tính toán, thiết kế và chế tạo máy đúc khuôn quay có gia nhiệt</t>
  </si>
  <si>
    <t>Đinh Văn Chiến; Lại Hợp Đạt; Lê Trường Đạt; Trần Thành Tiến Đạt; Đỗ Quốc Dũng</t>
  </si>
  <si>
    <t>KTCN2026-008.png</t>
  </si>
  <si>
    <t>KTCN2026-009</t>
  </si>
  <si>
    <t>Tính toán, thiết kế và chế tạo Cơ cấu Tiện lục giác.</t>
  </si>
  <si>
    <t>Trần Ngọc Đầy; Lộ Ngọc Hùng; Nguyễn Thái Dương; Nguyễn Lê Khắc Đạt; Nguyễn Thành Đạt</t>
  </si>
  <si>
    <t>KTCN2026-009.png</t>
  </si>
  <si>
    <t>KTCN2026-010</t>
  </si>
  <si>
    <t>NGHIÊN CỨU, TÍNH TOÁN, THIẾT KẾ VÀ CHẾ TẠO MÁY SẤY CHUỐI QUY MÔ NHỎ SỬ DỤNG BỨC XẠ HALOGEN KẾT HỢP ĐỐI LƯU CƯỠNG BỨC</t>
  </si>
  <si>
    <t>Lê Phùng Hưng; Trần Giang Nam; Vũ Minh Nhật; Nguyễn Thanh Lộc; Trần Chiêu Phát</t>
  </si>
  <si>
    <t>KTCN2026-010.png</t>
  </si>
  <si>
    <t>KTCN2026-011</t>
  </si>
  <si>
    <t>PHÁT TRIỂN XE TỰ HÀNH - AMR 4-SWERVE TÍCH HỢP ROBOT CỘNG TÁC CHO TÁI HIỆN LỊCH SỬ, GIÁO DỤC TƯƠNG TÁC VÀ ỨNG DỤNG ĐA TÁC VỤ</t>
  </si>
  <si>
    <t>Nguyễn Quang Diệu; Nguyễn Minh Huy; Đào Huy Công; Phan Chí Nghị</t>
  </si>
  <si>
    <t>KTCN2026-011.png</t>
  </si>
  <si>
    <t>KTCN2026-012</t>
  </si>
  <si>
    <t>Thiết kế và phát triển hệ thống Drone kết hợp học sâu phục vụ khảo sát và phát hiện rác thải trái phép.</t>
  </si>
  <si>
    <t>Nguyễn Hoài Vũ; Bùi Tiến Minh; Nguyễn Đức Quyền; Dương Tiến Toàn</t>
  </si>
  <si>
    <t>KTCN2026-012.png</t>
  </si>
  <si>
    <t>KTCN2026-013</t>
  </si>
  <si>
    <t>Hệ thống tự động điều khiển UAV sử dụng thị giác máy tính cho nhiệm vụ cứu hộ</t>
  </si>
  <si>
    <t>Nguyễn Đức Trung; Lê Trí Đức</t>
  </si>
  <si>
    <t>KTCN2026-013.png</t>
  </si>
  <si>
    <t>KTCN2026-014</t>
  </si>
  <si>
    <t>Thiết kế, chế tạo thiết bị đếm thuốc tự động (dạng viên) ứng dụng thị giác máy tính</t>
  </si>
  <si>
    <t>Nguyễn Huỳnh Quốc Văn; Nguyễn Khánh Vinh</t>
  </si>
  <si>
    <t>KTCN2026-014.png</t>
  </si>
  <si>
    <t>KTCN2026-015</t>
  </si>
  <si>
    <t>Thiết kế và chế tạo máy mài dao tiện</t>
  </si>
  <si>
    <t>Nguyền Minh Tiến; Trần Quốc Thắng</t>
  </si>
  <si>
    <t>Trường Cao đẳng Công Thương miền Trung</t>
  </si>
  <si>
    <t>KTCN2026-015.png</t>
  </si>
  <si>
    <t>KTCN2026-016</t>
  </si>
  <si>
    <t>Thiết kế và chế tạo giường bệnh thông minh từ vật liệu tre, phục vụ bệnh nhân hạn chế vận động</t>
  </si>
  <si>
    <t>Nguyễn Hoàng Huy; Nguyễn Khánh Đoàn</t>
  </si>
  <si>
    <t>KTCN2026-016.png</t>
  </si>
  <si>
    <t>KTCN2026-017</t>
  </si>
  <si>
    <t>Nghiên cứu và phát triển thuật toán điều khiển đàn UAV Quadrotor không phụ thuộc GPS ứng dụng trong quản lý và giám sát nhà kho tự động</t>
  </si>
  <si>
    <t>Trần Thanh Duy; Phạm Hồng Đăng Khải; Trịnh Trường Đạt; Ngô Viết Lãm; Trần Long Tấn</t>
  </si>
  <si>
    <t>KTCN2026-017.png</t>
  </si>
  <si>
    <t>KTCN2026-018</t>
  </si>
  <si>
    <t>Thiết kế hệ thống xếp khay bánh tự động</t>
  </si>
  <si>
    <t>Phạm Nguyễn Hoài Thương; Đặng Quốc Quy; Trần Quang Phước; Vũ Hoàng Hải Long</t>
  </si>
  <si>
    <t>KTCN2026-018.png</t>
  </si>
  <si>
    <t>KTCN2026-019</t>
  </si>
  <si>
    <t>Nghiên cứu thiết kế, mô phỏng và chế tạo khuôn ép nhựa 3 tấm nhằm nâng cao chất lượng bề mặt và khả năng tự động tách cuống phun</t>
  </si>
  <si>
    <t>Nguyễn Vũ Hoàng Nhân; Lê Quang Tiến Thành; Đoàn Gia Bảo; Nguyễn Tấn Phương; Hoàng Gia Phi</t>
  </si>
  <si>
    <t>KTCN2026-019.png</t>
  </si>
  <si>
    <t>KTCN2026-020</t>
  </si>
  <si>
    <t>Nghiên cứu và phát triển tay máy 4 bậc tự do trong hệ thống gắp – phân loại tự động</t>
  </si>
  <si>
    <t>Nguyễn Mạnh Phát; Huỳnh Châu Nhựt Khương; Trần Ngọc Hoàng Long; Lê Gia Hiếu; Nguyễn Tiến Đạt</t>
  </si>
  <si>
    <t>KTCN2026-020.png</t>
  </si>
  <si>
    <t>KTCN2026-021</t>
  </si>
  <si>
    <t>Nghiên cứu và phát triển hệ thống robot 6 bậc tự do cho bài toán pick and place dựa trên ước lượng tư thế 6D bằng học sâu và thị giác lập thể</t>
  </si>
  <si>
    <t>Nguyễn Mai Nhựt Huy; Trần Xuân Huy; Phạm Gia Khiêm; Trần Lê Trung Hiếu</t>
  </si>
  <si>
    <t>KTCN2026-021.png</t>
  </si>
  <si>
    <t>KTCN2026-022</t>
  </si>
  <si>
    <t>Nghiên cứu, thiết kế và phát triển hệ thống robot Scara ứng dụng trí tuệ nhân tạo để chơi cờ vua tự động</t>
  </si>
  <si>
    <t>Nguyễn Đức Ánh; Lê Đức Anh; Vũ Đức Thịnh; Phan Võ Thanh Toàn; Trần Nguyên Hạo</t>
  </si>
  <si>
    <t>KTCN2026-022.png</t>
  </si>
  <si>
    <t>KTCN2026-023</t>
  </si>
  <si>
    <t>Ứng dụng công nghệ xử lý ảnh nhiệt trong giám sát thân nhiệt trên cơ thể lợn nuôi</t>
  </si>
  <si>
    <t>Nguyễn Tuấn Ngọc; Lý Trung Minh; Nguyễn Tuấn Huy; Trần Bảo Lâm; Lê Huy Hoàng</t>
  </si>
  <si>
    <t>KTCN2026-023.png</t>
  </si>
  <si>
    <t>KTCN2026-024</t>
  </si>
  <si>
    <t>Xây dựng mô hình dây chuyền phân loại dược phẩm thông minh ứng dụng PLC, IoT và xử lý ảnh</t>
  </si>
  <si>
    <t>Nguyễn Tuấn Thạnh; Ngô Ngọc Thiên; Nguyễn Văn An; Cao Chí Tài; Nguyễn Tấn Phát</t>
  </si>
  <si>
    <t>KTCN2026-024.png</t>
  </si>
  <si>
    <t>KTCN2026-025</t>
  </si>
  <si>
    <t>Nghiên cứu và ứng dụng bản sao số trong mô phỏng dây chuyền sản xuất mini tích hợp PLC và IoT</t>
  </si>
  <si>
    <t>Lê Tuấn Ngọc; Phạm Ngọc Quốc Việt; Nguyễn Đỗ Minh Quân; Trần Nhật Nam</t>
  </si>
  <si>
    <t>KTCN2026-025.png</t>
  </si>
  <si>
    <t>KTCN2026-026</t>
  </si>
  <si>
    <t>Thiết kế và thi công mô hình robot pha chế cà phê tự động</t>
  </si>
  <si>
    <t>Phan Tấn Phát</t>
  </si>
  <si>
    <t>KTCN2026-026.png</t>
  </si>
  <si>
    <t>KTCN2026-027</t>
  </si>
  <si>
    <t>Thiết kế mô hình cánh tay giải phối Bubik 3x3 cơ bản</t>
  </si>
  <si>
    <t>Vũ Tăng Ba</t>
  </si>
  <si>
    <t>KTCN2026-027.png</t>
  </si>
  <si>
    <t>KTCN2026-028</t>
  </si>
  <si>
    <t>Thiết kế hệ thống điều khiển lực căng thu xả cuộn</t>
  </si>
  <si>
    <t>Trần Thanh Tiến</t>
  </si>
  <si>
    <t>KTCN2026-028.png</t>
  </si>
  <si>
    <t>KTCN2026-029</t>
  </si>
  <si>
    <t>Khảo sát ảnh hưởng của lực ép tỉnh đến ứng xuất dư và chiều sau nén trong quá trình cán siêu âm bề mặt hợp kim nhôm 6061</t>
  </si>
  <si>
    <t>Phan Trần Nhất Huy</t>
  </si>
  <si>
    <t>KTCN2026-029.png</t>
  </si>
  <si>
    <t>KTCN2026-030</t>
  </si>
  <si>
    <t>THIẾT KẾ VÀ CHẾ TẠO MÁY LÀM NGUYÊN LIỆU NHỰA CHO MÁY IN FDM TỪ VỎ CHAI NHỰA PHẾ LIỆU</t>
  </si>
  <si>
    <t>Đặng Hồ Thanh Phương; Phạm Trọng Tuấn</t>
  </si>
  <si>
    <t>KTCN2026-030.png</t>
  </si>
  <si>
    <t>KTCN2026-031</t>
  </si>
  <si>
    <t>NGHIÊN CỨU CHẾ TẠO THIẾT BỊ GIA CÔNG THÔNG MINH ĐA NHIỆM TÍCH HỢP CÔNG NGHỆ IN 3D FDM VÀ PHAY CNC</t>
  </si>
  <si>
    <t>VŨ HUY HOÀNG; TRẦN HỮU THÀNH; BÙI CÔNG NAM; NGUYỄN XUÂN HIẾU</t>
  </si>
  <si>
    <t>KTCN2026-031.png</t>
  </si>
  <si>
    <t>KTCN2026-032</t>
  </si>
  <si>
    <t>NGHIÊN CỨU, XÂY DỰNG HỆ THỐNG SCADA CHẨN ĐOÁN SỚM SỰ CỐ MÁY CHÍNH TÀU THỦY DỰA TRÊN MÔ HÌNH BẢN SAO SỐ KẾT HỢP TRÍ TUỆ NHÂN TẠO VÀ ĐIỆN TOÁN BIÊN</t>
  </si>
  <si>
    <t>MẠC TRUNG PHÚC; NGUYỄN TRỌNG HOÀNG BÌNH; NGUYỄN HOÀNG NAM; NGUYỄN DUY ANH</t>
  </si>
  <si>
    <t>KTCN2026-032.png</t>
  </si>
  <si>
    <t>KTCN2026-033</t>
  </si>
  <si>
    <t>Mô hình hóa động lực học hệ phi tuyến UAV - Con lắc đơn chiều dài biến thiên và giải pháp triệt tiêu dao động ứng dụng trong tiếp tế không gian hẹp</t>
  </si>
  <si>
    <t>Huỳnh Nhựt Cường; Đinh Ngọc Anh; Vũ Thị Thanh Thảo</t>
  </si>
  <si>
    <t>KTCN2026-033.png</t>
  </si>
  <si>
    <t>KTCN2026-034</t>
  </si>
  <si>
    <t>NGHIÊN CỨU VÀ THIẾT KẾ PHƯƠNG TIỆN TỰ HÀNH TRÊN MẶT NƯỚC ĐỂ THU GOM RÁC THẢI NHỰA SỬ DỤNG CÔNG NGHỆ HỌC TĂNG CƯỜNG</t>
  </si>
  <si>
    <t>Thái Gia Bảo; Đậu Đình Khánh; Từ Lễ An; Huỳnh Trọng Ơn</t>
  </si>
  <si>
    <t>KTCN2026-034.png</t>
  </si>
  <si>
    <t>KTCN2026-035</t>
  </si>
  <si>
    <t>Nghiên cứu, thiết kế và chế tạo hệ thống định vị thời gian thực sử dụng công nghệ Ultra-Wideband (UWB) cho robot tự hành</t>
  </si>
  <si>
    <t>Mai Thanh Phương; Đinh Đồng Sơn</t>
  </si>
  <si>
    <t>KTCN2026-035.png</t>
  </si>
  <si>
    <t>KTCN2026-036</t>
  </si>
  <si>
    <t>Nghiên cứu, thiết kế và chế tạo máy bán hàng tự động dùng cho các sản phẩm nông nghiệp</t>
  </si>
  <si>
    <t>Trần Quang Minh; Võ Trung Nguyên</t>
  </si>
  <si>
    <t>KTCN2026-036.png</t>
  </si>
  <si>
    <t>KTCN2026-037</t>
  </si>
  <si>
    <t>Nghiên cứu, chế tạo robot tự hành thông minh sử dụng Lidar và Slam ứng dụng trong công nghiệp 4.0 và dịch vụ Logistic</t>
  </si>
  <si>
    <t>Phan Thế Mạnh; Lã Văn Đô; Phạm Đức Minh</t>
  </si>
  <si>
    <t>KTCN2026-037.png</t>
  </si>
  <si>
    <t>KTCN2026-038</t>
  </si>
  <si>
    <t>Nghiên cứu phát triển nền tảng bệnh viện cây trồng số ứng dụng trí tuệ nhân tạo trong chẩn đoán, tư vấn điều trị và quản lý sức khỏe cây trồng</t>
  </si>
  <si>
    <t>Trần Trung Tiến; Bùi Gia Kiệt; Trần Minh Quang</t>
  </si>
  <si>
    <t>KTCN2026-038.png</t>
  </si>
  <si>
    <t>KTCN2026-039</t>
  </si>
  <si>
    <t>Hệ thống tín hiệu giao thông thông minh hỗ trợ người yếu thế</t>
  </si>
  <si>
    <t>Nguyễn Hồng Phước; Nguyễn Khánh Hoàng; Phạm Thị Điệp Oanh</t>
  </si>
  <si>
    <t>KTCN2026-039.png</t>
  </si>
  <si>
    <t>KTCN2026-040</t>
  </si>
  <si>
    <t>Nghiên cứu và phát triển phương pháp tự động chỉnh định hệ số gamma cho quá trình thu nhận ảnh cho robot di động sử dụng trí tuệ nhân tạo</t>
  </si>
  <si>
    <t>Nguyễn Minh Gia Bảo; Võ Đang Huy</t>
  </si>
  <si>
    <t>KTCN2026-040.png</t>
  </si>
  <si>
    <t>KTCN2026-041</t>
  </si>
  <si>
    <t>Nghiên cứu phương pháp Hybrid AI kết hợp GenAI và AI truyền thống cho điều khiển thích nghi robot di động trong các điều kiện ánh sáng khác nhau</t>
  </si>
  <si>
    <t>Đào Quang Thái; Lý Khánh Toàn; Phạm Thái Minh Đăng; Vũ Lê Duy</t>
  </si>
  <si>
    <t>KTCN2026-041.png</t>
  </si>
  <si>
    <t>KTCN2026-042</t>
  </si>
  <si>
    <t>PHÁT TRIỂN NỀN TẢNG ROBOT CONTINUUM HƯỚNG ĐẾN ỨNG DỤNG NỘI SOI Y SINH</t>
  </si>
  <si>
    <t>Đỗ Đức Nghĩa; Lê Doãn Dũng; Phạm Toàn Đại Lợi</t>
  </si>
  <si>
    <t>KTCN2026-042.png</t>
  </si>
  <si>
    <t>KTCN2026-043</t>
  </si>
  <si>
    <t>MŨ BẢO HIỂM NỬA ĐẦU TÍCH HỢP TÚI KHÍ</t>
  </si>
  <si>
    <t>Ôn Thanh Tú; Huỳnh Tuấn Kiệt; Trương Tấn Phát; Phạm Quốc Lợi</t>
  </si>
  <si>
    <t>KTCN2026-043.png</t>
  </si>
  <si>
    <t>KTCN2026-044</t>
  </si>
  <si>
    <t>ỨNG DỤNG PHYSICS- IMFORMED NEUTRAL NETWORK VÀ CS-DSG3 TRONG PHÂN TÍCH CƠ HỌC VỞ COMPOSITE CÁNH MÁY BAY BIẾN HÌNH</t>
  </si>
  <si>
    <t>Lê Việt Đức; Nguyễn Lê Hy; Trần Thế Vũ</t>
  </si>
  <si>
    <t>KTCN2026-044.png</t>
  </si>
  <si>
    <t>KTCN2026-045</t>
  </si>
  <si>
    <t>DESIGN OF A DUAL ADAPTIVE FRACTIONAL ORDER SUPER TWISTING SLIDING MODE CONTROLLER (DA-FOSTSMC) FOR A 2-DOF ACTUATOR USING FOR PHYSICAL PHYSIOTHERAPY</t>
  </si>
  <si>
    <t>Nguyễn Phước Nam; Vũ Hoàng Bảo; Thái Quốc Vinh; Đặng Tuấn Khoa; Diệp Tường Bảo Ngọc</t>
  </si>
  <si>
    <t>KTCN2026-045.png</t>
  </si>
  <si>
    <t>KTCN2026-046</t>
  </si>
  <si>
    <t>PHÁT TRIỂN ROBOT HÌNH NGƯỜI ỨNG DỤNG THỊ GIÁC MÁY TÍNH HỖ TRỢ GIAO TIẾP CỬ CHỈ VÀ ĐÁNH GIÁ CHỨC NĂNG VẬN ĐỘNG TỰ ĐỘNG</t>
  </si>
  <si>
    <t>Phan Ngọc Thọ; Nguyễn Đức Toàn; Phan Nhật Tín; Huỳnh Tuấn Khôi; Lê Đại Hiệp</t>
  </si>
  <si>
    <t>KTCN2026-046.png</t>
  </si>
  <si>
    <t>KTCN2026-047</t>
  </si>
  <si>
    <t>Thiết bị theo dõi sức khỏe thông minh</t>
  </si>
  <si>
    <t>Đặng Trương Trí Đức; Phan Ngọc Gia Hân; Nguyễn Hoàng Phúc</t>
  </si>
  <si>
    <t>KTCN2026-047.png</t>
  </si>
  <si>
    <t>KTCN2026-048</t>
  </si>
  <si>
    <t>Phát triển hệ thống sửa lỗi và chấm điểm chính tả tự động cho học sinh tiểu học</t>
  </si>
  <si>
    <t>Dương Thành Long; Phạm Nguyễn Tuấn Kiệt</t>
  </si>
  <si>
    <t>KTCN2026-048.png</t>
  </si>
  <si>
    <t>KTCN2026-049</t>
  </si>
  <si>
    <t>Thiết kế hệ thống phát hiện và cảnh báo ngủ gật khi lái xe</t>
  </si>
  <si>
    <t>Trịnh Đăng Hà; Nguyễn Duy Khánh; Khổng Minh Duy</t>
  </si>
  <si>
    <t>KTCN2026-049.png</t>
  </si>
  <si>
    <t>KTCN2026-050</t>
  </si>
  <si>
    <t>Nghiên cứu, thiết kế, chế tạo tủ nhắc thuốc tự động</t>
  </si>
  <si>
    <t>Vũ Minh Đức; Lê Khắc Thịnh; Lê Hoàng Anh</t>
  </si>
  <si>
    <t>KTCN2026-050.png</t>
  </si>
  <si>
    <t>KTCN2026-051</t>
  </si>
  <si>
    <t>Ứng dụng thiết bị đeo thông minh phục vụ giám sát và cảnh báo tình trạng lính cứu hỏa trong môi trường nguy hiểm theo thời gian thực.</t>
  </si>
  <si>
    <t>Bùi Việt Hoàn; Bàn Thị Duyên; Nguyễn Hà Khánh; Nguyễn Hậu Trọng; Đinh Ngọc Anh</t>
  </si>
  <si>
    <t>KTCN2026-051.png</t>
  </si>
  <si>
    <t>KTCN2026-052</t>
  </si>
  <si>
    <t>Development of Sensor Probes and Deep-Learning Applications for Corrosion Detection and Quantification Using Pulsed Eddy Current Sensing Systems</t>
  </si>
  <si>
    <t>Ngô Tùng Dương; Nguyễn Bá Long; Triệu Trung Hiếu; Lê Lan Chi</t>
  </si>
  <si>
    <t>KTCN2026-052.png</t>
  </si>
  <si>
    <t>KTCN2026-053</t>
  </si>
  <si>
    <t>AI Co-Scientist: A Human-in-the-Loop Automated System for Non-Destructive Testing</t>
  </si>
  <si>
    <t>Lê Đức Hòa</t>
  </si>
  <si>
    <t>KTCN2026-053.png</t>
  </si>
  <si>
    <t>KTCN2026-054</t>
  </si>
  <si>
    <t>NGHIÊN CỨU, THIẾT KẾ VÀ CHẾ TẠO BỘ LỌC TÍCH CỰC MỘT PHA TÍCH HỢP IoT GIÁM SÁT, ĐIỀU KHIỂN VÀ GIẢM SÓNG HÀI TRONG HỆ THỐNG ĐIỆN TÒA NHÀ</t>
  </si>
  <si>
    <t>Đăng Xuân Bách; Vũ Anh Đức; Nguyễn Đức Thắng</t>
  </si>
  <si>
    <t>KTCN2026-054.png</t>
  </si>
  <si>
    <t>KTCN2026-055</t>
  </si>
  <si>
    <t>Nghiên cứu thiết kế và chế tạo Drone sử dụng ESP32 và MPU6050</t>
  </si>
  <si>
    <t>Nguyễn Hà Nam Khánh; Hoàng Phạm Trung Thái; Trần Anh Quân</t>
  </si>
  <si>
    <t>KTCN2026-055.png</t>
  </si>
  <si>
    <t>KTCN2026-056</t>
  </si>
  <si>
    <t>Nghiên cứu, thiết kế bộ KIT vệ sinh tự động dành cho máy pha cà phê.</t>
  </si>
  <si>
    <t>Trần Quang Khải; Nguyễn Hoàng Trung Trực; Nguyễn Thiện Tấn Tài; Đoàn Minh Phương; Nguyễn Thùy Trang</t>
  </si>
  <si>
    <t>KTCN2026-056.png</t>
  </si>
  <si>
    <t>KTCN2026-057</t>
  </si>
  <si>
    <t>Thiết kế vi mạch mã hóa và giải mã AES-128 trên FPGA</t>
  </si>
  <si>
    <t>Vũ Như Mạnh; Dương Quốc An</t>
  </si>
  <si>
    <t>KTCN2026-057.png</t>
  </si>
  <si>
    <t>KTCN2026-058</t>
  </si>
  <si>
    <t>Nghiên cứu chế tạo robot cân bằng hai bánh</t>
  </si>
  <si>
    <t>Bùi Tiến Đạt</t>
  </si>
  <si>
    <t>KTCN2026-058.png</t>
  </si>
  <si>
    <t>KTCN2026-059</t>
  </si>
  <si>
    <t>Lượng tử hóa mô hình học sâu cho bài toán đếm và phân loại phương tiện giao thông</t>
  </si>
  <si>
    <t>Nguyễn Ngọc Mỹ; Lê Ngọc Tuyết My; Nguyễn Thão Trang; Nguyễn Thị Cẩm Nhung; Nguyễn Duy Lâm</t>
  </si>
  <si>
    <t>KTCN2026-059.png</t>
  </si>
  <si>
    <t>KTCN2026-060</t>
  </si>
  <si>
    <t>Nghiên cứu xây dựng bộ giảm áp đa mức ứng dụng trong hệ thống năng lượng tái tạo</t>
  </si>
  <si>
    <t>Nguyễn Văn Tiến; Phan Văn Ninh</t>
  </si>
  <si>
    <t>KTCN2026-060.png</t>
  </si>
  <si>
    <t>KTCN2026-061</t>
  </si>
  <si>
    <t>Thiết kế, thi công hệ thống ATS dùng LOGO SIEMENS giám sát qua tin nhắn</t>
  </si>
  <si>
    <t>Huỳnh Gia Bảo</t>
  </si>
  <si>
    <t>KTCN2026-061.png</t>
  </si>
  <si>
    <t>KTCN2026-062</t>
  </si>
  <si>
    <t>Máy thu hoạch và đóng gói rau tự động</t>
  </si>
  <si>
    <t>Nguyễn Huỳnh Phúc Lượng; Nguyễn Khánh Duy</t>
  </si>
  <si>
    <t>KTCN2026-062.png</t>
  </si>
  <si>
    <t>KTCN2026-063</t>
  </si>
  <si>
    <t>Xuồng vớt rác nổi tự động trên kênh rạch Thành phố Hồ Chí Minh</t>
  </si>
  <si>
    <t>Nguyễn Ngọc Nhiều; Nguyễn Hữu Trọng; Nguyễn Đăng Khoa</t>
  </si>
  <si>
    <t>KTCN2026-063.png</t>
  </si>
  <si>
    <t>KTCN2026-064</t>
  </si>
  <si>
    <t>Máy phân loại trái cây tự động</t>
  </si>
  <si>
    <t>Nguyễn Khánh Duy; Nguyễn Huỳnh Phúc Lượng; Nguyễn Thanh Duy</t>
  </si>
  <si>
    <t>KTCN2026-064.png</t>
  </si>
  <si>
    <t>KTCN2026-065</t>
  </si>
  <si>
    <t>Hệ thống đo lường và cảnh báo bụi ứng dụng công nghệ IoT</t>
  </si>
  <si>
    <t>Huỳnh Thiện Bảo</t>
  </si>
  <si>
    <t>KTCN2026-065.png</t>
  </si>
  <si>
    <t>KTCN2026-066</t>
  </si>
  <si>
    <t>Thiết kế và chế tạo robot sơn tường tự động</t>
  </si>
  <si>
    <t>Phan Chí Bảo; Nguyễn Văn Nhân</t>
  </si>
  <si>
    <t>KTCN2026-066.png</t>
  </si>
  <si>
    <t>KTCN2026-067</t>
  </si>
  <si>
    <t>Hệ thống trí tuệ nhân tạo trên FPGA xử lý dữ liệu y sinh thời gian thực</t>
  </si>
  <si>
    <t>Vũ Hiếu Nghĩa; Võ Nguyễn Cường</t>
  </si>
  <si>
    <t>KTCN2026-067.png</t>
  </si>
  <si>
    <t>KTCN2026-068</t>
  </si>
  <si>
    <t>Thiết kế kiến trúc ánh xạ hai chế độ có nhận biết tái sử dụng cho bộ tăng tốc Folded-SIMD trên các mạng tín hiệu sinh học 1D không đồng nhất.</t>
  </si>
  <si>
    <t>Phạm Quốc Thịnh</t>
  </si>
  <si>
    <t>KTCN2026-068.png</t>
  </si>
  <si>
    <t>KTCN2026-069</t>
  </si>
  <si>
    <t>Ứng dụng phương pháp Entropy Weighting và Simple Additive Weighting phục vụ xếp hạng phụ tải trong lưới điện Microgrid</t>
  </si>
  <si>
    <t>Nguyễn Thành Khoa</t>
  </si>
  <si>
    <t>KTCN2026-069.png</t>
  </si>
  <si>
    <t>KTCN2026-070</t>
  </si>
  <si>
    <t>XÂY DỰNG HỆ THỐNG ĐIỀU KHIỂN MÁY TÍNH ỨNG DỤNG ÁNH XẠ TUYẾN TÍNH VÀ MÔ HÌNH NGÔN NGỮ LỚN DÀNH CHO NGƯỜI SUY GIẢM VẬN ĐỘNG TAY</t>
  </si>
  <si>
    <t>Đào Đăng Khoa; Tạ Phúc Lâm</t>
  </si>
  <si>
    <t>KTCN2026-070.png</t>
  </si>
  <si>
    <t>KTCN2026-071</t>
  </si>
  <si>
    <t>Ứng dụng IOT và PLC trong hệ thống phân loại sản phẩm dựa trên màu sắc</t>
  </si>
  <si>
    <t>Nguyễn Thành Đạt; Phạm Nguyễn Minh Tiến</t>
  </si>
  <si>
    <t>KTCN2026-071.png</t>
  </si>
  <si>
    <t>KTCN2026-072</t>
  </si>
  <si>
    <t>Nghiên cứu thiết kế bộ tăng tốc phần cứng sử dụng mô hình mạng nơ ron MOBILENETV2-ECA trong ứng dụng phân loại âm thanh tại biên thời gian thực trên FPGA SOC</t>
  </si>
  <si>
    <t>Vũ Tiến Quốc; Nguyễn Duyên Huy; Trần Nguyễn Nhật Tân; Phan Quang Hưng; Nguyễn Văn Quyến</t>
  </si>
  <si>
    <t>KTCN2026-072.png</t>
  </si>
  <si>
    <t>KTCN2026-073</t>
  </si>
  <si>
    <t>Thiết kế bộ tăng tốc Crypto-IDS đa tầng trên FPGA giải mã có xác thực AES-256-CCM theo luồng và lõi điều phối phát hiện xâm nhập thích nghi chống đa hình thức tấn công cho hệ thống AIoT</t>
  </si>
  <si>
    <t>Vũ Tiến Quốc; Phan Quang Hưng; Nguyễn Văn Quyến; Đặng Thanh Sơn; Lê Tùng Dương</t>
  </si>
  <si>
    <t>KTCN2026-073.png</t>
  </si>
  <si>
    <t>KTCN2026-074</t>
  </si>
  <si>
    <t>KỸ THUẬT PHÂN TÍCH DÒNG ĐIỆN ĐỘNG CƠ ỨNG DỤNG MÔ HÌNH MẠNG NƠ RON CHẬP 1 CHIỀU TRONG CHẨN ĐOÁN SỚM LỖI VÒNG BI Ở ĐỘNG CƠ KHÔNG ĐỒNG BỘ BA PHA</t>
  </si>
  <si>
    <t>Nguyễn Phúc Huy; Trần Minh Huy; Hồ Chu Văn Tài; Nguyễn Quang Minh</t>
  </si>
  <si>
    <t>KTCN2026-074.png</t>
  </si>
  <si>
    <t>KTCN2026-075</t>
  </si>
  <si>
    <t>THIẾT KẾ ANTEN MẢNG ĐỘ LỢI CAO BĂNG TẦN 5G n78 ỨNG DỤNG TRONG THIẾT BỊ HỖ TRỢ CỨU HỘ CỨU NẠN THIÊN TAI</t>
  </si>
  <si>
    <t>Lê Phạm Tiến Đạt; Trần Ngọc Xuân Bình; Phạm Minh Quang; Nguyễn Thị Phương Thảo; Nguyễn Huỳnh Đức</t>
  </si>
  <si>
    <t>KTCN2026-075.png</t>
  </si>
  <si>
    <t>KTCN2026-076</t>
  </si>
  <si>
    <t>ỨNG DỤNG TRÍ TUỆ NHÂN TẠO DỰ BÁO NHU CẦU HÀNH KHÁCH TUYẾN ĐƯỜNG SẮT TỐC ĐỘ CAO BẮC – NAM TRONG ĐIỀU KIỆN THIẾU DỮ LIỆU VẬN HÀNH</t>
  </si>
  <si>
    <t>HỒ THỊ TRANG NHUNG</t>
  </si>
  <si>
    <t>KTCN2026-076.png</t>
  </si>
  <si>
    <t>KTCN2026-077</t>
  </si>
  <si>
    <t>MÔ PHỎNG VÀ ĐÁNH GIÁ HIỆU QUẢ HOẠT ĐỘNG LĂN CỦA TÀU BAY SỬ DỤNG FOLLOW-THE-GREENS TẠI SÂN BAY TÂN SƠN NHẤT</t>
  </si>
  <si>
    <t>Nguyễn Thị Phương Thảo; Nguyễn Thị Tường Vy; Vũ Ngọc Quỳnh Như; Lê Dương Bảo</t>
  </si>
  <si>
    <t>KTCN2026-077.png</t>
  </si>
  <si>
    <t>KTCN2026-078</t>
  </si>
  <si>
    <t>LỢI ÍCH CÁ NHÂN VÀ XÃ HỘI CỦA MÔ HÌNH ĐI CHUNG XE CHO SINH VIÊN TẠI TP HỒ CHÍ MINH: NGHIÊN CỨU VỀ MỨC ĐỘ KHẢ THI GIẢI PHÁP ỨNG DỤNG COGO</t>
  </si>
  <si>
    <t>Hoàng Bảo Hân; Thái Trung Nhớ</t>
  </si>
  <si>
    <t>KTCN2026-078.png</t>
  </si>
  <si>
    <t>KTCN2026-079</t>
  </si>
  <si>
    <t>NGHIÊN CỨU HỆ THỐNG DATALINK – TAXI (D-TAXI) TRONG VIỆC NÂNG CAO HIỆU SUẤT VẬN HÀNH VÀ KHAI THÁC AN TOÀN TẠI CẢNG HÀNG KHÔNG QUỐC TẾ TÂN SƠN NHẤT</t>
  </si>
  <si>
    <t>Đinh Tiền Phương Giao; Vũ Hoàng Nhật Phúc</t>
  </si>
  <si>
    <t>KTCN2026-079.png</t>
  </si>
  <si>
    <t>KTCN2026-080</t>
  </si>
  <si>
    <t>Tối ưu hoá mạng lưới trạm đổi pin phục vụ hoạt động giao hàng chặng cuối của shipper tại các phường Thạnh Mỹ Tây, Bình Thạnh và Gia Định, TP. HCM</t>
  </si>
  <si>
    <t>Trần Thị Tuyết Băng; Nguyễn Công Anh Vũ; Võ Thị Ngọc Hân; Đặng Trọng Hiển; Nguyễn Lê Phương Thảo</t>
  </si>
  <si>
    <t>KTCN2026-080.png</t>
  </si>
  <si>
    <t>KTCN2026-081</t>
  </si>
  <si>
    <t>Giải pháp nâng cao năng lực vận tải thủy nội địa thành phố hồ chí minh theo hướng phát triển logistics xanh và bền vững</t>
  </si>
  <si>
    <t>Nguyễn Thị Anh Thư; Ngô Nguyễn Minh Như; Đặng Trần Hải Thảo; Phạm Trí Tài; Cù Minh Nguyệt</t>
  </si>
  <si>
    <t>KTCN2026-081.png</t>
  </si>
  <si>
    <t>KTCN2026-082</t>
  </si>
  <si>
    <t>Xây dựng hệ thống hỗ trợ ra quyết định thời điểm khởi hành cho phương tiện thủy nội địa tại Đồng bằng sông Cửu Long</t>
  </si>
  <si>
    <t>Trương Tú Uyên; Hoàng Nguyễn Anh Đức; Hà Lý Tố Như; Phạm Quỳnh Như; Nguyễn Quốc Thống</t>
  </si>
  <si>
    <t>KTCN2026-082.png</t>
  </si>
  <si>
    <t>KTCN2026-083</t>
  </si>
  <si>
    <t>Đánh giá tiềm năng ứng dụng nhiên liệu amoniac (NH₃) cho phương tiện thủy nội địa nhằm giảm phát thải, gắn với phát triển cảng xanh tại cụm cảng Cái Mép – Thị Vải</t>
  </si>
  <si>
    <t>Hà Lý Tố Như; Trương Tú Uyên; Phạm Thị Thanh Hương; PHẠM QUỲNH NHƯ; Lê Minh Thư</t>
  </si>
  <si>
    <t>KTCN2026-083.png</t>
  </si>
  <si>
    <t>KTCN2026-084</t>
  </si>
  <si>
    <t>Nghiên cứu mô hình M2GA-LM tích hợp metro với phương tiện không người lái và xe điện trong giao hàng chặng cuối thí điểm tại TP. HCM</t>
  </si>
  <si>
    <t>Phạm Quỳnh Như; Lê Minh Thư; Hà Lý Tố Như; Trương Tú Uyên; Nguyễn Quốc Thống</t>
  </si>
  <si>
    <t>KTCN2026-084.png</t>
  </si>
  <si>
    <t>KTCN2026-085</t>
  </si>
  <si>
    <t>Đánh giá rào cản và đề xuất giải pháp phát triển hạ tầng cảng trung chuyển quốc tế Cần Giờ theo định hướng cảng xanh và bền vững</t>
  </si>
  <si>
    <t>Nguyễn Thị Anh Thư; Nguyễn Như Quỳnh; Trần Quốc Thái</t>
  </si>
  <si>
    <t>KTCN2026-085.png</t>
  </si>
  <si>
    <t>KTCN2026-086</t>
  </si>
  <si>
    <t>Nghiên cứu, thiết kế hệ thống điều tiết giao thông thông minh thời gian thực ứng dụng công nghệ Digital Twin</t>
  </si>
  <si>
    <t>NGUYỄN TRẦN PHÚ; NGUYỄN THỊ QUỲNH GIAO</t>
  </si>
  <si>
    <t>KTCN2026-086.png</t>
  </si>
  <si>
    <t>KTCN2026-087</t>
  </si>
  <si>
    <t>Nghiên cứu thiết kế hệ thống giám sát, định vị trong việc phân tích hành vi và nguy cơ tai nạn trong tàu thủy trên nền tảng công nghệ IoT và AI</t>
  </si>
  <si>
    <t>NGUYỄN ĐÌNH ANH TUẤN; PHẠM QUẾ ANH; NGUYỄN TRẦN KIỀU KHANH</t>
  </si>
  <si>
    <t>KTCN2026-087.png</t>
  </si>
  <si>
    <t>KTCN2026-088</t>
  </si>
  <si>
    <t>Lookahead-Aware Hierarchical Reinforcement Learning for Solving FSMVRP</t>
  </si>
  <si>
    <t>Ngô Gia Phong; Nguyễn Thành Đạt; Nguyễn Tuấn Khôi</t>
  </si>
  <si>
    <t>KTCN2026-088.png</t>
  </si>
  <si>
    <t>KTCN2026-089</t>
  </si>
  <si>
    <t>A Freshness-Aware Cold-Chain Vehicle Routing Problem with Carbon Emission Consideration: An Adaptive Large Neighborhood Search Approach</t>
  </si>
  <si>
    <t>Trần Minh Hạnh</t>
  </si>
  <si>
    <t>KTCN2026-089.png</t>
  </si>
  <si>
    <t>KTCN2026-090</t>
  </si>
  <si>
    <t>GREEN DELIVERY ROUTING OPTIMIZATION FOR WAREHOUSE OPERATIONS CONSIDERING CARBON EMISSIONS AND PENALTY COST</t>
  </si>
  <si>
    <t>Trần Nguyễn Phương Duy; Nguyễn Trần Phúc Anh; Đặng Lê Anh Thư</t>
  </si>
  <si>
    <t>KTCN2026-090.png</t>
  </si>
  <si>
    <t>KTCN2026-091</t>
  </si>
  <si>
    <t>TRANSPORTATION ROUTE OPTIMIZATION USING THE VEHICLE ROUTING PROBLEM WITH BACKHAULS: A CASE STUDY OF GO! SOUTHERN DISTRIBUTION NETWORK</t>
  </si>
  <si>
    <t>Lê Ngọc Phương Trâm</t>
  </si>
  <si>
    <t>KTCN2026-091.png</t>
  </si>
  <si>
    <t>KTCN2026-092</t>
  </si>
  <si>
    <t>NGHIÊN CỨU THIẾT KẾ, CHẾ TẠO VÀ ĐÁNH GIÁ THỰC NGHIỆM TÍNH KHẢ THI CỦA UAV VTOL TAIL-SITTER HAI ĐỘNG CƠ CỠ NHỎ</t>
  </si>
  <si>
    <t>Phan Nguyễn Nhất Lam; Nguyễn Tôn Hoàng Quân</t>
  </si>
  <si>
    <t>KTCN2026-092.png</t>
  </si>
  <si>
    <t>KTCN2026-093</t>
  </si>
  <si>
    <t>ỨNG DỤNG HỌC TĂNG CƯỜNG SÂU TRONG ĐIỀU PHỐI ĐỘNG THU GOM- GIAO HÀNG VỚI ĐỘI XE KHÔNG ĐỒNG NHẤT</t>
  </si>
  <si>
    <t>Tăng Gia Khương; Nguyễn Trung Hậu; Phạm Nguyễn Nhật Thành; Nguyễn Ngọc Kim Khánh; Đỗ Hoài Nam</t>
  </si>
  <si>
    <t>KTCN2026-093.png</t>
  </si>
  <si>
    <t>KTCN2026-094</t>
  </si>
  <si>
    <t>Nghiên cứu, phát triển hệ thống hỗ trợ học tập và biên dịch ngôn ngữ ký hiệu Việt Nam theo thời gian thực</t>
  </si>
  <si>
    <t>Phạm Huỳnh Quang; Hoàng Phan Thái An; Cao Dương Duy Khoa; Nguyễn Đăng Khôi</t>
  </si>
  <si>
    <t>KTCN2026-094.png</t>
  </si>
  <si>
    <t>KTCN2026-095</t>
  </si>
  <si>
    <t>NGHIÊN CỨU MÔ HÌNH UTM HỖ TRỢ CẤP PHÉP BAY VÀ GIÁM SÁT DRONE BẰNG ADS-B TẠI KHU VỰC TIẾP CẬN CẢNG HÀNG KHÔNG QUỐC TẾ TÂN SƠN NHẤT</t>
  </si>
  <si>
    <t>Nguyễn Diệp Thùy Giang</t>
  </si>
  <si>
    <t>KTCN2026-095.png</t>
  </si>
  <si>
    <t>KTCN2026-096</t>
  </si>
  <si>
    <t>Nghiên cứu thiết kế - chế tạo UAV hỗ trợ phòng cháy chữa cháy</t>
  </si>
  <si>
    <t>PHAN DƯƠNG TRIẾT; NGUYỄN TUẤN AN</t>
  </si>
  <si>
    <t>KTCN2026-096.png</t>
  </si>
  <si>
    <t>KTCN2026-097</t>
  </si>
  <si>
    <t>NGHIÊN CỨU THIẾT KẾ VÀ CHẾ TẠO THIẾT BỊ THEO DÕI MỨC ĐỘ PHONG BẾ THẦN KINH - CƠ TRONG GÂY MÊ HỒI SỨC</t>
  </si>
  <si>
    <t>Phạm Thiên Trang</t>
  </si>
  <si>
    <t>KTCN2026-097.png</t>
  </si>
  <si>
    <t>KTCN2026-098</t>
  </si>
  <si>
    <t>CẢI TIẾN KỸ THUẬT CHẾ TẠO TIÊU BẢN MÁU NGOẠI VI</t>
  </si>
  <si>
    <t>Lê Nguyễn Hiếu; Cao Thị Yến Nhi</t>
  </si>
  <si>
    <t>KTCN2026-098.png</t>
  </si>
  <si>
    <t>KTCN2026-099</t>
  </si>
  <si>
    <t>XÂY DỰNG VÀ MÔ PHỎNG 3D HỆ THỐNG TĨNH MẠCH CHI TRÊN BẰNG SOLIDWORKS PHỤC VỤ NGHIÊN CỨU VÀ ĐÀO TẠO KỸ THUẬT Y SINH</t>
  </si>
  <si>
    <t>Nguyễn Thị Bích Phượng; Nguyễn Gia Huy</t>
  </si>
  <si>
    <t>KTCN2026-099.png</t>
  </si>
  <si>
    <t>KTCN2026-100</t>
  </si>
  <si>
    <t>Sử dụng Google Assistant và NodeMCU ESP32 – S để điều khiển các thiết bị thông dụng trong nhà</t>
  </si>
  <si>
    <t>Quách Hương Giang; Nguyễn Minh Khôi; Huỳnh Phước Vinh; Nguyễn Như Ý; Lê Thị Mỷ Kiều</t>
  </si>
  <si>
    <t>KTCN2026-100.png</t>
  </si>
  <si>
    <t>KTCN2026-101</t>
  </si>
  <si>
    <t>Quasi-Optimal Decentralised Control for Interconnected Grids with Thyristor Controlled Phase Shifters</t>
  </si>
  <si>
    <t>Đặng Tuấn Phong; Đỗ Doãn Toàn Vinh; Đinh Hoàng Phương; Nguyễn Quốc Bảo</t>
  </si>
  <si>
    <t>KTCN2026-101.png</t>
  </si>
  <si>
    <t>KTCN2026-102</t>
  </si>
  <si>
    <t>Developing a system for collecting and treating personal electronic waste in Hanoi capital area</t>
  </si>
  <si>
    <t>Hoàng Gia Bảo; Phùng Mai Nga; Nguyễn Tiến Dũng; Đặng Đức Dũng</t>
  </si>
  <si>
    <t>KTCN2026-102.png</t>
  </si>
  <si>
    <t>KTCN2026-103</t>
  </si>
  <si>
    <t>NGHIÊN CỨU SỰ KHÁC BIỆT TRONG HÀNH XỬ TÍCH TỤ CỦA CÁC AMYLOIDS BẰNG MÔ PHỎNG ĐỘNG LỰC HỌC PHÂN TỬ VÀ HỌC MÁY</t>
  </si>
  <si>
    <t>Bùi Minh Giang; Nguyễn Yến Linh; Phạm Phi Dũng</t>
  </si>
  <si>
    <t>KTCN2026-103.png</t>
  </si>
  <si>
    <t>KTCN2026-104</t>
  </si>
  <si>
    <t>NGHIÊN CỨU VÀ PHÁT TRIỂN CÁC MÔ HÌNH HỌC SÂU NHẰM NÂNG CAO CHẤT LƯỢNG TÁCH NGUỒN ÂM NHẠC VÀ GIỌNG HÁT</t>
  </si>
  <si>
    <t>Mai Anh Khoa; Trần Huy Hoàng Anh; Hà Tuấn Anh</t>
  </si>
  <si>
    <t>KTCN2026-104.png</t>
  </si>
  <si>
    <t>KTCN2026-105</t>
  </si>
  <si>
    <t>PHÁT TRIỂN GIẢI PHÁP THEO DÕI ĐA ĐỐI TƯỢNG CHO CÁC ỨNG DỤNG GIÁM SÁT THÔNG MINH</t>
  </si>
  <si>
    <t>Huỳnh Chí Nhân; Huỳnh Trung Nghĩa</t>
  </si>
  <si>
    <t>KTCN2026-105.png</t>
  </si>
  <si>
    <t>KTCN2026-106</t>
  </si>
  <si>
    <t>PHÂN LOẠI BÚT TỪ ẢNH BẰNG ĐẶC TRƯNG THỊ GIÁC - VẬT LÝ VÀ CHÚ Ý KHÔNG GIAN THÍCH NGHI</t>
  </si>
  <si>
    <t>Nguyễn Phạm Gia Huy; Ngô Viết Tuệ Đăng; Phạm Duy Hiển; Tạ Cao Nguyên Bảo</t>
  </si>
  <si>
    <t>KTCN2026-106.png</t>
  </si>
  <si>
    <t>KTCN2026-107</t>
  </si>
  <si>
    <t>Thiết kế và chế tạo lò đốt nhiều loại dầu thải, hiệu suất cao, giảm phát thải</t>
  </si>
  <si>
    <t>Nguyễn Văn Chí Nguyên; Lê Ngọc Thiên Sơn</t>
  </si>
  <si>
    <t>KTCN2026-107.png</t>
  </si>
  <si>
    <t>KTCN2026-108</t>
  </si>
  <si>
    <t>KHAI THÁC TRẠNG THÁI NGỮ NGHĨA ĐỂ GIẢM KHÁC BIỆT MIỀN TRONG PHÂN TÍCH TƯƠNG TÁC GIỮA NGƯỜI ĐI BỘ VÀ PHƯƠNG TIỆN</t>
  </si>
  <si>
    <t>Đỗ Minh Nhật; Nguyễn Hữu Tuấn Minh; Hoàng Lê Kim Lâm; Võ Nguyễn Minh Long; Phan Đình Minh Huấn</t>
  </si>
  <si>
    <t>KTCN2026-108.png</t>
  </si>
  <si>
    <t>KTCN2026-109</t>
  </si>
  <si>
    <t>Nền tảng tương tác người-máy thời gian thực ứng dụng MoCap trong giảng dạy trực quan</t>
  </si>
  <si>
    <t>Trần Thiện Vương</t>
  </si>
  <si>
    <t>KTCN2026-109.png</t>
  </si>
  <si>
    <t>KTCN2026-110</t>
  </si>
  <si>
    <t>Khảo sát và xây dựng quy trình huấn luyện mô hình nhận dạng độ nhàu vải nhị phân bằng Teachable Machine</t>
  </si>
  <si>
    <t>Nguyễn Thị Thu Lài</t>
  </si>
  <si>
    <t>KTCN2026-110.png</t>
  </si>
  <si>
    <t>KTCN2026-111</t>
  </si>
  <si>
    <t>Mô phỏng số độ bền va đập của mũi tàu composite có bọc inox</t>
  </si>
  <si>
    <t>Dương Ngọc Quý</t>
  </si>
  <si>
    <t>KTCN2026-111.png</t>
  </si>
  <si>
    <t>KTCN2026-112</t>
  </si>
  <si>
    <t>NGHIÊN CỨU PHÁT TRIỂN HỆ THỐNG QUẢN LÝ PALLET TRONG KHO HÀNG THEO THỜI GIAN THỰC ỨNG DỤNG CÔNG NGHỆ BẢN SAO SỐ</t>
  </si>
  <si>
    <t>BÙI QUANG MINH; PHẠM THÁI HÀ; PHẠM NGỌC LINH; NGUYỄN THỊ THU PHƯƠNG; LÊ THỊ THU HIỀN</t>
  </si>
  <si>
    <t>KTCN2026-112.png</t>
  </si>
  <si>
    <t>KTCN2026-113</t>
  </si>
  <si>
    <t>Tối ưu hóa Macro Placement trong OpenROAD bằng Deep Reinforcement Learning</t>
  </si>
  <si>
    <t>Huỳnh Mỹ Ngọc</t>
  </si>
  <si>
    <t>KTCN2026-113.png</t>
  </si>
  <si>
    <t>KTCN2026-114</t>
  </si>
  <si>
    <t>Nghiên cứu phát triển sản phẩm khử mùi dạng viên từ tinh dầu Long não (Cinnamomum Camphora)</t>
  </si>
  <si>
    <t>Phạm Linh Chi; Nguyễn Thị Giang; Mai Văn Khánh; Nguyễn Quốc Cường</t>
  </si>
  <si>
    <t>KTCN2026-114.png</t>
  </si>
  <si>
    <t>KTCN2026-115</t>
  </si>
  <si>
    <t>ỨNG DỤNG XỬ LÝ ẢNH TRONG VIỆC PHÁT HIỆN LỖI VẢI</t>
  </si>
  <si>
    <t>NGUYỄN THANH NAM; PHẠM GIA KHÁNH</t>
  </si>
  <si>
    <t>KTCN2026-115.png</t>
  </si>
  <si>
    <t>KTCN2026-116</t>
  </si>
  <si>
    <t>XÂY DỰNG KHUNG HỖ TRỢ RA QUYẾT ĐỊNH CẢI TIẾN CÂN BẰNG CHUYÊN TÍCH HỢP MÔ PHỎNG VÀ PHƯƠNG PHÁP RA QUYẾT ĐỊNH ĐA TIÊU CHÍ</t>
  </si>
  <si>
    <t>Hoàng Phi Hùng; Trần Ngọc Bảo Khánh</t>
  </si>
  <si>
    <t>KTCN2026-116.png</t>
  </si>
  <si>
    <t>KTCN2026-117</t>
  </si>
  <si>
    <t>Nghiên cứu mô phòng dòng xe bằng mô hình tế bào Nagel - Schrenkenberg kết hợp thuật toán Dijkstra động nhằm tối ưu hóa phân luồng tại nút giao Hàng Xanh, TPHCM</t>
  </si>
  <si>
    <t>Đỗ Bùi Trọng Khôi; Lê Song Toàn</t>
  </si>
  <si>
    <t>KTCN2026-117.png</t>
  </si>
  <si>
    <t>KTCN2026-118</t>
  </si>
  <si>
    <t>Xây dựng nền tảng thực nghiệm phân phối khóa lượng tử dựa trên giao thức BB84</t>
  </si>
  <si>
    <t>Nguyễn Văn Dương; Nguyễn Bình Minh; Bùi Quốc Hùng</t>
  </si>
  <si>
    <t>KTCN2026-118.png</t>
  </si>
  <si>
    <t>KTCN2026-119</t>
  </si>
  <si>
    <t>EXPERIMENTAL CHARACTERIZATION OF FDM-PRINTED PLA+ AND COMPARISON WITH A SIMPLIFIED HOMOGENIZED ANSYS SIMULATION</t>
  </si>
  <si>
    <t>Grolleau Devaine Enzo; Dayron Camille Nathalie Marie; Nguyễn Lê Thành Đức; Trương Trọng Hiếu; Mai Quốc Việt</t>
  </si>
  <si>
    <t>KTCN2026-119.png</t>
  </si>
  <si>
    <t>KTCN2026-120</t>
  </si>
  <si>
    <t>YANA – Mô hình bạn ảo AR ứng dụng trí tuệ nhân tạo nhằm hỗ trợ tinh thần, giảm áp lực tâm lý cho người trẻ trong môi trường học tập và làm việc.</t>
  </si>
  <si>
    <t>Phan Thị Hải Yến; Nguyên Thiên Lam; Nguyễn Thế Duy</t>
  </si>
  <si>
    <t>KTCN2026-120.png</t>
  </si>
  <si>
    <t>KTCN2026-121</t>
  </si>
  <si>
    <t>Nghiên cứu điều khiển quỹ đạo chuyển động và ổn định của ô tô tự lái</t>
  </si>
  <si>
    <t>Đỗ Văn Huy; Đào Đức Thiện; Đặng Hải Đăng; Vũ Văn Tuấn; Nguyễn Thái Dương</t>
  </si>
  <si>
    <t>KTCN2026-121.png</t>
  </si>
  <si>
    <t>KTCN2026-122</t>
  </si>
  <si>
    <t>Thiết kế và tối ưu hóa bộ điều khiển LQR thích nghi với bộ bù suy giảm tuổi thọ pin cho hệ truyền động xe điện cỡ nhỏ (MICRO-EV)</t>
  </si>
  <si>
    <t>Lê Đức Hùng; Nguyễn Hải Yến; Vũ Hữu Trí; Vũ Bình Dương; Phạm Đồng Khánh</t>
  </si>
  <si>
    <t>KTCN2026-122.png</t>
  </si>
  <si>
    <t>KTCN2026-123</t>
  </si>
  <si>
    <t>Nghiên cứu chuyển đổi xe hai bánh dùng năng lượng truyền thống sang sử dụng năng lượng điện</t>
  </si>
  <si>
    <t>Nguyễn Phú Tuấn; Nguyễn Phúc Long; Phạm Hồ Khánh Nguyên</t>
  </si>
  <si>
    <t>KTCN2026-123.png</t>
  </si>
  <si>
    <t>KTCN2026-124</t>
  </si>
  <si>
    <t>Nghiên cứu giải pháp cải thiện cảm giác lái trong hệ thống lái điện trên ô tô bằng phanh lưu biến từ MRF</t>
  </si>
  <si>
    <t>Phạm Tuấn Đạt; Phan Phạm Tiến</t>
  </si>
  <si>
    <t>KTCN2026-124.png</t>
  </si>
  <si>
    <t>KTCN2026-125</t>
  </si>
  <si>
    <t>Nghiên cứu thiết kế và chế tạo hộp điều khiển điện tử cho hệ thống lái Steer-by-Wire</t>
  </si>
  <si>
    <t>Phan Phạm Tiến; Phạm Tuấn Đạt; Lê Phước Nhật; Trần Văn Phước; Phạm Đỗ Long Nhật</t>
  </si>
  <si>
    <t>KTCN2026-125.png</t>
  </si>
  <si>
    <t>KTCN2026-126</t>
  </si>
  <si>
    <t>Nghiên cứu thiết kế chương trình điều khiển sử dụng bộ điều khiển MPC-LTI cho ô tô tự lái</t>
  </si>
  <si>
    <t>Mai Thế Hiển; Lưu Văn Hiểu</t>
  </si>
  <si>
    <t>KTCN2026-126.png</t>
  </si>
  <si>
    <t>KTCN2026-127</t>
  </si>
  <si>
    <t>NGHIÊN CỨU VÀ PHÁT TRIỂN NỀN TẢNG ROBOT AGV 4WIS–4WD HƯỚNG ĐẾN VẬN CHUYỂN TỰ HÀNH</t>
  </si>
  <si>
    <t>Nguyễn Trường Vũ; Phan Minh Tấn; Nguyễn Hoàng Thịnh</t>
  </si>
  <si>
    <t>Trường Đại học Nam Cần Thơ</t>
  </si>
  <si>
    <t>KTCN2026-127.png</t>
  </si>
  <si>
    <t>KTCN2026-128</t>
  </si>
  <si>
    <t>Thiết kế và thực nghiệm Hệ thống mở khoá xe thông minh từ xa</t>
  </si>
  <si>
    <t>Lê Minh Hiếu; Lâm Kim Bảo; Dương Trung Hiền; Lê Huỳnh Nhân</t>
  </si>
  <si>
    <t>KTCN2026-128.png</t>
  </si>
  <si>
    <t>KTCN2026-129</t>
  </si>
  <si>
    <t>THIẾT KẾ VÀ XÂY DỰNG MÔ HÌNH HỆ THỐNG GIÁM SÁT VÀ CẢNH BÁO PIN TRÊN NỀN TẢNG HỆ THỐNG NHÚNG SỬ DỤNG CAN BUS</t>
  </si>
  <si>
    <t>Phạm Minh Đức; Lê Thành Phát</t>
  </si>
  <si>
    <t>KTCN2026-129.png</t>
  </si>
  <si>
    <t>KTCN2026-130</t>
  </si>
  <si>
    <t>NGHIÊN CỨU THIẾT KẾ VÀ CHẾ TẠO ROBOT DI DỘNG PHÁT HIỆN, TIẾP CẬN VÀ DẬP LỬA QUY MÔ NHỎ</t>
  </si>
  <si>
    <t>Trần Đức Huy</t>
  </si>
  <si>
    <t>Trường Đại học Kinh tế - Kỹ thuật Bình Dương</t>
  </si>
  <si>
    <t>KTCN2026-130.png</t>
  </si>
  <si>
    <t>KTCN2026-131</t>
  </si>
  <si>
    <t>Nghiên cứu mô hình hóa và giám sát trạng thái kết hợp xây dựng hộ chiếu pin số cho cụm pin Lithium-ion 3S</t>
  </si>
  <si>
    <t>Văn Bá Dương; Nguyễn Đức Vinh; Nguyễn Lê Gia Huy; Nguyễn Mạnh Triết</t>
  </si>
  <si>
    <t>KTCN2026-131.png</t>
  </si>
  <si>
    <t>KTCN2026-132</t>
  </si>
  <si>
    <t>Thiết kế và thi công hệ thống Drive-by-Wire tích hợp điều khiển an toàn và ADAS cho xe điện mô hình</t>
  </si>
  <si>
    <t>Lê Phú Quý; Nguyễn Văn Tuấn Phát; Nguyễn Trương Quân; Trịnh Việt Lào; Đinh Văn Hiếu</t>
  </si>
  <si>
    <t>KTCN2026-132.png</t>
  </si>
  <si>
    <t>KTCN2026-133</t>
  </si>
  <si>
    <t>Mô phỏng môi trường và huấn luyện thuật toán học tăng cường sâu SAC kết hợp với bộ lọc mờ fuzzy safety trong thu hồi phanh tái sinh trên ô tô điện</t>
  </si>
  <si>
    <t>LÝ CHÍ VINH; LƯƠNG THÀNH DANH</t>
  </si>
  <si>
    <t>KTCN2026-133.png</t>
  </si>
  <si>
    <t>KTCN2026-134</t>
  </si>
  <si>
    <t>ỨNG DỤNG NĂNG LƯỢNG MẶT TRỜI TRÊN XE GIAO HÀNG ĐÔ THỊ</t>
  </si>
  <si>
    <t>Bùi Đức Nghĩa; Tạ Công Hoàng Sơn; Nguyễn Văn Thoại</t>
  </si>
  <si>
    <t>KTCN2026-134.png</t>
  </si>
  <si>
    <t>KTCN2026-135</t>
  </si>
  <si>
    <t>Phát triển hệ thống ADAS dựa trên công nghệ biên: Kết hợp cảm biến thị giác và IMU để phát hiện tình trạng buồn ngủ và lái xe thiếu an toàn.</t>
  </si>
  <si>
    <t>Phan Nguyễn Đăng Khoa; Lê Nguyên Đạt; Võ Minh Đăng</t>
  </si>
  <si>
    <t>Trường Đại học Việt Đức</t>
  </si>
  <si>
    <t>KTCN2026-135.png</t>
  </si>
  <si>
    <t>VHNT2026-001</t>
  </si>
  <si>
    <t>Văn hóa - Nghệ thuật</t>
  </si>
  <si>
    <t>The impact of green marketing strategies on eco-conscious tourist behavior and willingness to pay: The mediating roles of green trust and environmental concern.</t>
  </si>
  <si>
    <t>Đàm Đan Tuyên; Đỗ Thị Thuý Hằng; Mai Khánh Huyền</t>
  </si>
  <si>
    <t>VHNT2026-001.png</t>
  </si>
  <si>
    <t>VHNT2026-002</t>
  </si>
  <si>
    <t>Travel AI -Trợ lí thông minh tư vấn và hỗ trợ du lịch Việt Nam</t>
  </si>
  <si>
    <t>Đoàn Lê Duy Anh; Nguyễn Thái Học; Nguyễn Hoài Nam; Nguyễn Ngô Hoàng Kha</t>
  </si>
  <si>
    <t>VHNT2026-002.png</t>
  </si>
  <si>
    <t>VHNT2026-003</t>
  </si>
  <si>
    <t>TÁC ĐỘNG CỦA NỘI DUNG VIDEO VỀ DU LỊCH TRÊN TIKTOK ĐẾN HÀNH VI DU LỊCH NGẪU HỨNG CỦA THẾ HỆ GEN Z TẠI THÀNH PHỐ HỒ CHÍ MINH</t>
  </si>
  <si>
    <t>Đinh Đức Duy; Huỳnh Dương Ngọc Hoa; Nguyễn Ngọc Châu; Lâm Nguyệt Anh</t>
  </si>
  <si>
    <t>VHNT2026-003.png</t>
  </si>
  <si>
    <t>VHNT2026-004</t>
  </si>
  <si>
    <t>SỰ PHẢN KHÁNG CÔNG NGHỆ VÀ Ý ĐỊNH THAM GIA DU LỊCH CAI NGHIỆN KỸ THUẬT SỐ: TRƯỜNG HỢP NGHIÊN CỨU TẠI ĐẢO LÝ SƠN, TỈNH QUẢNG NGÃI</t>
  </si>
  <si>
    <t>Phan Thị Hoa Cúc; Phan Thị Phương Nghi; Trà My; Cao Thị Hoài Phương</t>
  </si>
  <si>
    <t>VHNT2026-004.png</t>
  </si>
  <si>
    <t>VHNT2026-005</t>
  </si>
  <si>
    <t>TÁC ĐỘNG CỦA TRUYỀN THÔNG SỐ ĐẾN VIỆC HÌNH THÀNH HÀNH VI SỐNG TỐI GIẢN CỦA SINH VIÊN HIỆN NAY</t>
  </si>
  <si>
    <t>Tô Bích Ngọc</t>
  </si>
  <si>
    <t>VHNT2026-005.png</t>
  </si>
  <si>
    <t>VHNT2026-006</t>
  </si>
  <si>
    <t>HIV Knowledge and Risk Behaviors in Relation to Travel Among Undergraduate Students in Hanoi</t>
  </si>
  <si>
    <t>Ngô Mai Trang; Vũ Minh Hằng; Ngô Hà Phương; Đồng Hồ Ngọc Nữ; Phan Huyền My</t>
  </si>
  <si>
    <t>VHNT2026-006.png</t>
  </si>
  <si>
    <t>VHNT2026-007</t>
  </si>
  <si>
    <t>PHÁT TRIỂN DU LỊCH HOÀI NIỆM TẠI KHU DI TÍCH LỊCH SỬ RỪNG SÁC – CẦN GIỜ: NGHIÊN CỨU HÀNH VI VÀ THIẾT KẾ TRẢI NGHIỆM DU LỊCH</t>
  </si>
  <si>
    <t>Phạm Lợi Gia Bảo; Nguyễn Lê Hiền; Võ Quang Minh Nhật; Hồ Thị Yến Vy</t>
  </si>
  <si>
    <t>VHNT2026-007.png</t>
  </si>
  <si>
    <t>VHNT2026-008</t>
  </si>
  <si>
    <t>Nghiên cứu chuỗi dịch vụ cung ứng halal tại thành phố Đà Nẵng</t>
  </si>
  <si>
    <t>Trần Bảo Xuyên; Nguyễn Lan Anh; Nguyễn Thị Thánh Tâm</t>
  </si>
  <si>
    <t>VHNT2026-008.png</t>
  </si>
  <si>
    <t>VHNT2026-009</t>
  </si>
  <si>
    <t>Ảnh hưởng của mạng xã hội đến định hướng nghề nghiệp của sinh viên chuyên ngành Du lịch tại các Trường Đại học Tư thục ở Hà Nội</t>
  </si>
  <si>
    <t>Nguyễn Bích Phượng; Đỗ Thị Quỳnh</t>
  </si>
  <si>
    <t>VHNT2026-009.png</t>
  </si>
  <si>
    <t>VHNT2026-010</t>
  </si>
  <si>
    <t>Nghiên cứu các yếu tố ảnh hưởng đến ý định sử dụng bản đồ số tương tác trong phát triển tuyến du lịch trải nghiệm bằng Metro số 1 tại Thành phố Hồ Chí Minh</t>
  </si>
  <si>
    <t>Hà Gia Khánh Linh; Mai Quốc Dũng; Mai Quốc Đạt</t>
  </si>
  <si>
    <t>VHNT2026-010.png</t>
  </si>
  <si>
    <t>VHNT2026-011</t>
  </si>
  <si>
    <t>Các yếu tố ảnh hưởng đến hành vi lựa chọn cơ sở lưu trú xanh của sinh viên ngành Du lịch tại các trường Đại học tư thục ở Hà Nội</t>
  </si>
  <si>
    <t>Bùi Thị Khánh Huyền</t>
  </si>
  <si>
    <t>VHNT2026-011.png</t>
  </si>
  <si>
    <t>VHNT2026-012</t>
  </si>
  <si>
    <t>Thực hành giải độc kỹ thuật số và ý định du lịch bền vững: Vai trò trung gian của JOMO và vai trò điều tiết của nhận thức xanh</t>
  </si>
  <si>
    <t>Hồ Văn Khoa; Nguyễn Thanh Bình; Phạm Sỹ Nguyên; Trần Thanh Bình</t>
  </si>
  <si>
    <t>VHNT2026-012.png</t>
  </si>
  <si>
    <t>VHNT2026-013</t>
  </si>
  <si>
    <t>Thiết kế Website tích hợp bản đồ tương tác phát triển du lịch làng nghề đặc trưng của Thành phố Đà Nẵng</t>
  </si>
  <si>
    <t>Ngô Trâm Anh; Đỗ Kim Cương; Nguyễn Tiến Toàn</t>
  </si>
  <si>
    <t>VHNT2026-013.png</t>
  </si>
  <si>
    <t>VHNT2026-014</t>
  </si>
  <si>
    <t>Cơ chế tác động của trải nghiệm du lịch chậm đến hành vi công dân của du khách tại Việt Nam</t>
  </si>
  <si>
    <t>Nguyễn Thị Cẩm Tú; Dương Kiều Như; Nguyễn Thị Thùy; Nguyễn Kim Oanh</t>
  </si>
  <si>
    <t>VHNT2026-014.png</t>
  </si>
  <si>
    <t>VHNT2026-015</t>
  </si>
  <si>
    <t>TÁC ĐỘNG YẾU TỐ DI SẢN VĂN HOÁ TRONG VIDEO AN TOÀN BAY CỦA HÃNG HÀNG KHÔNG QUỐC GIA VIETNAM AIRLINES ĐẾN Ý ĐỊNH VÀ HÀNH VI DU KHÁCH: CƠ CHẾ TRUNG GIAN TỪ CHẤT LƯỢNG TRẢI NGHIỆM BAY</t>
  </si>
  <si>
    <t>Nguyễn Duy Khang; Hồ Kiều Oanh; Hồ Minh Kỳ; Nguyễn Huỳnh Bảo Trân; Hoàng Phan Linh Chi</t>
  </si>
  <si>
    <t>VHNT2026-015.png</t>
  </si>
  <si>
    <t>VHNT2026-016</t>
  </si>
  <si>
    <t>TÁC ĐỘNG CỦA TRẢI NGHIỆM PHYGITAL ĐẾN Ý ĐỊNH ĐỒNG KIẾN TẠO GIÁ TRỊ CỦA DU KHÁCH: VAI TRÒ TRUNG GIAN CỦA GIÁ TRỊ TRẢI NGHIỆM CẢM NHẬN VÀ SỰ GẮN KẾT VỚI TRẢI NGHIỆM - NGHIÊN CỨU CÁC BẢO TÀNG TẠI THÀNH PHỐ HỒ CHÍ MINH</t>
  </si>
  <si>
    <t>Lê Ngọc Mai; Nguyễn Thị Yến Nhi</t>
  </si>
  <si>
    <t>VHNT2026-016.png</t>
  </si>
  <si>
    <t>VHNT2026-017</t>
  </si>
  <si>
    <t>Ứng dụng trí tuệ nhân tạo trong hoạt động hướng dẫn du lịch của hướng dẫn viên du lịch</t>
  </si>
  <si>
    <t>Nguyễn Duy Khánh; Nguyễn Thị Thu An</t>
  </si>
  <si>
    <t>VHNT2026-017.png</t>
  </si>
  <si>
    <t>VHNT2026-018</t>
  </si>
  <si>
    <t>Sự hài lòng của khách du lịch với nghệ thuật hát Xẩm tại Ninh Bình</t>
  </si>
  <si>
    <t>Vương Thị Hà Giang</t>
  </si>
  <si>
    <t>VHNT2026-018.png</t>
  </si>
  <si>
    <t>VHNT2026-019</t>
  </si>
  <si>
    <t>Ảnh hưởng của trải nghiệm đáng nhớ và cảm nhận giá trị đến hành vi truyền miệng điện tử tại Làng chiếu Định Yên, tỉnh Đồng Tháp</t>
  </si>
  <si>
    <t>Trịnh Thị Yến Nhi</t>
  </si>
  <si>
    <t>VHNT2026-019.png</t>
  </si>
  <si>
    <t>VHNT2026-020</t>
  </si>
  <si>
    <t>Mối quan hệ trách nhiệm xã hội với những cảm nhận và trải nghiệm đáng nhớ của du khách lưu trú tại glamping</t>
  </si>
  <si>
    <t>Nguyễn Như Anh Thư; Trịnh Thị Yến Nhi</t>
  </si>
  <si>
    <t>VHNT2026-020.png</t>
  </si>
  <si>
    <t>VHNT2026-021</t>
  </si>
  <si>
    <t>Khám phá trải nghiệm tâm lý của khách tham quan Gen Z khi tương tác công nghệ số tại các bảo tàng Thành phố Hồ Chí Minh</t>
  </si>
  <si>
    <t>Trần Thanh Trúc; Nguyễn Duy An; Lý Hoàng Duy; Đinh Ngọc Quỳnh Như; Từ Mỹ Linh</t>
  </si>
  <si>
    <t>VHNT2026-021.png</t>
  </si>
  <si>
    <t>VHNT2026-022</t>
  </si>
  <si>
    <t>Du lịch thời TikTok: tính xác thực và người nổi tiếng định hình ý định du lịch của giới trẻ Việt Nam</t>
  </si>
  <si>
    <t>Phạm Nguyễn Minh Thư; Ngô Hồng Ngọc; Trương Thị Bảo An; Đặng Nguyễn Ngân Đình</t>
  </si>
  <si>
    <t>VHNT2026-022.png</t>
  </si>
  <si>
    <t>VHNT2026-023</t>
  </si>
  <si>
    <t>Khám phá vai trò của ẩm thực truyền thống trong phát triển du lịch nông nghiệp theo hướng bền vững: góc nhìn từ du khách và cộng đồng địa phương</t>
  </si>
  <si>
    <t>Lê Nguyễn Thành Tú; Võ Ngọc Quý; Võ Đăng Khoa; Phạm Hoàng Phương</t>
  </si>
  <si>
    <t>VHNT2026-023.png</t>
  </si>
  <si>
    <t>VHNT2026-024</t>
  </si>
  <si>
    <t>Ảnh hưởng của công nghệ du lịch thông minh đến trải nghiệm và ý định quay lại của du khách tại khu du lịch Núi Bà Đen, Tây Ninh</t>
  </si>
  <si>
    <t>Võ Yến Minh; Hồ Huỳnh Mỹ Hân; Lê Nguyễn Phương Khánh; Nguyễn Nhật Hào</t>
  </si>
  <si>
    <t>VHNT2026-024.png</t>
  </si>
  <si>
    <t>VHNT2026-025</t>
  </si>
  <si>
    <t>Phát triển đồng bộ hệ sinh thái du lịch thông minh trên nền tảng chuyển đổi số cho nghệ thuật công cộng và di sản văn hoá tại Thành phố Hồ Chí Minh</t>
  </si>
  <si>
    <t>Trần Lê Mai Trang; Nguyễn Lê Thu Hà</t>
  </si>
  <si>
    <t>VHNT2026-025.png</t>
  </si>
  <si>
    <t>VHNT2026-026</t>
  </si>
  <si>
    <t>Tích hợp văn hóa võ thuật trong tổ chức du lịch đêm tại bến Bạch Đằng, phường Sài Gòn, Thành phố Hồ Chí Minh</t>
  </si>
  <si>
    <t>Đỗ Hoàng Minh Lân</t>
  </si>
  <si>
    <t>VHNT2026-026.png</t>
  </si>
  <si>
    <t>VHNT2026-027</t>
  </si>
  <si>
    <t>Các yếu tố ảnh hưởng đến ý định trở lại của khách hàng Gen Z: Trường hợp khách hàng lưu trú homestay tại Đà Lạt</t>
  </si>
  <si>
    <t>Trần Thị Thanh Nga; Nguyễn Thị Thùy Duyên</t>
  </si>
  <si>
    <t>VHNT2026-027.png</t>
  </si>
  <si>
    <t>VHNT2026-028</t>
  </si>
  <si>
    <t>Tác động của trải nghiệm trò chơi hóa thông qua mô hình rubik qr đến nhận thức và ý định hành vi đối với ẩm thực truyền thống của thế hệ gen z tại Thành phố Hồ Chí Minh</t>
  </si>
  <si>
    <t>Hồ Nguyễn Thanh Tân; Lê Huỳnh Thanh Thư; Nguyễn Mai Trúc Phương; Đoàn Thị Mỹ Tiên</t>
  </si>
  <si>
    <t>VHNT2026-028.png</t>
  </si>
  <si>
    <t>VHNT2026-029</t>
  </si>
  <si>
    <t>ĐÁNH GIÁ SỰ HÀI LÒNG CỦA GEN Z TẠI BẢO TÀNG MỸ THUẬT THÀNH PHỐ HỒ CHÍ MINH: ỨNG DỤNG CHỈ SỐ CSAT</t>
  </si>
  <si>
    <t>Nguyễn Thị Thảo; Nguyễn Thị Thuý Huyền; Huỳnh Đăng Khoa</t>
  </si>
  <si>
    <t>VHNT2026-029.png</t>
  </si>
  <si>
    <t>VHNT2026-030</t>
  </si>
  <si>
    <t>KHAI THÁC TIỀM NĂNG PHÁT TRIỂN DU LỊCH LÀNG NGHỀ DỆT CHIẾU CÀ HOM – BẾN BẠ, TỈNH VĨNH LONG</t>
  </si>
  <si>
    <t>Lâm Tú Châu; Nguyễn Trọng Phúc</t>
  </si>
  <si>
    <t>VHNT2026-030.png</t>
  </si>
  <si>
    <t>VHNT2026-031</t>
  </si>
  <si>
    <t>Vai trò của nội dung do người dùng tạo (UGC) trên mạng xã hội đến quyết định du lịch nông thôn thực tế của Gen Z tại Miền Tây</t>
  </si>
  <si>
    <t>Trịnh Nguyễn Uyên Thi; Huỳnh Việc Nhật Quỳnh; Lưu Quỳnh Anh</t>
  </si>
  <si>
    <t>VHNT2026-031.png</t>
  </si>
  <si>
    <t>VHNT2026-032</t>
  </si>
  <si>
    <t>Khảo sát và đề xuất giải pháp sử dụng vật liệu thân thiện với môi trường trong du lịch cộng đồng tại Pù Luông, Thanh Hóa</t>
  </si>
  <si>
    <t>Thiều Đình Tùng; Nguyễn Thị Mỹ Linh; Lục Phương Cầm</t>
  </si>
  <si>
    <t>VHNT2026-032.png</t>
  </si>
  <si>
    <t>VHNT2026-033</t>
  </si>
  <si>
    <t>Đánh giá tiềm năng phát triển du lịch về nguồn của đặc khu Côn Đảo, Thành Phố Hồ Chí Minh</t>
  </si>
  <si>
    <t>Mai Công Phú Quí</t>
  </si>
  <si>
    <t>VHNT2026-033.png</t>
  </si>
  <si>
    <t>VHNT2026-034</t>
  </si>
  <si>
    <t>Các yếu tố ảnh hưởng đến quyết định trải nghiệm ẩm thực đêm của du khách tại một số tuyến phố ẩm thực Hà Nội</t>
  </si>
  <si>
    <t>Nguyễn Thị Hân; Nguyễn Hoàng Phương Thảo; Cao Thị Huyền Trang; Lê Phương Hà Anh</t>
  </si>
  <si>
    <t>VHNT2026-034.png</t>
  </si>
  <si>
    <t>VHNT2026-035</t>
  </si>
  <si>
    <t>Xây dựng tập bản đồ du lịch văn hóa cho khu vực trung tâm Thành phố Hồ Chí Minh.</t>
  </si>
  <si>
    <t>Dương Thị Thanh Nga; Nguyễn Huyền Nhi</t>
  </si>
  <si>
    <t>VHNT2026-035.png</t>
  </si>
  <si>
    <t>VHNT2026-036</t>
  </si>
  <si>
    <t>Bảo tồn và phát huy lễ hội Chùa Ông trong phát triển du lịch tại thành phố Cần Thơ</t>
  </si>
  <si>
    <t>Nguyễn Quốc Khang; Cao Trung Nghĩa</t>
  </si>
  <si>
    <t>VHNT2026-036.png</t>
  </si>
  <si>
    <t>VHNT2026-037</t>
  </si>
  <si>
    <t>Ứng dụng chiến lược kể chuyện ẩm thực kết hợp truyền thông số trong phát triển du</t>
  </si>
  <si>
    <t>Nguyễn Mạnh Nhật Trường; Trần Lâm Khắc Tuấn; Tống Lê Tú Trinh; Lê Minh Vẹn</t>
  </si>
  <si>
    <t>VHNT2026-037.png</t>
  </si>
  <si>
    <t>VHNT2026-038</t>
  </si>
  <si>
    <t>Từ trải nghiệm đến gắn kết với di sản đô thị: Cơ chế tiếp nhận giá trị lịch sử - văn hóa của du khách trẻ Việt Nam và quốc tế tại Không gian đi bộ khu vực Hồ Hoàn Kiếm và phụ cận</t>
  </si>
  <si>
    <t>Lu Yun Xia; Mao Jia Le; Wang Lu Tong; Nguyễn Thu Trang; Nguyễn Thuỳ Trang</t>
  </si>
  <si>
    <t>VHNT2026-038.png</t>
  </si>
  <si>
    <t>VHNT2026-039</t>
  </si>
  <si>
    <t>Nâng cao trải nghiệm đa giác quan của khách du lịch quốc tế tại Chợ nổi Cái Răng, Thành phố Cần Thơ</t>
  </si>
  <si>
    <t>Nguyễn Thị Thuỳ Linh; Hà Nguyễn Song Cầm; Huỳnh Chí Đại; Lê Tài Lợi; Lê Thị Cẩm Ngoan</t>
  </si>
  <si>
    <t>VHNT2026-039.png</t>
  </si>
  <si>
    <t>VHNT2026-040</t>
  </si>
  <si>
    <t>Mức độ quan tâm và ý định lựa chọn cơ sở lưu trú có nhãn xanh của giới trẻ tại thành phố Hồ Chí Minh</t>
  </si>
  <si>
    <t>Trần Thị Mai An; Trần Thị Kim Hoa; Phạm Hoàng Kim; Nguyễn Thị Yến Nhi; Nguyễn Thị Nhật Quỳnh</t>
  </si>
  <si>
    <t>VHNT2026-040.png</t>
  </si>
  <si>
    <t>VHNT2026-041</t>
  </si>
  <si>
    <t>QUẢNG BÁ ĐIỂM ĐẾN DU LỊCH QUA SỰ KIỆN ÂM NHẠC HƯỚNG ĐẾN GEN Z</t>
  </si>
  <si>
    <t>Đặng Sanh Minh Quân; Lê Phan Tường Vy; Phạm Võ Ngọc Hân</t>
  </si>
  <si>
    <t>VHNT2026-041.png</t>
  </si>
  <si>
    <t>VHNT2026-042</t>
  </si>
  <si>
    <t>NGUỒN LỰC TỔ CHỨC SỐ VÀ TRÍ TUỆ NHÂN TẠO HỖ TRỢ CÔNG VIỆC TRONG DOANH NGHIỆP LỮ HÀNH: MỐI QUAN HỆ VỚI TRẠNG THÁI TÂM LÝ CỦA NHÂN VIÊN TẠI THÀNH PHỐ HỒ CHÍ MINH</t>
  </si>
  <si>
    <t>Hà Văn Lợi; Nguyễn Thu Hương; Nguyễn Đức Bình</t>
  </si>
  <si>
    <t>VHNT2026-042.png</t>
  </si>
  <si>
    <t>VHNT2026-043</t>
  </si>
  <si>
    <t>Chính sách Ánh Dương của Hàn Quốc từ năm 2017 đến nay</t>
  </si>
  <si>
    <t>Cao Ngọc Thịnh; Lê Anh Thư; Nguyễn Trọng Ngọc Hà; Nguyễn Ngọc Quỳnh Như; Trần Thị Bích Ngân</t>
  </si>
  <si>
    <t>VHNT2026-043.png</t>
  </si>
  <si>
    <t>VHNT2026-044</t>
  </si>
  <si>
    <t>Chuyển biến xã hội ở Pondicherry (Ấn Độ) thời thuộc Pháp (1674 - 1954)</t>
  </si>
  <si>
    <t>Nguyễn Thế Vũ; Phan Thị Đặng Tâm; Trần Kiều Giáng Hương; Lê Phùng Bảo Khanh; Nguyễn Thị Yến Ly</t>
  </si>
  <si>
    <t>VHNT2026-044.png</t>
  </si>
  <si>
    <t>VHNT2026-045</t>
  </si>
  <si>
    <t>Ảnh hưởng của văn hóa pháp lý Pháp đối với pháp luật dân sự Việt Nam (1858 – 1945): Nghiên cứu trường hợp Bộ Dân luật Bắc Kỳ năm 1931</t>
  </si>
  <si>
    <t>Trần Thiên Khánh</t>
  </si>
  <si>
    <t>VHNT2026-045.png</t>
  </si>
  <si>
    <t>VHNT2026-046</t>
  </si>
  <si>
    <t>Hai chính sách đối vận trong cuộc chiến tranh ở miền Nam Việt Nam giai đoạn 1961 – 1968</t>
  </si>
  <si>
    <t>Bùi Bạch Kim</t>
  </si>
  <si>
    <t>VHNT2026-046.png</t>
  </si>
  <si>
    <t>VHNT2026-047</t>
  </si>
  <si>
    <t>Địa danh trên đường thiên lý qua vùng đất quảng nam từ thế kỷ xvi đến thế kỷ XIX.</t>
  </si>
  <si>
    <t>Nguyễn Thị Thảo Nguyên; Lý Diệu Thương; Châu Thị Huỳnh Trân; Chu Thị Khánh Huyền</t>
  </si>
  <si>
    <t>VHNT2026-047.png</t>
  </si>
  <si>
    <t>VHNT2026-048</t>
  </si>
  <si>
    <t>BẢN SẮC VĂN HÓA VÙNG ĐÔNG NAM BỘ - NGHIÊN CỨU TRƯỜNG HỢP THÀNH PHỐ HỒ CHÍ MINH SAU SÁP NHẬP</t>
  </si>
  <si>
    <t>Phạm Ngọc Bảo Anh; Trần Minh Nhựt</t>
  </si>
  <si>
    <t>VHNT2026-048.png</t>
  </si>
  <si>
    <t>VHNT2026-049</t>
  </si>
  <si>
    <t>QUÁ TRÌNH TIẾP THU, PHÁT HUY, BẢO TỒN CÁC GIÁ TRỊ ÂM NHẠC CỔ TRUYỀN NAM BỘ TRONG NHẠC LỄ ĐẠO CAO ĐÀI.</t>
  </si>
  <si>
    <t>Nguyễn Tài Lộc; Trần Ngọc Thắm</t>
  </si>
  <si>
    <t>VHNT2026-049.png</t>
  </si>
  <si>
    <t>VHNT2026-050</t>
  </si>
  <si>
    <t>MINH SƯ ĐẠO TRONG ĐỜI SỐNG CƯ DÂN NAM BỘ (NGHIÊN CỨU TRƯỜNG HỢP QUANG NAM PHẬT ĐƯỜNG, NAM NHÃ PHẬT ĐƯỜNG VÀ QUẢNG TẾ PHẬT ĐƯỜNG)</t>
  </si>
  <si>
    <t>Đào Xuân Thanh; Huỳnh Nguyễn Tường Vy; Trương Đình Thái</t>
  </si>
  <si>
    <t>VHNT2026-050.png</t>
  </si>
  <si>
    <t>VHNT2026-051</t>
  </si>
  <si>
    <t>Giá trị văn hóa của ca từ dân ca Việt Nam và ứng dụng trong biểu diễn thanh nhạc: Nghiên cứu trường hợp sinh viên ngành thanh nhạc tại một trường Đại học trên địa bàn Thành phố Hồ Chí Minh</t>
  </si>
  <si>
    <t>Vũ Ngọc Tú; Nguyễn Thị Khánh Ân; Nguyễn Trung Kiên; Hà Công Nhật; Nguyễn Anh Quân</t>
  </si>
  <si>
    <t>VHNT2026-051.png</t>
  </si>
  <si>
    <t>VHNT2026-052</t>
  </si>
  <si>
    <t>MÔ HÌNH VĂN NHÂN HỌA TRONG MẠCH NGẦM DI SẢN: SỰ TIẾP NHẬN VÀ BIẾN ĐỔI MỸ HỌC NHO GIÁO TRONG NGHỆ THUẬT TẠO HÌNH VIỆT NAM TỪ THẾ KỶ XV ĐẾN NAY</t>
  </si>
  <si>
    <t>Nguyễn Hà Huyền Trân; Hồ Việt Lê; Lê Huỳnh Ái; Nguyễn Thùy Mỵ</t>
  </si>
  <si>
    <t>VHNT2026-052.png</t>
  </si>
  <si>
    <t>VHNT2026-053</t>
  </si>
  <si>
    <t>Căn tính và chấn thương: Tự sự động vật trong Gāv (1969) của Dariush Mehrjui và Cu Li không bao giờ khóc (2024) của Phạm Ngọc Lân</t>
  </si>
  <si>
    <t>Kiều Minh Hùng; Phan La Phương Uyên</t>
  </si>
  <si>
    <t>VHNT2026-053.png</t>
  </si>
  <si>
    <t>VHNT2026-054</t>
  </si>
  <si>
    <t>Sân khấu thể nghiệm tại Thành phố Hồ Chí Minh giai đoạn hậu COVID-19</t>
  </si>
  <si>
    <t>Nguyễn Hồ Thảo Uyên; Đỗ Thị Như Quỳnh; Phan Lê Hoàng Quyên</t>
  </si>
  <si>
    <t>VHNT2026-054.png</t>
  </si>
  <si>
    <t>VHNT2026-055</t>
  </si>
  <si>
    <t>TÁC ĐỘNG CỦA THIẾT KẾ ĐỒ HOẠ TRONG TRUYỀN THÔNG MÔI TRƯỜNG: NGHIÊN CỨU VỀ THAY ĐỔI VỚI BIẾN ĐỔI KHÍ HẬU VÀ THỰC HÀNH TIÊU DÙNG XANH</t>
  </si>
  <si>
    <t>Phạm Phúc Xuân; Nguyễn Đức Tiến; Nguyễn Tuấn Kiệt</t>
  </si>
  <si>
    <t>VHNT2026-055.png</t>
  </si>
  <si>
    <t>VHNT2026-056</t>
  </si>
  <si>
    <t>NGHIÊN CỨU HOA VĂN KHMER NAM BỘ TRÊN GHE NGO – THIẾT KẾ BỘ HOA VĂN ĐA NĂNG, ỨNG DỤNG THÍ ĐIỂM THIẾT KẾ VISUAL LED TRONG LỄ HỘI OK OM BOK</t>
  </si>
  <si>
    <t>Trần Thu Hường; Lê Thị Hà Xuyên; Lê Công Khanh</t>
  </si>
  <si>
    <t>VHNT2026-056.png</t>
  </si>
  <si>
    <t>VHNT2026-057</t>
  </si>
  <si>
    <t>NGHIÊN CỨU VÀ ỨNG DỤNG CÔNG NGHỆ THỰC TẾ TĂNG CƯỜNG (AR) TRONG TRẢI NGHIỆM LỊCH SỬ ĐÔ THỊ THÀNH PHỐ HỒ CHÍ MINH.</t>
  </si>
  <si>
    <t>Nguyễn Ngọc Bảo Châu; Trịnh Thị Trúc Ly; Trần Tống Trúc Vân</t>
  </si>
  <si>
    <t>VHNT2026-057.png</t>
  </si>
  <si>
    <t>VHNT2026-058</t>
  </si>
  <si>
    <t>Ứng dụng tạo hình rối nước trong thiết kế bộ nhận diện sự kiện văn hóa dân gian Việt Nam</t>
  </si>
  <si>
    <t>Lã Thị Hồng Lương; Cáp Thị Minh Nguyệt; Phan Thị Minh</t>
  </si>
  <si>
    <t>VHNT2026-058.png</t>
  </si>
  <si>
    <t>VHNT2026-059</t>
  </si>
  <si>
    <t>Tăng cường hiệu quả truyền thông cho lễ hội truyền thống văn hóa Việt Nam thông qua công nghệ thực tế ảo tăng cường.</t>
  </si>
  <si>
    <t>Nguyễn Thị Mến; Lê Thanh Minh; Phạm Quỳnh Anh</t>
  </si>
  <si>
    <t>VHNT2026-059.png</t>
  </si>
  <si>
    <t>VHNT2026-060</t>
  </si>
  <si>
    <t>Xây dựng hệ thống nhận diện thương hiệu cho sản phẩm xà bông của Hợp tác xã Nậm Nghẹp</t>
  </si>
  <si>
    <t>Nguyễn Thị Hồng Ánh; Nguyễn Từ Quỳnh Anh; Nguyễn Từ Mai Anh; Nguyễn Thị Minh Châu; Nguyễn Trúc Hân Du</t>
  </si>
  <si>
    <t>VHNT2026-060.png</t>
  </si>
  <si>
    <t>VHNT2026-061</t>
  </si>
  <si>
    <t>Thiết kế cảnh quan văn hóa Tết cổ truyền phục vụ cộng đồng tại khu dân cư trên địa bàn Thành phố Hồ Chí Minh.</t>
  </si>
  <si>
    <t>Nguyễn Ngọc Bảo Trân; Huỳnh Gia Thịnh; Đặng Văn Tiến Đạt; Phan Lê Tuấn Kiệt</t>
  </si>
  <si>
    <t>VHNT2026-061.png</t>
  </si>
  <si>
    <t>VHNT2026-062</t>
  </si>
  <si>
    <t>Nghiên cứu biểu tượng Nghê trong mỹ thuật truyền thống Việt Nam kết hợp công nghệ AR ứng dụng vào thiết kế linh vật cho Giải Võ Cổ Truyền Quốc Gia</t>
  </si>
  <si>
    <t>Đỗ Ngân Thương; Nguyễn Thị Thanh Bình; Lê Yến Nhi; Hà Duy Khánh</t>
  </si>
  <si>
    <t>VHNT2026-062.png</t>
  </si>
  <si>
    <t>VHNT2026-063</t>
  </si>
  <si>
    <t>NGHIÊN CỨU KHẢ NĂNG TẠO HIỆU ỨNG BỀ MẶT CỦA VẬT LIỆU TỪ PHỤ PHẨM VỎ DỨA, ỨNG DỤNG VÀO SẢN PHẨM NỘI THẤT NGHỆ THUẬT</t>
  </si>
  <si>
    <t>Phạm Huyền Trinh; Trần Mai Kim Ngân</t>
  </si>
  <si>
    <t>VHNT2026-063.png</t>
  </si>
  <si>
    <t>VHNT2026-064</t>
  </si>
  <si>
    <t>Tôn tạo mỹ thuật đặc định tại Thư viện Khoa học tổng hợp TP. HCM</t>
  </si>
  <si>
    <t>Uông Hoàng Đạt; Phạm Ngọc Xuân Hương; Nguyễn Phạm Thùy Ngân</t>
  </si>
  <si>
    <t>Trường Đại học Kiến trúc TP. Hồ Chí Minh</t>
  </si>
  <si>
    <t>VHNT2026-064.png</t>
  </si>
  <si>
    <t>VHNT2026-065</t>
  </si>
  <si>
    <t>Biểu tượng và “căn tính văn hóa” trong công trình hạ tầng ngầm: Phân tích ngôn ngữ thiết kế của các nhà ga metro tuyến số 1</t>
  </si>
  <si>
    <t>Dương Đồng Hà Linh; Trương Khánh Linh; Nguyễn Thị Cẩm Thy; Vũ Trịnh Phương Anh</t>
  </si>
  <si>
    <t>VHNT2026-065.png</t>
  </si>
  <si>
    <t>VHNT2026-066</t>
  </si>
  <si>
    <t>Tổ chức không gian kiến trúc Quảng trường Đông Kinh – Nghĩa Thục có ứng dụng công nghệ mới</t>
  </si>
  <si>
    <t>Ngô Bảo Trân; Trần Mạnh Đức; Phạm Khánh Giang; Lê Bá Tùng Lâm</t>
  </si>
  <si>
    <t>VHNT2026-066.png</t>
  </si>
  <si>
    <t>VHNT2026-067</t>
  </si>
  <si>
    <t>Ứng dụng tái chế vải vụn trong thiết kế trang trí đồ đạc nội thất nhà ở</t>
  </si>
  <si>
    <t>Nguyễn Thị Uyên; Ngô Thị Thu Trang; Lý Thị Thủy Tiên; Võ Hoàng Ngọc Thu</t>
  </si>
  <si>
    <t>VHNT2026-067.png</t>
  </si>
  <si>
    <t>VHNT2026-068</t>
  </si>
  <si>
    <t>Nghiên cứu ứng dụng vật liệu mây tre giang đan vào thiết kế tấm ốp trần.</t>
  </si>
  <si>
    <t>Nguyễn Ngọc Trâm; Trần Lâm Tùng; Nguyễn Minh Ngọc</t>
  </si>
  <si>
    <t>VHNT2026-068.png</t>
  </si>
  <si>
    <t>VHNT2026-069</t>
  </si>
  <si>
    <t>Nghiên cứu chuyển hóa kết cấu mộng truyền thống và ứng dụng trong thiết nội thất để sản xuất đồ rời hiện đại.</t>
  </si>
  <si>
    <t>Trần Lê Na; Nguyễn Thành Định; Nguyễn Thị Lan Anh</t>
  </si>
  <si>
    <t>VHNT2026-069.png</t>
  </si>
  <si>
    <t>VHNT2026-070</t>
  </si>
  <si>
    <t>NGHIÊN CỨU CHẤT LIỆU DA SINH HỌC TỪ SCOBY KẾT HỢP VÂN THỰC VẬT ỨNG DỤNG TRONG THIẾT KẾ THỜI TRANG</t>
  </si>
  <si>
    <t>Đặng Thị Uyên Nhi; Lê Mai Tuyết Nhi</t>
  </si>
  <si>
    <t>VHNT2026-070.png</t>
  </si>
  <si>
    <t>VHNT2026-071</t>
  </si>
  <si>
    <t>Ứng dụng nghệ thuật trang trí áo Tế Giao thời Nguyễn trong thiết kế trang phục dạ hội</t>
  </si>
  <si>
    <t>Vũ Ngọc Diệp; Phùng Thị Bích Ngọc</t>
  </si>
  <si>
    <t>VHNT2026-071.png</t>
  </si>
  <si>
    <t>VHNT2026-072</t>
  </si>
  <si>
    <t>Nghiên cứu và thiết kế giày cao gót điều chỉnh chiều cao linh hoạt nhằm nâng cao trải nghiệm của người dùng trong thời trang và sức khoẻ</t>
  </si>
  <si>
    <t>Hồ Minh An; Phạm Thị Thảo Vi; Hoàng Hải Nam; Huỳnh Thị Như Quỳnh; Phạm Minh Trí</t>
  </si>
  <si>
    <t>VHNT2026-072.png</t>
  </si>
  <si>
    <t>VHNT2026-073</t>
  </si>
  <si>
    <t>Thiết kế vị nhân sinh (human - centric design) trong thời trang trẻ em: Giải pháp thẩm mỹ và công năng bảo hộ của áo khoác chống đuối nước dành cho trẻ em</t>
  </si>
  <si>
    <t>Lê Thái Khánh Vy; Nguyễn Nhật Khánh; Quách Hoàng Vỹ</t>
  </si>
  <si>
    <t>VHNT2026-073.png</t>
  </si>
  <si>
    <t>VHNT2026-074</t>
  </si>
  <si>
    <t>Thiết kế trang phục áo dài trình diễn từ vải linen lấy ý tưởng từ lồng đèn trung thu Việt Nam</t>
  </si>
  <si>
    <t>Nguyễn Thị Thùy Dương; Lâm Tuyết Nghi</t>
  </si>
  <si>
    <t>VHNT2026-074.png</t>
  </si>
  <si>
    <t>VHNT2026-075</t>
  </si>
  <si>
    <t>Nghiên cứu nguồn màu tự nhiên nhạy pH ứng dụng vào tạo dựng hoạ tiết mang phong cách tranh Đông Hồ trên sản phẩm thời trang</t>
  </si>
  <si>
    <t>Trần Thành Long; Nguyễn Thị Kim Ngọc</t>
  </si>
  <si>
    <t>VHNT2026-075.png</t>
  </si>
  <si>
    <t>VHNT2026-076</t>
  </si>
  <si>
    <t>Nghiên cứu tái chế vải jean trong thiết kế và phát triển áo dài cách tân bằng kỹ thuật đan lát truyền thống</t>
  </si>
  <si>
    <t>Nguyễn Duy Tân; Đỗ Thị Phương Anh; Nguyễn Bảo Ngân; Phùng Trung Nghĩa</t>
  </si>
  <si>
    <t>VHNT2026-076.png</t>
  </si>
  <si>
    <t>VHNT2026-077</t>
  </si>
  <si>
    <t>Nghiên cứu ứng dụng nghệ thuật Mosaic từ vật liệu tái chế vào thiết kế trang phục đa năng</t>
  </si>
  <si>
    <t>Hồ Ngọc Ánh Tuyết; Huỳnh Thị Minh Thư</t>
  </si>
  <si>
    <t>VHNT2026-077.png</t>
  </si>
  <si>
    <t>VHNT2026-078</t>
  </si>
  <si>
    <t>Bảo tồn và phát huy giá trị kịch bản tuồng hát bội Đào Tấn trong bối cảnh chuyển đổi số hiện nay</t>
  </si>
  <si>
    <t>Nguyễn Duy Phước Nguyên; Bùi Thị Mỹ Nhân; Phan Thị Ngọc Quỳnh; Nguyễn Như Ý</t>
  </si>
  <si>
    <t>VHNT2026-078.png</t>
  </si>
  <si>
    <t>VHNT2026-079</t>
  </si>
  <si>
    <t>HỘI HỌA TRONG TIỂU THUYẾT BỨC HỌA DORIAN GRAY CỦA OSCAR WILDE</t>
  </si>
  <si>
    <t>Lê Thị Dung Nhi</t>
  </si>
  <si>
    <t>VHNT2026-079.png</t>
  </si>
  <si>
    <t>VHNT2026-080</t>
  </si>
  <si>
    <t>Từ Robot đến Trí tuệ nhân tạo: Diễn ngôn dự báo xã hội trong văn học khoa học viễn tưởng Đông Á</t>
  </si>
  <si>
    <t>Trần Thị Ngọc Hà; Nguyễn Thị Nhung; Trần Ý Nhiên; Mai Phan Thùy Trinh; Đặng Nam Khang</t>
  </si>
  <si>
    <t>VHNT2026-080.png</t>
  </si>
  <si>
    <t>VHNT2026-081</t>
  </si>
  <si>
    <t>Biểu hiện và tiếp nhận tư tưởng nữ quyền trong tác phẩm Những ngọn núi biết hát của Nguyễn Phan Quế Mai</t>
  </si>
  <si>
    <t>Nguyễn Thanh Sang</t>
  </si>
  <si>
    <t>VHNT2026-081.png</t>
  </si>
  <si>
    <t>VHNT2026-082</t>
  </si>
  <si>
    <t>CHỦ ĐỀ NGUỒN CỘI VÀ BẢN SẮC TRONG MỘT SỐ TÁC PHẨM VĂN HỌC NỮ VIỆT NAM HIỆN ĐẠI NHÌN TỪ LÍ THUYẾT DU MỤC</t>
  </si>
  <si>
    <t>Nguyễn Phạm Mẫn Nguyên; Nguyễn Hồng Đức</t>
  </si>
  <si>
    <t>Trường Đại học Sài gòn</t>
  </si>
  <si>
    <t>VHNT2026-082.png</t>
  </si>
  <si>
    <t>VHNT2026-083</t>
  </si>
  <si>
    <t>Biểu tượng tôn giáo trong tiểu thuyết Hồ, Đẹp và Buồn của Yasunari Kawabata</t>
  </si>
  <si>
    <t>Trần Thị Linh; Nguyễn Huyền Trang; Nguyễn Thị Thanh Huyền; Quách Thi Nhung</t>
  </si>
  <si>
    <t>VHNT2026-083.png</t>
  </si>
  <si>
    <t>VHNT2026-084</t>
  </si>
  <si>
    <t>Mô hình "Hành trình người anh hùng" trong sử thi Tây Nguyên và việc ứng dụng công nghệ số trong giáo dục di sản văn hóa</t>
  </si>
  <si>
    <t>Đổ Chí Hải; Võ Quốc Đạt; Phạm Thanh Hà; Trần Khả Minh</t>
  </si>
  <si>
    <t>VHNT2026-084.png</t>
  </si>
  <si>
    <t>VHNT2026-085</t>
  </si>
  <si>
    <t>Văn hóa dân gian đương đại trong môi trường số: Biến thể của tục ngữ, ca dao trên mạng xã hội</t>
  </si>
  <si>
    <t>Ngô Thị Mỹ Tâm; Bùi Lê Na</t>
  </si>
  <si>
    <t>VHNT2026-085.png</t>
  </si>
  <si>
    <t>VHNT2026-086</t>
  </si>
  <si>
    <t>Vận dụng văn hoá dân gian như một phương thức kiến tạo căn tính nghệ sĩ: Một đối sánh liên văn hoá từ Hoàng Thuỳ Linh đến Taylor Swift</t>
  </si>
  <si>
    <t>Trần Văn Lập; Huỳnh Ngọc Yến Nhi</t>
  </si>
  <si>
    <t>VHNT2026-086.png</t>
  </si>
  <si>
    <t>VHNT2026-087</t>
  </si>
  <si>
    <t>Trải nghiệm nghệ thuật chèo truyền thống qua trò chơi board game</t>
  </si>
  <si>
    <t>Phạm Quế Anh; Lê Như Bình; Hoàng Ngọc Ánh</t>
  </si>
  <si>
    <t>VHNT2026-087.png</t>
  </si>
  <si>
    <t>VHNT2026-088</t>
  </si>
  <si>
    <t>Tiếp nhận và tái triển bài xẩm Mục hạ vô nhân của Nguyễn Khuyến trong văn học –nghệ thuật hiện đại và đương đại</t>
  </si>
  <si>
    <t>Đào Thùy Dương; Nguyễn Thế Phi Đăng; Vũ Thị Khánh Huyền</t>
  </si>
  <si>
    <t>VHNT2026-088.png</t>
  </si>
  <si>
    <t>VHNT2026-089</t>
  </si>
  <si>
    <t>Xây dựng bộ nhận diện thương hiệu cho gia đình nghệ nhân Đức Thịnh tại làng nghề gốm Phù Lãng (Bắc Ninh)</t>
  </si>
  <si>
    <t>Nguyễn Minh Phương Thảo; Nguyễn Thị Ngọc Ánh; Hoàng Thúy Uyên</t>
  </si>
  <si>
    <t>VHNT2026-089.png</t>
  </si>
  <si>
    <t>VHNT2026-090</t>
  </si>
  <si>
    <t>Bảo tồn và phát huy giá trị nghệ thuật hát Then của người Tày tại Làng văn hoá Quỳnh Sơn, tỉnh Lạng Sơn</t>
  </si>
  <si>
    <t>Phạm Tuấn Anh; Tạ Minh Anh; Bùi Thị Vui</t>
  </si>
  <si>
    <t>VHNT2026-090.png</t>
  </si>
  <si>
    <t>VHNT2026-091</t>
  </si>
  <si>
    <t>Trải nghiệm thực tế ảo và ý định ghé thăm của du khách: Hướng đến phát huy giá trị Di tích lịch sử Dinh Độc Lập</t>
  </si>
  <si>
    <t>Lầm Cún Sầu</t>
  </si>
  <si>
    <t>VHNT2026-091.png</t>
  </si>
  <si>
    <t>VHNT2026-092</t>
  </si>
  <si>
    <t>Ký ức tập thể và Folklore đương đại: Nghiên cứu trường hợp truyền thuyết hậu chiến tại thành phố Đà Nẵng</t>
  </si>
  <si>
    <t>Trần Văn Khánh Dương; Vũ Minh Huyền; Dương Vũ Như Quỳnh; Trần Thành Tài; Bùi Thị Phương Thảo</t>
  </si>
  <si>
    <t>VHNT2026-092.png</t>
  </si>
  <si>
    <t>VHNT2026-093</t>
  </si>
  <si>
    <t>Không gian văn hóa Hán tự tại Vĩnh Long – sự tiếp biến tư tưởng Nho giáo, nghệ thuật và dấu ấn di cư</t>
  </si>
  <si>
    <t>Đỗ Ngọc Minh Thư; Văn Toàn Thiện</t>
  </si>
  <si>
    <t>VHNT2026-093.png</t>
  </si>
  <si>
    <t>VHNT2026-094</t>
  </si>
  <si>
    <t>Sự biến đổi trong đời sống văn hóa tại Sài Gòn, Chợ Lớn, gia định trước tác động của cuộc di cư từ bắc vào nam sau hiệp định Geneva (07/1954)</t>
  </si>
  <si>
    <t>Võ Văn Thương; Phạm Văn Khánh</t>
  </si>
  <si>
    <t>VHNT2026-094.png</t>
  </si>
  <si>
    <t>VHNT2026-095</t>
  </si>
  <si>
    <t>Nghiên cứu các yếu tố ảnh hưởng đến trải nghiệm của công chúng tại bảo tàng: Bài học kinh nghiệm từ Trung Quốc và gợi mở cho các bảo tàng ở Hà Nội</t>
  </si>
  <si>
    <t>Phạm Hà My; Nguyễn Phương Thảo; Đỗ Như Quỳnh; Nguyễn Khánh Ly</t>
  </si>
  <si>
    <t>VHNT2026-095.png</t>
  </si>
  <si>
    <t>VHNT2026-096</t>
  </si>
  <si>
    <t>Hình tượng người phụ nữ trong văn hóa đạo Mẫu từ biểu tượng tín ngưỡng đến nguồn lực văn hóa đương đại</t>
  </si>
  <si>
    <t>Phạm Thị Minh Phương; Nguyễn Lê Tú Anh</t>
  </si>
  <si>
    <t>VHNT2026-096.png</t>
  </si>
  <si>
    <t>VHNT2026-097</t>
  </si>
  <si>
    <t>Văn hóa chọn ngày lành tháng tốt của người Việt nhìn từ lý thuyết nghi lễ của Victor Turner</t>
  </si>
  <si>
    <t>Trần Thị Minh Anh; Nguyễn Thị An; Nguyễn Hồ Thảo Chi</t>
  </si>
  <si>
    <t>VHNT2026-097.png</t>
  </si>
  <si>
    <t>VHNT2026-098</t>
  </si>
  <si>
    <t>Chiếm dụng các sản phẩm văn hóa dân tộc thiểu số Việt Nam trên mạng xã hội hiện nay</t>
  </si>
  <si>
    <t>Võ Quỳnh Anh</t>
  </si>
  <si>
    <t>VHNT2026-098.png</t>
  </si>
  <si>
    <t>VHNT2026-099</t>
  </si>
  <si>
    <t>Xây dựng mô hình nhà sách trải nghiệm văn hóa cho thế hệ Z trên cơ sở khảo sát một số mô hình nhà sách tiêu biểu tại Hà Nội</t>
  </si>
  <si>
    <t>Bùi Thanh Trà; Lý Thủy Tiên; Chu Thị Thanh Ngọc; Nguyễn Thị Phương Thanh</t>
  </si>
  <si>
    <t>VHNT2026-099.png</t>
  </si>
  <si>
    <t>VHNT2026-100</t>
  </si>
  <si>
    <t>Giải pháp bảo tồn và phát huy giá trị không gian kiến trúc Thành cổ An Thổ trong bối cảnh đương đại Phú Yên</t>
  </si>
  <si>
    <t>Hoàng Trọng Vũ; Phan Long Phúc; Huỳnh Văn Thiện; Liêu Minh Tâm; Nguyễn Quang Huy</t>
  </si>
  <si>
    <t>VHNT2026-100.png</t>
  </si>
  <si>
    <t>VHNT2026-101</t>
  </si>
  <si>
    <t>The Impact of Artificial Intelligence on the Application of Research-Based Learning (RBL) in the Ideation Phase of Communication Design Students</t>
  </si>
  <si>
    <t>Nguyễn Lan Anh; Vũ Thu An</t>
  </si>
  <si>
    <t>VHNT2026-101.png</t>
  </si>
  <si>
    <t>VHNT2026-102</t>
  </si>
  <si>
    <t>DIỄN NGÔN SINH THÁI TRONG THỰC HÀNH TÍN NGƯỠNG THỜ CÁ ÔNG Ở VIỆT NAM</t>
  </si>
  <si>
    <t>Phan Thị Thúc Quỳnh; Nguyễn Nam Anh; Mai Thị Nghi; Trần Bảo Ngọc; Lê Thị Bích Quân</t>
  </si>
  <si>
    <t>VHNT2026-102.png</t>
  </si>
  <si>
    <t>VHNT2026-103</t>
  </si>
  <si>
    <t>Hà Nội trong tản văn của Nguyễn Trương Quý</t>
  </si>
  <si>
    <t>Vũ Đỗ Ngọc An; Hoàng Ngọc Anh; Bùi Thị Ngân; Hoàng Đình Quân</t>
  </si>
  <si>
    <t>VHNT2026-103.png</t>
  </si>
  <si>
    <t>VHNT2026-104</t>
  </si>
  <si>
    <t>Biểu đạt Nữ quyền trong âm nhạc đại chúng Việt Nam từ góc nhìn lý thuyết Nữ quyền Hip-Hop (Nghiên cứu trường hợp Album “Ái” của Ca sĩ Tlinh)</t>
  </si>
  <si>
    <t>Trần Kim Ngân; Nguyễn Bích Ngọc</t>
  </si>
  <si>
    <t>VHNT2026-104.png</t>
  </si>
  <si>
    <t>VHNT2026-105</t>
  </si>
  <si>
    <t>An Le - Research and design of an application for ritual guidance and personal wish management in Vietnamese worship culture.</t>
  </si>
  <si>
    <t>Vũ Linh Nhi; Nguyễn Phạm Hoàng Nam; Võ Văn Khánh</t>
  </si>
  <si>
    <t>VHNT2026-105.png</t>
  </si>
  <si>
    <t>VHNT2026-106</t>
  </si>
  <si>
    <t>Student Adaptation in Pre-Design Concept Research within an AI-Influenced Learning Environment: A Study of Graphic Design Students at FPT University HCMC</t>
  </si>
  <si>
    <t>Dương Gia Bảo</t>
  </si>
  <si>
    <t>VHNT2026-106.png</t>
  </si>
  <si>
    <t>VHNT2026-107</t>
  </si>
  <si>
    <t>Nghiên cứu ẩn dụ tri nhận về cảm xúc vui và buồn thể hiện trong ca từ các bài hát K-pop giai đoạn 2012-2020</t>
  </si>
  <si>
    <t>Lê Quốc Duy</t>
  </si>
  <si>
    <t>VHNT2026-107.png</t>
  </si>
  <si>
    <t>VHNT2026-108</t>
  </si>
  <si>
    <t>Vấn đề chiến tranh trong Mưa đỏ từ tiểu thuyết đến phim điện ảnh.</t>
  </si>
  <si>
    <t>Võ Diệp Thảo Hiếu; Nguyễn Minh Phú; Nguyễn Huỳnh Khả Duyên</t>
  </si>
  <si>
    <t>VHNT2026-108.png</t>
  </si>
  <si>
    <t>VHNT2026-109</t>
  </si>
  <si>
    <t>Dấu ấn Phật giáo trong kịch bản tuồng nôm ở Sài Gòn - Chợ Lớn cuối thế kỉ XIX - đầu thế kỉ XX: Khảo sát trường hợp Trương Ngáo</t>
  </si>
  <si>
    <t>Trần Quang Huy</t>
  </si>
  <si>
    <t>VHNT2026-109.png</t>
  </si>
  <si>
    <t>VHNT2026-110</t>
  </si>
  <si>
    <t>Mỹ học khổ tu trong Vô Y Tử thi tập của Chân Giác Tuệ Thầm</t>
  </si>
  <si>
    <t>Nguyễn Thị Thanh Tuyền</t>
  </si>
  <si>
    <t>VHNT2026-110.png</t>
  </si>
  <si>
    <t>VHNT2026-111</t>
  </si>
  <si>
    <t>Hành trình trở thành phụ nữ qua Lê Vân - Yêu và Sống (Bùi Mai Hạnh - Lê Vân) và Jane Eyre (Charlotte Bronte)</t>
  </si>
  <si>
    <t>Dương Hoàng Bảo Như; Lý Quốc Khánh; Lê Thu Trang</t>
  </si>
  <si>
    <t>VHNT2026-111.png</t>
  </si>
  <si>
    <t>VHNT2026-112</t>
  </si>
  <si>
    <t>Căn tính và giới trong một số tự truyện của người chuyển giới nữ Việt Nam</t>
  </si>
  <si>
    <t>Huỳnh Xuân Quan</t>
  </si>
  <si>
    <t>VHNT2026-112.png</t>
  </si>
  <si>
    <t>VHNT2026-113</t>
  </si>
  <si>
    <t>Truyện ngắn của Bình Nguyên Lộc từ góc nhìn phê bình sinh thái</t>
  </si>
  <si>
    <t>Nguyễn Thị Quỳnh Hương</t>
  </si>
  <si>
    <t>VHNT2026-113.png</t>
  </si>
  <si>
    <t>VHNT2026-114</t>
  </si>
  <si>
    <t>Văn xuôi Đoàn Giỏi từ góc nhìn phê bình sinh thái</t>
  </si>
  <si>
    <t>Chung Ngọc Bảo Nguyên; Vũ Huyền Khanh</t>
  </si>
  <si>
    <t>VHNT2026-114.png</t>
  </si>
  <si>
    <t>VHNT2026-115</t>
  </si>
  <si>
    <t>Đối chiếu từ ngữ chỉ màu sắc trong thơ ca của S. Esenin về thiên nhiên (giai đoạn trước năm 1917) giữa nguyên tác và bản dịch tiếng Việt</t>
  </si>
  <si>
    <t>Phạm Thị Quỳnh Thư; Ngô Mỹ Kim An; Trương Hoàng Quân; Cao Đức Trí</t>
  </si>
  <si>
    <t>VHNT2026-115.png</t>
  </si>
  <si>
    <t>VHNT2026-116</t>
  </si>
  <si>
    <t>Dự án Podcast “Việt Nam mến yêu” - Hành trình lan tỏa văn hóa và lịch sử Việt Nam</t>
  </si>
  <si>
    <t>Thịnh Ngọc Mai; Nguyễn Huệ Lâm</t>
  </si>
  <si>
    <t>VHNT2026-116.png</t>
  </si>
  <si>
    <t>VHNT2026-117</t>
  </si>
  <si>
    <t>Bảo tồn và phát huy bản sắc văn hóa Việt Nam được thể hiện qua “Tổng tập thác bản văn khắc Hán Nôm (Tập 19)</t>
  </si>
  <si>
    <t>Thái Bình Nguyên</t>
  </si>
  <si>
    <t>VHNT2026-117.png</t>
  </si>
  <si>
    <t>VHNT2026-118</t>
  </si>
  <si>
    <t>ỨNG DỤNG TRÒ CHƠI THẺ BÀI TRONG TRUYỀN TẢI VÀ TIẾP NHẬN VĂN HÓA VIỆT NAM CHO DU KHÁCH QUỐC TẾ - TRƯỜNG HỢP DỰ ÁN VIETVIBE</t>
  </si>
  <si>
    <t>Nguyễn Vũ Quỳnh Anh; Lê Thị Ngà; Nguyễn Thị Minh Ánh; Đào Minh Nguyệt; Đào Thị Thu Phương</t>
  </si>
  <si>
    <t>VHNT2026-118.png</t>
  </si>
  <si>
    <t>VHNT2026-119</t>
  </si>
  <si>
    <t>Thiết kế và triển khai hệ thống boardgame tích hợp AI – AR nhằm nâng cao nhận thức và lan tỏa giá trị văn hóa dân tộc cho học sinh THPT tại phường Ngũ Hành Sơn, thành phố Đà Nẵng</t>
  </si>
  <si>
    <t>Nguyễn Ngọc Gia Bảo; Lê Thị Phương Chi; Nguyễn Ngọc Minh Châu;Trần Hà Linh; Trương Nguyên Khang</t>
  </si>
  <si>
    <t>VHNT2026-119.png</t>
  </si>
  <si>
    <t>KHYD2026-001</t>
  </si>
  <si>
    <t>Khoa học Y, Dược</t>
  </si>
  <si>
    <t>Application of the antibacterial, antioxidant and anti-inflammatory properties of crude extract from Eclipta prostrata L. in the formulation herbal cream for acne treatment</t>
  </si>
  <si>
    <t>Trần Hoàng Yến; Đặng Hoàng Gia; Nguyễn Khắc Định</t>
  </si>
  <si>
    <t>KHYD2026-001.png</t>
  </si>
  <si>
    <t>KHYD2026-002</t>
  </si>
  <si>
    <t>Thiết kế và tổng hợp vật liệu poly (β-amino ester) định hướng làm giá mang nano trong phân phối ovalbumin</t>
  </si>
  <si>
    <t>Đào Ngọc Nga; Lâm Công Thức</t>
  </si>
  <si>
    <t>KHYD2026-002.png</t>
  </si>
  <si>
    <t>KHYD2026-003</t>
  </si>
  <si>
    <t>Phát triển hệ tá dược bổ trợ vaccine đồng vận chuyển resiquimod và muối nhôm ứng dụng trong tăng cường và điều hòa đáp ứng miễn dịch với kháng nguyên protein</t>
  </si>
  <si>
    <t>Nguyễn Bảo Nhi; Nguyễn Hoàng Kim Khánh; Lê Thị Linh Đan; Vương Chí Hào</t>
  </si>
  <si>
    <t>KHYD2026-003.png</t>
  </si>
  <si>
    <t>KHYD2026-004</t>
  </si>
  <si>
    <t>Phát triển hệ giá mang hybrid liposome-polydopamine ứng dụng vận chuyển thuốc chọn lọc tế bào đích, đánh giá hiệu quả kháng ung thư và kháng viêm</t>
  </si>
  <si>
    <t>Nguyễn Hoàng Phúc; Võ Thanh Hương; Huỳnh Nguyễn Minh Thư; Võ Văn Vinh; Nguyễn Thị Quỳnh Như</t>
  </si>
  <si>
    <t>KHYD2026-004.png</t>
  </si>
  <si>
    <t>KHYD2026-005</t>
  </si>
  <si>
    <t>Đánh giá hoạt tính chống oxy hoá, bảo vệ dạ dày của cao đặc lá Bần không cánh (Sonneratia apetala)</t>
  </si>
  <si>
    <t>Ngô Thị Thu Hà; Nguyễn Kim Ngọc; Nguyễn Văn Thuận; Nguyễn Hồng Thái</t>
  </si>
  <si>
    <t>KHYD2026-005.png</t>
  </si>
  <si>
    <t>KHYD2026-006</t>
  </si>
  <si>
    <t>NGHIÊN CỨU ĐỘC TÍNH CẤP VÀ TÁC DỤNG GIẢM CÂN CỦA HỖN HỢP CAO CHIẾT LÁ SEN, THÂN RỄ NGHỆ VÀ THÂN RỄ HOÀNG LIÊN TRÊN MÔ HÌNH CHUỘT</t>
  </si>
  <si>
    <t>Nguyễn Đức Hoài Nam; Trần Thị Mỹ Duyên; Nguyễn Chí Khanh; Nguyễn Võ Đăng Khoa</t>
  </si>
  <si>
    <t>KHYD2026-006.png</t>
  </si>
  <si>
    <t>KHYD2026-007</t>
  </si>
  <si>
    <t>TÌNH HÌNH SỬ DỤNG THUỐC ĐIỀU TRỊ UNG THƯ BIỂU MÔ TẾ BÀO GAN TRÊN NGƯỜI BỆNH ĐIỀU TRỊ NGOẠI TRÚ TẠI BỆNH VIỆN NHÂN DÂN GIA ĐỊNH NĂM 2025</t>
  </si>
  <si>
    <t>Huỳnh Hoàng Anh; Nguyễn Vũ Bích Ngọc; Khương Ngọc Phú; Nguyễn Yến Nhi; Nguyễn Thị Minh Tâm</t>
  </si>
  <si>
    <t>KHYD2026-007.png</t>
  </si>
  <si>
    <t>KHYD2026-008</t>
  </si>
  <si>
    <t>TUÂN THỦ SỬ DỤNG THUỐC ỨC CHẾ TYROSINE KINASE TRÊN NGƯỜI BỆNH UNG THƯ ĐIỀU TRỊ NGOẠI TRÚ TẠI BỆNH VIỆN NHÂN DÂN GIA ĐỊNH</t>
  </si>
  <si>
    <t>Khương Ngọc Phú; Nguyễn Yến Nhi; Nguyễn Thị Minh Tâm; Huỳnh Hoàng Anh; Nguyễn Vũ Bích Ngọc</t>
  </si>
  <si>
    <t>KHYD2026-008.png</t>
  </si>
  <si>
    <t>KHYD2026-009</t>
  </si>
  <si>
    <t>Tương tác thuốc có ý nghĩa lâm sàng và các yếu tố liên quan ở người bệnh đái tháo đường típ 2 có tăng huyết áp điều trị ngoại trú tại Bệnh viện Nhân Dân Gia Định</t>
  </si>
  <si>
    <t>Huỳnh Thủy Tiên; Nguyễn Thị Thanh Nga; Nguyễn Thị Tuyết Mi; Lê Thị Thanh Tuyền; Phạm Tấn Lộc</t>
  </si>
  <si>
    <t>KHYD2026-009.png</t>
  </si>
  <si>
    <t>KHYD2026-010</t>
  </si>
  <si>
    <t>Tổng hợp và đánh giá tác dụng trên vi sinh vật của một số phân đoạn Peptide Mastoparan B</t>
  </si>
  <si>
    <t>Nguyễn Phương Anh; Nguyễn Thị Như Ý</t>
  </si>
  <si>
    <t>KHYD2026-010.png</t>
  </si>
  <si>
    <t>KHYD2026-011</t>
  </si>
  <si>
    <t>Sàng lọc và xác định thành phần hóa học của phân đoạn có hoạt tính chống nắng và chống oxy hóa từ cây Muống biển (Ipomoea pes-caprae (L.) Sweet)</t>
  </si>
  <si>
    <t>Huỳnh Nguyễn Anh Thư; Hoàng Nhật Quân; Đặng Thị Ngọc Linh; Phan Thế Minh Tâm</t>
  </si>
  <si>
    <t>Trường Y Dược, Đại học Đà Nẵng</t>
  </si>
  <si>
    <t>KHYD2026-011.png</t>
  </si>
  <si>
    <t>KHYD2026-012</t>
  </si>
  <si>
    <t>BÀO CHẾ VÀ ĐÁNH GIÁ CHẤT LƯỢNG SIRO KHÔNG ĐƯỜNG CHỨA CAO CHIẾT DƯỢC LIỆU TÁO MÈO (DOCYNIA INDICA (WALL.) DECNE., ROSACEAE)</t>
  </si>
  <si>
    <t>Hoàng Phương Quỳnh; Nguyễn Khả Hân; Hồ Nguyễn Phương Trâm; Phạm Thị Huyền Trân</t>
  </si>
  <si>
    <t>KHYD2026-012.png</t>
  </si>
  <si>
    <t>KHYD2026-013</t>
  </si>
  <si>
    <t>Xây dựng và thẩm định quy trình định lượng Baicalein trong vỏ thân cây Núc nác (Oroxylum indicum (L.) Vent, Bignoniaceae) bằng phương pháp sắc ký lớp mỏng (TLC)</t>
  </si>
  <si>
    <t>Nguyễn Thị Mỹ Ngọc; Nguyễn Ngọc Minh Thư; Võ Hoài Thương; Trương Anh Thư</t>
  </si>
  <si>
    <t>KHYD2026-013.png</t>
  </si>
  <si>
    <t>KHYD2026-014</t>
  </si>
  <si>
    <t>Khảo sát thực trạng đăng ký thuốc ung thư và mức độ đáp ứng danh mục thuốc thiết yếu tại Việt Nam năm 2023-2025</t>
  </si>
  <si>
    <t>Nguyễn Tường Vy; Lâm Bích Như; Nguyễn Trần Kim Ngân; Nguyễn Ngọc Bình Phương; Đỗ Thị Thủy Tiên</t>
  </si>
  <si>
    <t>KHYD2026-014.png</t>
  </si>
  <si>
    <t>KHYD2026-015</t>
  </si>
  <si>
    <t>Khảo sát hoạt tính kháng khuẩn và kháng oxy hóa của cây Cần nước (Oenanthe javaica (Blume) DC.)</t>
  </si>
  <si>
    <t>Đoàn Lê Hải Linh; Nguyễn Thị Minh Huệ; Nguyễn Thị Yến Vy; Bồ Diệu Thảo</t>
  </si>
  <si>
    <t>KHYD2026-015.png</t>
  </si>
  <si>
    <t>KHYD2026-016</t>
  </si>
  <si>
    <t>Nghiên cứu đặc điểm thực vật học và khảo sát sơ bộ thành phần hóa học của cây Dầu lai tía (Jatropha gossypiifolia L.)</t>
  </si>
  <si>
    <t>Hoàng Linh Chi; Nguyễn Phương Nam; Võ Hoàng Kim Phụng; Quang Mỹ Hoa</t>
  </si>
  <si>
    <t>KHYD2026-016.png</t>
  </si>
  <si>
    <t>KHYD2026-017</t>
  </si>
  <si>
    <t>Nghiên cứu bào chế viên nén diclofenac natri phóng thích kéo dài 75 mg sử dụng tá dược tinh bột gạo ST25 biến tính</t>
  </si>
  <si>
    <t>Kiều Phương Khánh; Nguyễn Ái Linh Đan</t>
  </si>
  <si>
    <t>KHYD2026-017.png</t>
  </si>
  <si>
    <t>KHYD2026-018</t>
  </si>
  <si>
    <t>Nghiên cứu hồ sơ hóa học của cây Bứa (Garcinia oblongifolia Champ. ex Benth.) bằng phương pháp sắc ký lỏng siêu hiệu năng ghép khối phổ độ phân giải cao UHPLC-HPMS/MS và đánh giá hoạt tính chống oxy hóa DPPH và chỉ số chống nắng SPF in vitro</t>
  </si>
  <si>
    <t>Lê Ngọc Phương; Nguyễn Ngọc Huyền; Chu Ngọc Bá Nam</t>
  </si>
  <si>
    <t>Trường Đại học Y Dược Hải Phòng</t>
  </si>
  <si>
    <t>KHYD2026-018.png</t>
  </si>
  <si>
    <t>KHYD2026-019</t>
  </si>
  <si>
    <t>Khảo sát thực vật học, thành phần hóa học và hoạt tính sinh học của lá và vỏ cây Bụp tra (Hibiscus tiliaceus L.).</t>
  </si>
  <si>
    <t>Đặng Võ Quốc Khánh; Nguyễn Thị Kim Ngân; Lương Bội Bội; Trần Thị An Minh; Cao Ngọc Thuỷ Tiên</t>
  </si>
  <si>
    <t>KHYD2026-019.png</t>
  </si>
  <si>
    <t>KHYD2026-020</t>
  </si>
  <si>
    <t>Tối ưu hóa điều kiện nuôi cấy vi khuẩn Bacillus sp. CR-L2 nhằm tăng sinh tổng hợp polyphenol và đánh giá tác dụng hỗ trợ phòng trị bệnh gout.</t>
  </si>
  <si>
    <t>Nguyễn Cao Gia Linh; Lê Hoàng Gia Mỹ; Trương Ngọc Yến; Nguyễn Ngọc Quyền Sang; Phạm Đăng Khoa</t>
  </si>
  <si>
    <t>KHYD2026-020.png</t>
  </si>
  <si>
    <t>KHYD2026-021</t>
  </si>
  <si>
    <t>Khảo sát thực vật học, thành phần hóa học và một số hoạt tính sinh học của cây Lục bình (Eichhornia crassipes (Mart.) Solms).</t>
  </si>
  <si>
    <t>Nguyễn Thị Cẩm Giang; Võ Thị Huyền Trân; Phan Thị Mỹ Linh; Nguyễn Văn An; Vũ Vân Huy</t>
  </si>
  <si>
    <t>KHYD2026-021.png</t>
  </si>
  <si>
    <t>KHYD2026-022</t>
  </si>
  <si>
    <t>Khảo sát thực trạng trúng thầu nhóm thuốc tác động lên đường hô hấp tại các bệnh viện công lập việt nam năm 2025</t>
  </si>
  <si>
    <t>Trần Phan Mai Phương; Lâm Bích Như; Ngô Thị Nhiên; Bồ Lê Quỳnh Trâm; Ngô Bảo Duy</t>
  </si>
  <si>
    <t>KHYD2026-022.png</t>
  </si>
  <si>
    <t>KHYD2026-023</t>
  </si>
  <si>
    <t>Phân tích thực trạng kê đơn và chi phí trực tiếp y tế trong điều trị ngoại trú đa bệnh đồng mắc tại Bệnh viện Đa khoa Thống Nhất tỉnh Đồng Nai năm 2025</t>
  </si>
  <si>
    <t>Nguyễn Phạm Quỳnh Chi; Lâm Bích Như; Phan Quỳnh Uyên; Nguyễn Như Thiên Hồng; Hoàng Thị Ngọc Ánh</t>
  </si>
  <si>
    <t>KHYD2026-023.png</t>
  </si>
  <si>
    <t>KHYD2026-024</t>
  </si>
  <si>
    <t>Nghiên cứu phát triển saccarose dạng tá dược dập thẳng phục vụ bào chế viên nén</t>
  </si>
  <si>
    <t>Nguyễn Lộc Đoan Nghi; Nguyễn Trọng Nghĩa; Đặng Hoàng Mỹ Uyên</t>
  </si>
  <si>
    <t>KHYD2026-024.png</t>
  </si>
  <si>
    <t>KHYD2026-025</t>
  </si>
  <si>
    <t>Đánh giá sự ưu tiên lựa chọn của cộng đồng đối với các gói khám sức khỏe tổng quát tại thành phố Hồ Chí Minh</t>
  </si>
  <si>
    <t>ĐỖ LINH NHÂN; NGUYỄN THỊ QUỲNH CHI; BÙI THANH THẢO; LÂM NHẬT QUANG; HUỲNH PHAN GIA HY</t>
  </si>
  <si>
    <t>KHYD2026-025.png</t>
  </si>
  <si>
    <t>KHYD2026-026</t>
  </si>
  <si>
    <t>Characterization and integrated biological evaluation of new indole alkaloids from the flower buds of Panax vietnamensis var. fuscidiscus</t>
  </si>
  <si>
    <t>La Bảo Ngọc; Đinh Trần Đăng Khôi; Ngô Hồng Thi; Trương Hoàng Duy</t>
  </si>
  <si>
    <t>KHYD2026-026.png</t>
  </si>
  <si>
    <t>KHYD2026-027</t>
  </si>
  <si>
    <t>Nghiên cứu điều chế hệ vi tự nhũ tiêm diclofenac natri</t>
  </si>
  <si>
    <t>Vũ Giang Hoàng Ngân; Đặng Trúc Vy; Nguyễn Đoàn Thảo Nhi; Vũ Nhật Ninh</t>
  </si>
  <si>
    <t>KHYD2026-027.png</t>
  </si>
  <si>
    <t>KHYD2026-028</t>
  </si>
  <si>
    <t>Nghiên cứu điều chế gel in situ chứa ebastin hướng xịt mũi</t>
  </si>
  <si>
    <t>Đặng Võ Uyên Phương; Nguyễn Đoàn Thảo Nhi; Lê Lương Minh Vy; Trần Gia Lạc</t>
  </si>
  <si>
    <t>KHYD2026-028.png</t>
  </si>
  <si>
    <t>KHYD2026-029</t>
  </si>
  <si>
    <t>Phân tích tình hình sử dụng thuốc chống trầm cảm và chi phí trực tiếp y tế trong điều trị rối loạn trầm cảm ở người bệnh ngoại trú tại Bệnh viện Tâm thần Thành phố Hồ Chí Minh giai đoạn 2023-2025</t>
  </si>
  <si>
    <t>Huỳnh Phan Gia Hy; Đỗ Linh Nhân; Trần Lê Ngọc Hân; Phương Bảo Trân; Võ Huỳnh Yến My</t>
  </si>
  <si>
    <t>KHYD2026-029.png</t>
  </si>
  <si>
    <t>KHYD2026-030</t>
  </si>
  <si>
    <t>Đánh giá cảnh giác dược hồi cứu về an toàn cefoperazon và cefoperazon/sulbactam ở bệnh nhân nội trú</t>
  </si>
  <si>
    <t>Lê Văn Hiếu; Nguyễn Phạm Ngân Hà; Phạm Trần Thảo Linh; Khưu Tú Khang; Nguyễn Bảo Trân</t>
  </si>
  <si>
    <t>KHYD2026-030.png</t>
  </si>
  <si>
    <t>KHYD2026-031</t>
  </si>
  <si>
    <t>Đánh giá sự hài lòng chất lượng dịch vụ dược tại Nhà thuốc Hồng Bàng năm 2026</t>
  </si>
  <si>
    <t>Nguyễn Quốc Thiên Ân; Lâm Bích Như; Nguyễn Lê Khánh Vân; Đỗ Thị Thủy Tiên</t>
  </si>
  <si>
    <t>KHYD2026-031.png</t>
  </si>
  <si>
    <t>KHYD2026-032</t>
  </si>
  <si>
    <t>Phân lập và nghiên cứu các hợp chất kháng khuẩn từ cây Lức (Pluchea pteropoda Hemsl.)</t>
  </si>
  <si>
    <t>Nguyễn Ngọc Anh Thư; Nguyễn Thị Bảo Ngọc</t>
  </si>
  <si>
    <t>Trường Đại học Y Dược Cần Thơ</t>
  </si>
  <si>
    <t>KHYD2026-032.png</t>
  </si>
  <si>
    <t>KHYD2026-033</t>
  </si>
  <si>
    <t>Nghiên cứu tác dụng chống trầm cảm của cao chiết toàn phần từ Tâm sen qua mô hình gây stress trên chuột nhắt bằng corticosteroid</t>
  </si>
  <si>
    <t>Nguyễn Trần Anh Thư; Nguyễn Trần Huỳnh Như</t>
  </si>
  <si>
    <t>KHYD2026-033.png</t>
  </si>
  <si>
    <t>KHYD2026-034</t>
  </si>
  <si>
    <t>Tác dụng cải thiện trí nhớ của cao chiết từ Tâm sen trên mô hình chuột nhắt gây stress bằng phương pháp nuôi cô lập</t>
  </si>
  <si>
    <t>Nguyễn Thị Bảo Nhi; Phạm Văn Đảm</t>
  </si>
  <si>
    <t>KHYD2026-034.png</t>
  </si>
  <si>
    <t>KHYD2026-035</t>
  </si>
  <si>
    <t>Vật liệu composite HA@UiO-66-NH2 từ Metal Organic Framework chuyển hoá kháng sinh Tetracyclin</t>
  </si>
  <si>
    <t>Phạm Thiên Bình; Nguyễn Ngọc Minh Thy; Lê Thị Bảo Ngân</t>
  </si>
  <si>
    <t>Trường Đại học Khoa học Sức khỏe, ĐHQG-HCM</t>
  </si>
  <si>
    <t>KHYD2026-035.png</t>
  </si>
  <si>
    <t>KHYD2026-036</t>
  </si>
  <si>
    <t>Phát Triển Hệ Nano Uio-66 Chức Năng Hóa Acid Hyaluronic Ứng Dụng Trong Dẫn Truyền Oxaliplatin Có Kiểm Soát Và Theo Dõi Không Cần Chất Đánh Dấu</t>
  </si>
  <si>
    <t>Nguyễn Ngọc Minh Thy; Nguyễn Đỗ Nguyên; Nguyễn Thanh Trúc</t>
  </si>
  <si>
    <t>KHYD2026-036.png</t>
  </si>
  <si>
    <t>KHYD2026-037</t>
  </si>
  <si>
    <t>Nghiên cứu sàng lọc các chất có khả năng ức chế Aldo-keto reductase 1C2</t>
  </si>
  <si>
    <t>Nguyễn Ngọc Thạch; Trần Minh Thịnh; Đinh Vũ Khánh Huyền; Huỳnh Phan Yến Nhi; Nguyễn Ngọc Phương Trâm</t>
  </si>
  <si>
    <t>KHYD2026-037.png</t>
  </si>
  <si>
    <t>KHYD2026-038</t>
  </si>
  <si>
    <t>Nghiên cứu khả năng gây kích ứng da và tác dụng chống viêm, giảm đau của chế phẩm HG-C trên thực nghiệm dùng trong điều trị viêm da cơ địa</t>
  </si>
  <si>
    <t>Lò Thị Ánh Hồng; Nguyễn Thị Hồng; Nguyễn Thị Thu Giang; Nguyễn Thị Thanh Hiền; Phạm Quốc Khánh</t>
  </si>
  <si>
    <t>KHYD2026-038.png</t>
  </si>
  <si>
    <t>KHYD2026-039</t>
  </si>
  <si>
    <t>NGHIÊN CỨU PHÁT TRIỂN SẢN PHẨM TỪ CAO CỎ VIỆT MINH ĐƯỢC KIỂM SOÁT HÀM LƯỢNG PYRROLIZIDINE ALKALOIDS ỨNG DỤNG CÔNG NGHỆ NANOCHITOSAN</t>
  </si>
  <si>
    <t>Đỗ Tấn Phước; Trần Hoài Thư Viễn; Tô Huy Hoàng; Võ Mỹ Yến</t>
  </si>
  <si>
    <t>KHYD2026-039.png</t>
  </si>
  <si>
    <t>KHYD2026-040</t>
  </si>
  <si>
    <t>Nghiên cứu chiết xuất hợp chất polyphenol từ quả Ké đầu ngựa (Xanthium strumarium L.)</t>
  </si>
  <si>
    <t>Nguyễn Hoàng An; Đàm Quế Chi; Nguyễn Thị Phương Anh; Trần Mai Trang</t>
  </si>
  <si>
    <t>Trường Đại học Dược Hà Nội</t>
  </si>
  <si>
    <t>KHYD2026-040.png</t>
  </si>
  <si>
    <t>KHYD2026-041</t>
  </si>
  <si>
    <t>Nghiên cứu đặc điểm thực vật và thành phần hóa học của cây Xấu hổ (Mimosa sp.) thu hái tại tỉnh Nghệ An</t>
  </si>
  <si>
    <t>Nguyễn Thị Hồng Trang; Đinh Thị Thu Thảo; Trần Thị Sương; Nguyễn Ánh Nguyệt</t>
  </si>
  <si>
    <t>Trường Đại học Y khoa Vinh</t>
  </si>
  <si>
    <t>KHYD2026-041.png</t>
  </si>
  <si>
    <t>KHYD2026-042</t>
  </si>
  <si>
    <t>ĐÁNH GIÁ TÁC DỤNG ĐIỀU HÒA LIPID MÁU VÀ LÀM GIẢM GLUCOSE MÁU CỦA CÁC CAO CHIẾT TỪ LÁ CÂY HƯƠNG THẢO (ROSMARINUS OFFICINALIS L.) TRÊN CHUỘT NHẮT</t>
  </si>
  <si>
    <t>Phạm Gia Huy; Nguyễn Ngọc Minh Hà; Đỗ Vy; Lê Nguyễn Ngọc Nhi</t>
  </si>
  <si>
    <t>KHYD2026-042.png</t>
  </si>
  <si>
    <t>KHYD2026-043</t>
  </si>
  <si>
    <t>Nghiên cứu bào chế hệ phân tán rắn bằng phương pháp sấy phun nhằm cải thiện độ tan của silymarin trong cao chiết Kế sữa Silybum marianum (L.) Gaertn</t>
  </si>
  <si>
    <t>NGUYỄN NGỌC PHÚC SANG; NGUYỄN THỊ NHƯ QUỲNH; PHAN HỒNG HUY</t>
  </si>
  <si>
    <t>Trường Đại học Y khoa Phạm Ngọc Thạch</t>
  </si>
  <si>
    <t>KHYD2026-043.png</t>
  </si>
  <si>
    <t>KHYD2026-044</t>
  </si>
  <si>
    <t>Cloning and expression of Clostridium perfringens epsilon – toxin gene (etx gene) in Escherichia coli</t>
  </si>
  <si>
    <t>Lê Cao Bích Tin; An Lê Như Khoa; Dương Nguyễn Bảo Ngọc</t>
  </si>
  <si>
    <t>KHYD2026-044.png</t>
  </si>
  <si>
    <t>KHYD2026-045</t>
  </si>
  <si>
    <t>Nghiên cứu chế tạo màng sợi nanofiber trên cơ sở PVA/PVP/Sulfated Galactans/CMCs định hướng ứng dụng cho băng vết thương</t>
  </si>
  <si>
    <t>Nguyễn Huỳnh Thúy Vi; Huỳnh Anh Tuấn</t>
  </si>
  <si>
    <t>KHYD2026-045.png</t>
  </si>
  <si>
    <t>KHYD2026-046</t>
  </si>
  <si>
    <t>Nghiên cứu tổng hợp vật liệu khung cơ kim Zn-gallate giải phóng hoạt chất có kiểm soát định hướng ứng dụng đa chức năng trong phục hồi tổn thương không lưu vết</t>
  </si>
  <si>
    <t>Thới Thị Thu Thảo; Phan Thụy Bích Ngọc; Ngô Quang Huy; Nguyễn Thái Phương Như</t>
  </si>
  <si>
    <t>KHYD2026-046.png</t>
  </si>
  <si>
    <t>KHYD2026-047</t>
  </si>
  <si>
    <t>Chế Tạo Mặt Nạ Chống Oxi Hóa Trên Cơ Sở PVA/PGA Mang Cao Chiết Astaxanthin Từ Nấm Men Rhodosporidium Toruloides Định Hướng Ứng Dụng Trong Mỹ Phẩm</t>
  </si>
  <si>
    <t>Đặng Lâm Cẩm Tiên; Nguyễn Đỗ Uyển Nhi</t>
  </si>
  <si>
    <t>KHYD2026-047.png</t>
  </si>
  <si>
    <t>KHYD2026-048</t>
  </si>
  <si>
    <t>XÂY DỰNG VÀ ĐÁNH GIÁ HỆ THỐNG TRỢ LÝ TRÍ TUỆ NHÂN TẠO HỖ TRỢ QUY TRÌNH KHÁM BỆNH VÀ KÊ ĐƠN THUỐC THEO Y HỌC CỔ TRUYỀN VIỆT NAM</t>
  </si>
  <si>
    <t>Tiết Thành Công; Huỳnh Gia Kỳ; Ôn Văn Khiêm</t>
  </si>
  <si>
    <t>KHYD2026-048.png</t>
  </si>
  <si>
    <t>KHYD2026-049</t>
  </si>
  <si>
    <t>AN TOÀN BỨC XẠ ĐỐI VỚI PHỤ NỮ VÀ THAI NHI TRONG CHẨN ĐOÁN X-QUANG</t>
  </si>
  <si>
    <t>Phan Diệu Hạt; Lê Thị Phương Uyên</t>
  </si>
  <si>
    <t>KHYD2026-049.png</t>
  </si>
  <si>
    <t>KHYD2026-050</t>
  </si>
  <si>
    <t>Kiến thức, thái độ và thực hành hiến máu và các yếu tố liên quan của sinh viên Điều dưỡng</t>
  </si>
  <si>
    <t>Tô Nguyễn Bích Phương; Bùi Thị Kim Quyên; Nguyễn Trường Minh Anh; Trần Ngọc Cát Tường; Trần Thị Huyền Trang</t>
  </si>
  <si>
    <t>KHYD2026-050.png</t>
  </si>
  <si>
    <t>KHYD2026-051</t>
  </si>
  <si>
    <t>TitanSeg-Net: A Lightweight Titan-Enhanced Network for Robust Fetal Ultrasound Image Segmentation</t>
  </si>
  <si>
    <t>Nguyễn Minh Sơn; Trần Quang Tiệp; Đào Duy Phát; Lê Anh Tú; Nguyễn Hà An</t>
  </si>
  <si>
    <t>KHYD2026-051.png</t>
  </si>
  <si>
    <t>KHYD2026-052</t>
  </si>
  <si>
    <t>UNet Mamba MoE: Advancing Blood Cell Image Segmentation with Hybrid State Space Models</t>
  </si>
  <si>
    <t>Nguyễn Hà An; Trần Quang Tiệp; Nguyễn Minh Sơn; Nguyễn Gia Thanh; Lê Minh Quân</t>
  </si>
  <si>
    <t>KHYD2026-052.png</t>
  </si>
  <si>
    <t>KHYD2026-053</t>
  </si>
  <si>
    <t>Thực trạng sử dụng thực phẩm chức năng và một số yếu tố liên quan của Sinh viên ngành Điều dưỡng ở một trường Đại học tại TP. Hồ Chí Minh năm 2026</t>
  </si>
  <si>
    <t>Lê Thị Hồng Nhung; Phan Thị Phương; Lê Ngọc Sang; Trần Ngọc Bảo Nguyên; Đặng Thị Châu Nghi</t>
  </si>
  <si>
    <t>KHYD2026-053.png</t>
  </si>
  <si>
    <t>KHYD2026-054</t>
  </si>
  <si>
    <t>Khảo sát mối liên quan giữa lối sống với triệu chứng gợi ý viêm loét dạ dày – tá tràng của sinh viên ở hai cơ sở tại một trường đại học ở TP. Hồ Chí Minh năm 2026</t>
  </si>
  <si>
    <t>Trần Nhã Phương; Đinh Ngọc Bảo Trân; Phạm Thị Hoài Thương; Nguyễn Tiền Vi; Sử Ánh Nguyên</t>
  </si>
  <si>
    <t>KHYD2026-054.png</t>
  </si>
  <si>
    <t>KHYD2026-055</t>
  </si>
  <si>
    <t>CRCMAMBA: THIẾT KẾ MÔ HÌNH THAM SỐ NHẸ VÀ QUÁ TRÌNH HUẤN LUYỆN ĐA GIAI ĐOẠN DỰA TRÊN HỌC ÍT MẪU CHO TÁC VỤ PHÂN LOẠI ẢNH MÔ BỆNH HỌC CĂN BỆNH UNG THƯ ĐẠI TRỰC TRÀNG</t>
  </si>
  <si>
    <t>Hà Minh Trường; Nguyễn Gia Phú</t>
  </si>
  <si>
    <t>KHYD2026-055.png</t>
  </si>
  <si>
    <t>KHYD2026-056</t>
  </si>
  <si>
    <t>Phát hiện sớm nguy cơ suy thận mạn tính bằng kỹ thuật học máy: Ứng dụng trong hỗ trợ quyết định y khoa</t>
  </si>
  <si>
    <t>Nguyễn Ngọc Thảo Nhi</t>
  </si>
  <si>
    <t>KHYD2026-056.png</t>
  </si>
  <si>
    <t>KHYD2026-057</t>
  </si>
  <si>
    <t>Đánh giá mối liên hệ giữa mức độ phơi nhiễm giao thông với chức năng hô hấp và chỉ số viêm hệ thống ở bệnh nhân COPD tại Bệnh viện Đa khoa Lãnh Binh Thăng giai đoạn 2020–2025</t>
  </si>
  <si>
    <t>Đặng Bảo Vân; Thân Trần Minh Tâm; Phạm Hồ Minh Anh</t>
  </si>
  <si>
    <t>KHYD2026-057.png</t>
  </si>
  <si>
    <t>KHYD2026-058</t>
  </si>
  <si>
    <t>Khảo sát nỗi lo sợ nha khoa của sinh viên Trường Đại học Văn Lang và các yếu tố liên quan</t>
  </si>
  <si>
    <t>Nguyễn Lê Phương Nghi; Nguyễn Thị Thuỳ Linh; Lâm Nguyễn Đoan Trang; Nguyễn Lý Bảo Trâm; Nguyễn Ngọc Thanh Tuyền</t>
  </si>
  <si>
    <t>KHYD2026-058.png</t>
  </si>
  <si>
    <t>KHYD2026-059</t>
  </si>
  <si>
    <t>Xây dựng quy trình sản xuất mẫu ngoại kiểm tế bào học cổ tử cung bằng kỹ thuật tạo mẫu gộp và phương pháp nhuộm Papanicolaou.</t>
  </si>
  <si>
    <t>Châu Kim Luân</t>
  </si>
  <si>
    <t>KHYD2026-059.png</t>
  </si>
  <si>
    <t>KHYD2026-060</t>
  </si>
  <si>
    <t>Kiến thức và thái độ về xử trí phơi nhiễm với vật sắc nhọn của sinh viên điều dưỡng Trường Đại học Khoa học Sức khỏe</t>
  </si>
  <si>
    <t>Đỗ Nguyễn Mai Trinh; Nguyễn Minh Thụy; Nguyễn Ngọc Trân; Nguyễn Đặng Kim Thủy; Nguyễn Thị Trúc</t>
  </si>
  <si>
    <t>KHYD2026-060.png</t>
  </si>
  <si>
    <t>KHYD2026-061</t>
  </si>
  <si>
    <t>Nghiên cứu dấu ấn sinh học hỗ trợ chẩn đoán ung thư biểu mô tế bào gai khoang miệng bằng phương pháp phân tích hệ phiên mã tích hợp</t>
  </si>
  <si>
    <t>Lương Công Đức; Huỳnh Hoàng Thương; Trần Yến Nhi; Nguyễn Thị Thảo Quyên; Đặng Phan Ngọc Hậu</t>
  </si>
  <si>
    <t>KHYD2026-061.png</t>
  </si>
  <si>
    <t>KHYD2026-062</t>
  </si>
  <si>
    <t>Hiệu quả giảm lo âu trên thai phụ chọc ối bằng công cụ STOP-4P: một thử nghiệm lâm sàng ngẫu nhiên có đối chứng tại Bệnh viện Hùng Vương</t>
  </si>
  <si>
    <t>Trần Quỳnh Nguyên; Thân Trọng Mai Thanh; Huỳnh Lê Đăng Khoa; Nguyễn Ngọc Bảo Nhi</t>
  </si>
  <si>
    <t>KHYD2026-062.png</t>
  </si>
  <si>
    <t>KHYD2026-063</t>
  </si>
  <si>
    <t>KHẢO SÁT TỶ LỆ TÍN HIỆU T1W/T2W TRÊN HÌNH ẢNH CỘNG HƯỞNG TỪ NÃO Ở NGƯỜI VIỆT NAM TRƯỞNG THÀNH KHÔNG CÓ TỔN THƯƠNG THẦN KINH TẠI BỆNH VIỆN ĐA KHOA LÃNH BINH THĂNG</t>
  </si>
  <si>
    <t>Nguyễn Thị Thùy Dung</t>
  </si>
  <si>
    <t>KHYD2026-063.png</t>
  </si>
  <si>
    <t>KHYD2026-064</t>
  </si>
  <si>
    <t>Nghiên cứu sự thay đổi về thông tin di truyền và biểu hiện gen ở bệnh lý Alzheimer, sử dụng dữ liệu sinh học single cell – RNA sequencing</t>
  </si>
  <si>
    <t>Trần vân An; Mạc Thu Trang; Phạm Đức Anh; Nguyễn Trang Nhung; Nguyễn Trần Phương Thảo</t>
  </si>
  <si>
    <t>KHYD2026-064.png</t>
  </si>
  <si>
    <t>KHYD2026-065</t>
  </si>
  <si>
    <t>Sàng lọc hoạt tính kháng khuẩn của một số thảo dược bằng kỹ thuật khoanh giấy khuếch tán tại Trung tâm xét nghiệm, Trường Đại học Y tế công cộng giai đoạn 2025 - 2026</t>
  </si>
  <si>
    <t>Đinh Thị Ngọc Ánh; Nguyễn Kiều Việt Hoa; Nguyễn Ngọc Anh; Bùi Trịnh Bảo Lâm; Trịnh Ngọc Kiên</t>
  </si>
  <si>
    <t>KHYD2026-065.png</t>
  </si>
  <si>
    <t>KHYD2026-066</t>
  </si>
  <si>
    <t>Sàng lọc ảo các ứng viên dicarbonyl hữu cơ thay thế formalin cho cố định mô tương thích với hóa mô miễn dịch (IHC): Quy trình in silico đa tiêu chí.</t>
  </si>
  <si>
    <t>Nguyễn Minh Gia Khang; Lý Thị Bích Hồng; Thân Trần Minh Tâm; Trương Chánh Tín</t>
  </si>
  <si>
    <t>KHYD2026-066.png</t>
  </si>
  <si>
    <t>KHYD2026-067</t>
  </si>
  <si>
    <t>Đánh giá độ chính xác của dấu kỹ thuật số ống mang chốt có chiều dài và đường kính khác nhau: Nghiên cứu in vitro</t>
  </si>
  <si>
    <t>Lê Giũ Phụng; Nguyễn Trương Nam Thuận; Phan Trần Khánh Phương; Lê Nguyễn Yến Nhi; Phạm Mạnh Hùng</t>
  </si>
  <si>
    <t>KHYD2026-067.png</t>
  </si>
  <si>
    <t>KHYD2026-068</t>
  </si>
  <si>
    <t>Xác định epitope đặc hiệu khối u và đề xuất ứng viên vaccine đa epitope cho bệnh Tân sinh tăng sinh tủy bằng tin sinh miễn dịch</t>
  </si>
  <si>
    <t>Huỳnh Gia Phúc; Lê Quốc Việt; Lê Hoàng Bảo Châu; Hình Ngọc Tường Hảo</t>
  </si>
  <si>
    <t>KHYD2026-068.png</t>
  </si>
  <si>
    <t>KHYD2026-069</t>
  </si>
  <si>
    <t>ĐỊNH DANH LOÀI BẰNG PHƯƠNG PHÁP SINH HỌC PHÂN TỬ VÀ KHẢO SÁT CÁC GEN LIÊN QUAN ĐẾN KHÁNG KHÁNG SINH Ở ENTEROCOCCUS FAECALIS</t>
  </si>
  <si>
    <t>Phạm Nguyễn Huy Hoàng; Nguyễn Như Hoàng Oanh</t>
  </si>
  <si>
    <t>KHYD2026-069.png</t>
  </si>
  <si>
    <t>KHYD2026-070</t>
  </si>
  <si>
    <t>Viêm phổi kém đáp ứng điều trị và một số yếu tố liên quan ở trẻ 2 tháng đến 5 tuổi tại Bệnh viện đa khoa vùng Tây Nguyên</t>
  </si>
  <si>
    <t>TRẦN THỊ THANH NHÀN; PHAN VĂN YÊN; NGUYỄN CÔNG TÂM; NGUYỄN KIỀU BĂNG LINH</t>
  </si>
  <si>
    <t>KHYD2026-070.png</t>
  </si>
  <si>
    <t>KHYD2026-071</t>
  </si>
  <si>
    <t>Tỉ lệ rối loạn lo âu sau đột quỵ và một số yếu tố liên quan ở bệnh nhân điều trị tại Bệnh viện Y học Cổ truyền tỉnh Đắk Lắk, năm 2024.</t>
  </si>
  <si>
    <t>Nguyễn Thị Thảo Nguyên; Lâm Ngọc Quỳnh Anh; Đỗ Thanh Cao; Nguyễn Phúc Nguyên; Nguyễn Minh Hạnh</t>
  </si>
  <si>
    <t>KHYD2026-071.png</t>
  </si>
  <si>
    <t>KHYD2026-072</t>
  </si>
  <si>
    <t>Ảnh hưởng của keo dán, kiểu trùng hợp và phương pháp chế tác lên độ bền dán của mắc cài cá nhân với chụp zirconia nguyên khối</t>
  </si>
  <si>
    <t>Trần Minh Ngọc; Hà Thị Bích Ngọc; Phạm Ngô Thế Minh</t>
  </si>
  <si>
    <t>KHYD2026-072.png</t>
  </si>
  <si>
    <t>KHYD2026-073</t>
  </si>
  <si>
    <t>Đánh giá tiêu chí sẵn sàng xuất viện ở người bệnh sau phẫu thuật u não tại Bệnh viện Hữu nghị Việt Đức năm 2026</t>
  </si>
  <si>
    <t>Nguyễn Thu Uyên; Bùi Thúy Vy; Hoàng Thị Như; Nguyễn Thị Phương Thanh; Phạm Thị Khánh Hòa</t>
  </si>
  <si>
    <t>KHYD2026-073.png</t>
  </si>
  <si>
    <t>KHYD2026-074</t>
  </si>
  <si>
    <t>Đánh giá các phương pháp làm giảm liều thấp vào não lành trong kỹ thuật xạ phẫu lập thể SRS cho ung thư di căn não đa ổ</t>
  </si>
  <si>
    <t>Lê Tuấn Anh</t>
  </si>
  <si>
    <t>KHYD2026-074.png</t>
  </si>
  <si>
    <t>KHYD2026-075</t>
  </si>
  <si>
    <t>Khảo sát mô hình sử dụng và phối hợp thuốc Y học cổ truyền, phân tích mạng lưới dược liệu và xác định các yếu tố liên quan trong điều trị viêm loét dạ dày –tá tràng ở người bệnh Helicobacter pylori âm tính</t>
  </si>
  <si>
    <t>Trần Thúy Vy</t>
  </si>
  <si>
    <t>KHYD2026-075.png</t>
  </si>
  <si>
    <t>KHYD2026-076</t>
  </si>
  <si>
    <t>Đáp ứng tức thời về nhiệt và biên độ vận động cổ chân sau bài tập Xuống Tấn Lắc Thân theo Y học cổ truyền, có hoặc không kết hợp gel làm ấm, ở tình nguyện viên có thể chất Dương hư: nghiên cứu thí điểm theo dõi bằng ATHERM theo thời gian thực</t>
  </si>
  <si>
    <t>Hoàng Văn Long; Ngô Nam Công; Lê Phan Thế Vinh; Lê Thanh Ngân; Nguyễn Lê Ngọc Ánh</t>
  </si>
  <si>
    <t>KHYD2026-076.png</t>
  </si>
  <si>
    <t>KHYD2026-077</t>
  </si>
  <si>
    <t>Đánh giá chỉ số TyG và mối liên quan với một số đặc điểm ở người bệnh đến khám tại Bệnh viện Đa khoa Phạm Ngọc Thạch giai đoạn 2025-2026.</t>
  </si>
  <si>
    <t>Huỳnh Bảo Uyên; Thái Lê Ngọc Thư</t>
  </si>
  <si>
    <t>KHYD2026-077.png</t>
  </si>
  <si>
    <t>KHYD2026-078</t>
  </si>
  <si>
    <t>Nồng độ anti-HBs và một số yếu tố liên quan ở sinh viên y khoa năm thứ nhất tại Đại học Y Dược Thành phố Hồ Chí Minh năm 2026</t>
  </si>
  <si>
    <t>Phạm Đăng Huy; Đoàn Trần Diễm Phúc; Trần Nguyễn Thùy Trang; Phan Minh Trí</t>
  </si>
  <si>
    <t>KHYD2026-078.png</t>
  </si>
  <si>
    <t>KHYD2026-079</t>
  </si>
  <si>
    <t>So sánh IMRT và VMAT trong xạ trị toàn bộ não bảo tồn hồi hải mã</t>
  </si>
  <si>
    <t>Phạm Tấn Đạt</t>
  </si>
  <si>
    <t>KHYD2026-079.png</t>
  </si>
  <si>
    <t>KHYD2026-080</t>
  </si>
  <si>
    <t>MỐI LIÊN QUAN GIỮA ĐIỀU TRỊ DỰ PHÒNG HEN TRƯỚC NHẬP VIỆN VÀ MỨC ĐỘ NẶNG CỦA CƠN HEN CẤP Ở TRẺ DƯỚI 5 TUỔI</t>
  </si>
  <si>
    <t>Nguyễn Thái Thuỷ Anh Thư; Đỗ Quốc Trung; Đỗ Ngọc Huỳnh</t>
  </si>
  <si>
    <t>KHYD2026-080.png</t>
  </si>
  <si>
    <t>KHYD2026-081</t>
  </si>
  <si>
    <t>ĐÁNH GIÁ KẾT QUẢ PHẪU THUẬT NỘI SOI ĐIỀU TRỊ VIÊM RUỘT THỪA Ở NGƯỜI CAO TUỔI TẠI BỆNH VIỆN TRUNG ƯƠNG HUẾ</t>
  </si>
  <si>
    <t>Huỳnh Hoàng Thái; Đoàn Nguyễn Ánh Thư; Nguyễn Thị Anh Thư</t>
  </si>
  <si>
    <t>KHYD2026-081.png</t>
  </si>
  <si>
    <t>KHYD2026-082</t>
  </si>
  <si>
    <t>Vai trò của nội soi đại tràng trong tiếp cận xuất huyết tiêu hóa dưới ở trẻ em</t>
  </si>
  <si>
    <t>Trần Đăng Khoa; Ôn Thủy Vân Trang; Huỳnh Ái Tâm</t>
  </si>
  <si>
    <t>KHYD2026-082.png</t>
  </si>
  <si>
    <t>KHYD2026-083</t>
  </si>
  <si>
    <t>Tiêu chảy cấp ở trẻ 6–24 tháng: Từ dự phòng đến kết quả điều trị</t>
  </si>
  <si>
    <t>Phạm Nguyễn Uyên Phương; Nguyễn Ngọc An; Lê Nguyễn Hoàng Anh; THẠCH TRẦN THỊ TƯỜNG VY</t>
  </si>
  <si>
    <t>KHYD2026-083.png</t>
  </si>
  <si>
    <t>KHYD2026-084</t>
  </si>
  <si>
    <t>Đánh giá chất lượng giấc ngủ của bệnh nhân ung thư hốc miệng tại bệnh viện Ung bướu thành phố Hồ Chí Minh trong hai năm 2024 và 2025</t>
  </si>
  <si>
    <t>Trần Bảo Khang; Phạm Võ Ngọc Ngân; Trương Nguyên Thịnh; Trương Phước Thanh Ngân; Võ Hồng Đan Thy</t>
  </si>
  <si>
    <t>KHYD2026-084.png</t>
  </si>
  <si>
    <t>KHYD2026-085</t>
  </si>
  <si>
    <t>Vai trò của tần số cộng hưởng (Fres) trong phân loại độ nặng cơn hen cấp ở trẻ em tại Bệnh viện Nhi đồng Cần Thơ</t>
  </si>
  <si>
    <t>Lê Quang Lượng</t>
  </si>
  <si>
    <t>KHYD2026-085.png</t>
  </si>
  <si>
    <t>KHYD2026-086</t>
  </si>
  <si>
    <t>Ứng dụng máng in kỹ thuật số trong đo đạc độ dày niêm mạc vùng khẩu cái cứng</t>
  </si>
  <si>
    <t>Bùi Thị Minh Châu; Dương Gia Huy; Mai Xuân Khánh Trân; Ngô Nguyễn Ý Thơ</t>
  </si>
  <si>
    <t>KHYD2026-086.png</t>
  </si>
  <si>
    <t>KHYD2026-087</t>
  </si>
  <si>
    <t>Mối liên quan giữa thực hành chăm sóc, nuôi dưỡng và sự phát triển của trẻ em từ 2 tháng đến 5 tuổi tại Bệnh viện Nhi đồng 1</t>
  </si>
  <si>
    <t>Trần Bảo Ngọc; Trần Thanh Ngọc; Hồ Trần Bảo Nhi; Nguyễn Anh Thy</t>
  </si>
  <si>
    <t>KHYD2026-087.png</t>
  </si>
  <si>
    <t>KHYD2026-088</t>
  </si>
  <si>
    <t>Đánh giá hiệu quả kháng sinh tĩnh mạch ban đầu trong điều trị viêm phổi cộng đồng ở trẻ em có tiền căn sanh non từ 2 tháng đến 24 tháng tuổi nhập viện Bệnh viện Nhi đồng 1</t>
  </si>
  <si>
    <t>Trần Bảo Ngọc; Phạm Hồng Nhung; Nguyễn Anh Thy</t>
  </si>
  <si>
    <t>KHYD2026-088.png</t>
  </si>
  <si>
    <t>KHYD2026-089</t>
  </si>
  <si>
    <t>Xây dựng nền tảng digital twin cá thể hóa cho bệnh lý kênh ion Natri tim – thần kinh sử dụng tế bào cơ tim và tế bào thần kinh biệt hóa từ tế bào gốc đa năng cảm ứng (iPSCs)</t>
  </si>
  <si>
    <t>Trần Khang Thịnh; Trương Ngọc Sang; Nguyễn Duy Khang</t>
  </si>
  <si>
    <t>KHYD2026-089.png</t>
  </si>
  <si>
    <t>KHYD2026-090</t>
  </si>
  <si>
    <t>Giải mã mối liên hệ kiểu gen - kiểu hình trong mụn trứng cá, bước đầu xây dựng mô hình học máy nhận diện biến thể di truyền chi phối viêm và sẹo, hướng tới y học cá thể hóa</t>
  </si>
  <si>
    <t>Nguyễn Thái Học; Lê Quốc Hưng; Nguyễn Thị Bảo Châu; Phạm Thế Nhân; Trần Giao My</t>
  </si>
  <si>
    <t>KHYD2026-090.png</t>
  </si>
  <si>
    <t>KHYD2026-091</t>
  </si>
  <si>
    <t>Efficacy of S-PRG Filler Paste in Preventing Dental Plaque in 6-Year-Old Children in a Primary School in Can Tho: A 6-Month Randomized Clinical Trial</t>
  </si>
  <si>
    <t>Nguyễn Điền Trúc Ly; Bùi Hoàng Minh Phước; Lê Khải Vinh; Lê Thị Cẩm Tiên; Nguyễn Ngọc Thảo Uyên</t>
  </si>
  <si>
    <t>KHYD2026-091.png</t>
  </si>
  <si>
    <t>KHYD2026-092</t>
  </si>
  <si>
    <t>HỘI CHỨNG NGƯNG THỞ TẮC NGHẼN KHI NGỦ: TỶ LỆ MẮC VÀ MỘT SỐ YẾU TỐ NGUY CƠ Ở SINH VIÊN Y KHOA TẠI CẦN THƠ</t>
  </si>
  <si>
    <t>Phạm Nhật Nam; Bùi Thị Hồng Gấm; Huỳnh Dư Minh Thư; Nguyễn Gia Nghiêm; Nguyễn Nhật Hào</t>
  </si>
  <si>
    <t>KHYD2026-092.png</t>
  </si>
  <si>
    <t>KHYD2026-093</t>
  </si>
  <si>
    <t>NGHIÊN CỨU KẾT QUẢ SỚM ĐIỀU TRỊ KHÁNG SINH DỰ PHÒNG TRONG PHẪU THUẬT CẮT TÚI MẬT NỘI SOI TẠI BỆNH VIỆN TRUNG ƯƠNG HUẾ</t>
  </si>
  <si>
    <t>Cao Thúy Vy; Nguyễn Trần Diễm Quỳnh; Nguyễn Gia Nghiêm</t>
  </si>
  <si>
    <t>KHYD2026-093.png</t>
  </si>
  <si>
    <t>KHYD2026-094</t>
  </si>
  <si>
    <t>NGHIÊN CỨU TỶ LỆ SINH NON VÀ CÁC YẾU TỐ LIÊN QUAN TẠI BỆNH VIỆN SẢN NHI KIÊN GIANG NĂM 2026</t>
  </si>
  <si>
    <t>Phạm Thị Mỹ Hạnh; Nguyễn Ngọc Hiền; Nguyễn Gia Nghiêm; Neha Agarwal</t>
  </si>
  <si>
    <t>KHYD2026-094.png</t>
  </si>
  <si>
    <t>KHYD2026-095</t>
  </si>
  <si>
    <t>Nhận xét sự phù hợp của mô hình CheXNet so với bác sĩ chẩn đoán hình ảnh</t>
  </si>
  <si>
    <t>Nguyễn Văn Hưng; Lê Thị Yến Nhi; Trần Thị Thùy Linh</t>
  </si>
  <si>
    <t>KHYD2026-095.png</t>
  </si>
  <si>
    <t>KHYD2026-096</t>
  </si>
  <si>
    <t>Nghiên cứu tỷ lệ nhiễm HPV và ứng dụng trong quản lý ung thư cổ tử cung ở phụ nữ tại Đồng Nai năm 2026.</t>
  </si>
  <si>
    <t>Nguyễn Thu Thảo; Nguyễn Thị Thanh Thủy; Phạm Thị Kim Oanh</t>
  </si>
  <si>
    <t>KHYD2026-096.png</t>
  </si>
  <si>
    <t>KHYD2026-097</t>
  </si>
  <si>
    <t>Phát triển khung phân tích biểu hiện gen tích hợp để xác định các dấu ấn phân tử liên quan đến chiếu xạ proton và photon trong tế bào ung thư vú</t>
  </si>
  <si>
    <t>Trần Võ Lâm Nhi; Nguyễn Ngọc Thảo Vân; Hồ Bình Phương; Trương Lê Khánh Vy; Đinh Quang Nhật</t>
  </si>
  <si>
    <t>KHYD2026-097.png</t>
  </si>
  <si>
    <t>KHYD2026-098</t>
  </si>
  <si>
    <t>Mối liên quan giữa các chỉ số ước tính kháng insulin (TyG, TG/HDL-C, METS-IR) và suy giảm chức năng thận sớm (eGFR) ở người trưởng thành khám sức khỏe định kỳ</t>
  </si>
  <si>
    <t>Lê Huỳnh Tuệ Nhã; Huỳnh Nguyễn Kiều My; Ngô Trúc Phương; Phan Phương Nguyên</t>
  </si>
  <si>
    <t>KHYD2026-098.png</t>
  </si>
  <si>
    <t>KHYD2026-099</t>
  </si>
  <si>
    <t>Nghiên cứu đặc điểm rối loạn lipid máu và một số yếu tố nguy cơ tim mạch trên bệnh nhân mắc hội chứng vành cấp tại Bệnh viện Đa khoa Trung ương Cần Thơ năm 2025-2026</t>
  </si>
  <si>
    <t>Lê Quang Huy; Nguyễn Thị Ngọc Phel; Trần Việt Thành; Lahtaw Gum Awn Joshua</t>
  </si>
  <si>
    <t>KHYD2026-099.png</t>
  </si>
  <si>
    <t>KHYD2026-100</t>
  </si>
  <si>
    <t>MỐI LIÊN QUAN GIỮA CÁC DẠNG THỂ CHẤT Y HỌC CỔ TRUYỀN VÀ TÌNH TRẠNG STRESS Ở SINH VIÊN NGÀNH Y TẠI HỌC VIỆN Y-DƯỢC HỌC CỔ TRUYỀN VIỆT NAM NĂM 2025</t>
  </si>
  <si>
    <t>Vũ Kim Dung; Đặng Bảo Anh; Nguyễn Đức Anh; Phạm Đăng Mạnh</t>
  </si>
  <si>
    <t>Học viện Y Dược học Cổ truyền Việt Nam</t>
  </si>
  <si>
    <t>KHYD2026-100.png</t>
  </si>
  <si>
    <t>KHYD2026-101</t>
  </si>
  <si>
    <t>NGHIÊN CỨU VÀ THIẾT KẾ TAY GIẢ SINH HỌC ĐA BẬC TỰ DO ĐIỀU KHIỂN BẰNG TÍN HIỆU ĐIỆN CƠ (EMG) ỨNG DỤNG HỌC BẮT CHƯỚC CHO NGƯỜI ĐOẠN CHI TRÊN</t>
  </si>
  <si>
    <t>Võ Nhựt Huỳnh Anh; Cao Quốc Thịnh; Thái Trung Nhân; Châu Minh Luân</t>
  </si>
  <si>
    <t>KHYD2026-101.png</t>
  </si>
  <si>
    <t>KHYD2026-102</t>
  </si>
  <si>
    <t>NGHIÊN CỨU CHẾ TẠO BĂNG CẦM MÁU DẠNG XEROGEL ĐA LỚP TỪ CHITOTAN, ZEOLITE, ALGINATE TÍCH HỢP TINH DẦU OẢI HƯƠNG ỨNG DỤNG TRONG KIỂM SOÁT XUẤT HUYẾT CẤP TÍNH</t>
  </si>
  <si>
    <t>Nguyễn Tiến Dũng; Vũ Kim Giang</t>
  </si>
  <si>
    <t>KHYD2026-102.png</t>
  </si>
  <si>
    <t>KHYD2026-103</t>
  </si>
  <si>
    <t>NGHỊCH LÝ RỦI RO VÀ VAI TRÒ TRUNG GIAN CỦA NIỀM TIN TRONG VIỆC CHẤP NHẬN ỨNG DỤNG TRÍ TUỆ NHÂN TẠO Ở NHÂN VIÊN Y TẾ: NGHIÊN CỨU MÔ HÌNH PHƯƠNG TRÌNH CẦU TRÚC PHÂN TÍCH GỘP</t>
  </si>
  <si>
    <t>Nguyễn Thanh Ngọc; Phạm Thế Lâm; Phan Thị Thanh Nhàn; Nguyễn Đỗ Đăng Tùng; Trần Thu Hà</t>
  </si>
  <si>
    <t>Trường Đại học Y Hà Nội</t>
  </si>
  <si>
    <t>KHYD2026-103.png</t>
  </si>
  <si>
    <t>KHYD2026-104</t>
  </si>
  <si>
    <t>Development and validation of the Contraceptive Counseling Readiness Inventory (CCREI) among Vietnamese medical students: a multicentes psychometric study</t>
  </si>
  <si>
    <t>Nguyễn Đình Ký; Trần Ngọc Tâm Phúc; Nguyễn Ngọc Minh Tâm; Phạm Nguyễn Khánh Huyền; Nguyễn Ngọc Minh</t>
  </si>
  <si>
    <t>KHYD2026-104.png</t>
  </si>
  <si>
    <t>KHYD2026-105</t>
  </si>
  <si>
    <t>CAN THIỆP CỦA DƯỢC SĨ TRONG SỬ DỤNG THUỐC AN TOÀN TRÊN BỆNH NHÂN LỌC MÁU (BỆNH THẬN MẠN GIAI ĐOẠN CUỐI)</t>
  </si>
  <si>
    <t>Nguyễn Lê Thương; Huỳnh Nhật Tín</t>
  </si>
  <si>
    <t>KHYD2026-105.png</t>
  </si>
  <si>
    <t>KHYD2026-106</t>
  </si>
  <si>
    <t>XÂY DỰNG DANH MỤC TƯƠNG TÁC THUỐC CẦN CHÚ Ý TRONG ĐIỀU TRỊ ĐÁI THÁO ĐƯỜNG TRÊN BỆNH NHÂN BỆNH THẬN MẠN TẠI BỆNH VIỆN NHÂN DÂN GIA ĐỊNH</t>
  </si>
  <si>
    <t>KHYD2026-106.png</t>
  </si>
  <si>
    <t>KHYD2026-107</t>
  </si>
  <si>
    <t>Global attractor for a SAIR model with diffusion</t>
  </si>
  <si>
    <t>Cung Lê Như Quỳnh; Vương Thị Tâm</t>
  </si>
  <si>
    <t>KHYD2026-107.png</t>
  </si>
  <si>
    <t>KHYD2026-108</t>
  </si>
  <si>
    <t>Năng lực về sức khoẻ điện tử, sức khoẻ tinh thần của sinh viên Trường Y - Dược Phenikaa năm 2025 và một số yếu tố liên quan</t>
  </si>
  <si>
    <t>Đỗ Bảo Hằng; Nguyễn Hải Ngân; Nguyễn Thu Thủy; Bùi Thị Quỳnh Trâm; Nguyễn Văn Đức</t>
  </si>
  <si>
    <t>KHYD2026-108.png</t>
  </si>
  <si>
    <t>KHYD2026-109</t>
  </si>
  <si>
    <t>Khảo sát nhu cầu chăm sóc khi về già của người độ tuổi trung niên</t>
  </si>
  <si>
    <t>Vũ Ngọc Thư; Nguyễn Thị Yên Mỹ; Nguyễn Hương Ly; Nguyễn Xuân Bách</t>
  </si>
  <si>
    <t>KHYD2026-109.png</t>
  </si>
  <si>
    <t>KHYD2026-110</t>
  </si>
  <si>
    <t>Kiến thức, thái độ, độ sẵn lòng và yếu tố ảnh hưởng đến sơ cứu ban đầu của sinh viên Trường Y–Dược Phenikaa năm 2025</t>
  </si>
  <si>
    <t>Mai Như Nguyệt; Dương Vũ Bảo Trâm; Đỗ Huyền Uyên; Nghiêm Minh Thu</t>
  </si>
  <si>
    <t>KHYD2026-110.png</t>
  </si>
  <si>
    <t>KHYD2026-111</t>
  </si>
  <si>
    <t>Kiến thức và thái độ về kiểm soát lây nhiễm của sinh viên Khoa Răng Hàm Mặt Trường Đại học Văn Lang</t>
  </si>
  <si>
    <t>Hồ Phước Toàn; Trần Đức Hoàng Tiến; Nguyễn Ngọc Bảo Hân; Cao Phương Hằng</t>
  </si>
  <si>
    <t>KHYD2026-111.png</t>
  </si>
  <si>
    <t>KHYD2026-112</t>
  </si>
  <si>
    <t>Thực trạng sức khoẻ thể chất của sinh viên năm thứ nhất Trường Đại học Y tế công cộng, năm học 2025-2026.</t>
  </si>
  <si>
    <t>Trần Vũ Minh Đức; Phạm Đức Tâm; Hoàng Hạnh Trang</t>
  </si>
  <si>
    <t>KHYD2026-112.png</t>
  </si>
  <si>
    <t>KHYD2026-113</t>
  </si>
  <si>
    <t>Thực trạng và các yếu tố liên quan đến tình trạng đau cổ ở cán bộ, nhân viên Trường Đại học Y tế Công cộng năm 2026</t>
  </si>
  <si>
    <t>Tạ Quỳnh Nga; Nguyễn Thu Ngân; Nguyễn Quang Bảo Anh; Nguyễn Duy Anh</t>
  </si>
  <si>
    <t>KHYD2026-113.png</t>
  </si>
  <si>
    <t>KHYD2026-114</t>
  </si>
  <si>
    <t>THỰC TRẠNG KIẾN THỨC, THÁI ĐỘ VÀ HÀNH VI TIÊM PHÒNG HPV CỦA SINH VIÊN HỌC VIỆN Y DƯỢC HỌC CỔ TRUYỀN VIỆT NAM NĂM HỌC 2024-2025</t>
  </si>
  <si>
    <t>Nguyễn Quang Dũng; Trịnh Lan Anh</t>
  </si>
  <si>
    <t>KHYD2026-114.png</t>
  </si>
  <si>
    <t>KHYD2026-115</t>
  </si>
  <si>
    <t>MỐI LIÊN QUAN GIỮA TÌNH TRẠNG BUỒN NGỦ BAN NGÀY QUÁ MỨC VÀ CHẤT LƯỢNG GIẤC NGỦ KÉM VỚI THÀNH TÍCH HỌC TẬP CỦA SINH VIÊN Y KHOA TẠI TRƯỜNG ĐẠI HỌC NAM CẦN THƠ</t>
  </si>
  <si>
    <t>Nguyễn Nhật Hào; Tô Nguyễn Quốc Khánh; Ong Ngọc Vy; Nguyễn Gia Nghiêm; Nguyễn Ngọc Hiền</t>
  </si>
  <si>
    <t>KHYD2026-115.png</t>
  </si>
  <si>
    <t>KHYD2026-116</t>
  </si>
  <si>
    <t>THỰC TRẠNG KIẾN THỨC CỦA NHÂN VIÊN Y TẾ VỀ SÀNG LỌC UNG THƯ ĐẠI TRỰC TRÀNG VÀ MỘT SỐ YẾU TỐ LIÊN QUAN TẠI BỆNH VIỆN ĐA KHOA SƠN TÂY NĂM 2026</t>
  </si>
  <si>
    <t>Hà Đức Anh; Hà Thị Minh Ngọc</t>
  </si>
  <si>
    <t>KHYD2026-116.png</t>
  </si>
  <si>
    <t>KHYD2026-117</t>
  </si>
  <si>
    <t>Mối liên quan giữa năng lực sức khỏe số và kiến thức phòng chống bệnh mạn tính ở sinh viên Trường Đại học Y khoa Vinh</t>
  </si>
  <si>
    <t>Hồ Ngọc Linh Phương; Lê Tiến Đạt; Đỗ Doãn Đạt; Nguyễn Phương Hằng; Phạm Thị Hằng</t>
  </si>
  <si>
    <t>KHYD2026-117.png</t>
  </si>
  <si>
    <t>TNMT2026-001</t>
  </si>
  <si>
    <t>Tài nguyên và Môi trường</t>
  </si>
  <si>
    <t>Nghiên cứu tổng hợp vật liệu khung cơ kim Mg-gallate từ lá trà ứng dụng hấp phụ và lưu trữ CO2 hiệu quả ở điều kiện thường.</t>
  </si>
  <si>
    <t>Ngô Quang Huy; Nguyễn Thái Phương Như; Thới Thị Thu Thảo; Phan Thụy Bích Ngọc</t>
  </si>
  <si>
    <t>TNMT2026-001.png</t>
  </si>
  <si>
    <t>TNMT2026-002</t>
  </si>
  <si>
    <t>Giải mã hành vi của người tiêu dùng trong bối cảnh bù đắp carbon: Vai trò trung gian của thái độ và vai trò điều tiết của truyền thông chính sách, văn hóa sĩ diện và nhận thức hiệu quả chi phí</t>
  </si>
  <si>
    <t>TNMT2026-002.png</t>
  </si>
  <si>
    <t>TNMT2026-003</t>
  </si>
  <si>
    <t>Thiết kế Website giáo dục biến đổi khí hậu dành cho thanh niên</t>
  </si>
  <si>
    <t>Ngô Thị Anh Thư</t>
  </si>
  <si>
    <t>TNMT2026-003.png</t>
  </si>
  <si>
    <t>TNMT2026-004</t>
  </si>
  <si>
    <t>Giải pháp huy động tài chính xanh cho hạ tầng chống ngập lụt độ thị ven biển Thành phố Hải Phòng</t>
  </si>
  <si>
    <t>Thân Đức Lương; Đồng Thị Diệu Trinh; Nguyễn Hữu Thuyên; Phan Dương Yến Nhi</t>
  </si>
  <si>
    <t>TNMT2026-004.png</t>
  </si>
  <si>
    <t>TNMT2026-005</t>
  </si>
  <si>
    <t>Phân tích sự ảnh hưởng của phát triển đô thị đến đảo nhiệt đô thị tại TP.HCM giai đoạn 1995-2025</t>
  </si>
  <si>
    <t>Lê Hoàng Gia Khánh; Nguyễn Thanh Ngọc; Huỳnh Đức Anh Khoa</t>
  </si>
  <si>
    <t>TNMT2026-005.png</t>
  </si>
  <si>
    <t>TNMT2026-006</t>
  </si>
  <si>
    <t>Ứng dụng Viễn thám và GIS lập bản đồ chỉ số không gian xanh WUGSI cho khu vực trung tâm thành phố Hồ Chí Minh</t>
  </si>
  <si>
    <t>Bùi Thị Thu Huyền; Huỳnh Thị Kim Duyên; Lê Huỳnh Phương Nhã</t>
  </si>
  <si>
    <t>TNMT2026-006.png</t>
  </si>
  <si>
    <t>TNMT2026-007</t>
  </si>
  <si>
    <t>Ước tính phát thải carbon phát sinh từ việc sử dụng năng lượng tại hộ gia đình ở vùng ven biển Thành phố Hồ Chí Minh</t>
  </si>
  <si>
    <t>Nguyễn Thị Mỹ Phụng</t>
  </si>
  <si>
    <t>TNMT2026-007.png</t>
  </si>
  <si>
    <t>TNMT2026-008</t>
  </si>
  <si>
    <t>Cơ chế chia sẻ lợi ích cho dự án tín chỉ Carbon rừng ngập mặn Cần Giờ</t>
  </si>
  <si>
    <t>Trần Ngọc Hải Lý</t>
  </si>
  <si>
    <t>TNMT2026-008.png</t>
  </si>
  <si>
    <t>TNMT2026-009</t>
  </si>
  <si>
    <t>Nghiên cứu hệ đồng nuôi cấy Chlorella sp. phân lập từ ao nuôi thủy sản và Bacillus sp. hướng đến cải thiện chất lượng nước và tạo bông sinh học</t>
  </si>
  <si>
    <t>Châu Thái Anh Hào; Cao Xuân Nam; Nguyễn Thành Tài</t>
  </si>
  <si>
    <t>TNMT2026-009.png</t>
  </si>
  <si>
    <t>TNMT2026-010</t>
  </si>
  <si>
    <t>Ứng dụng hệ thống đất ngập nước kiến tạo kết hợp than sinh học trong xử lý nước thải nuôi tôm</t>
  </si>
  <si>
    <t>Lê Thị Hồng Hạnh; Nguyễn Minh Thuận*</t>
  </si>
  <si>
    <t>Trường Đại học Nguyễn Tất Thành; *Trường Đại học Sài Gòn</t>
  </si>
  <si>
    <t>TNMT2026-010.png</t>
  </si>
  <si>
    <t>TNMT2026-011</t>
  </si>
  <si>
    <t>Đánh giá khả năng xử lý nước thải dệt nhuộm bằng than sinh học từ vỏ cà phê và vỏ sầu riêng</t>
  </si>
  <si>
    <t>Trần Lê Minh; Trần Chân</t>
  </si>
  <si>
    <t>TNMT2026-011.png</t>
  </si>
  <si>
    <t>TNMT2026-012</t>
  </si>
  <si>
    <t>Đánh giá hiệu quả xử lý nước thải và tiềm năng ứng dụng sinh khối vi tảo Chlorella vulgaris trong sản xuất chất kích thích sinh học cho cây trồng</t>
  </si>
  <si>
    <t>Lê Minh Sơn; Lê Nguyễn Khánh Phát; Huỳnh Nhựt Anh</t>
  </si>
  <si>
    <t>TNMT2026-012.png</t>
  </si>
  <si>
    <t>TNMT2026-013</t>
  </si>
  <si>
    <t>Fabrication Of Biodegradable Nano/Microfiber Membranes Via Electrospinning For Oil-Water Treatment Applications</t>
  </si>
  <si>
    <t>Huỳnh Nguyễn Duy Bảo; Võ Phi Vũ</t>
  </si>
  <si>
    <t>TNMT2026-013.png</t>
  </si>
  <si>
    <t>TNMT2026-014</t>
  </si>
  <si>
    <t>Nghiên cứu phát triển bộ kit cảm biến huỳnh quang độ nhạy cao dựa trên vật liệu khung cơ kim Zn-TPDCA phát hiện dư lượng thuốc bảo vệ thực vật</t>
  </si>
  <si>
    <t>Võ Quang Tú; Trịnh Ngọc Quỳnh Anh; Vương Quang Huy; Nguyễn Hoàng Yến Nhi; Lê Hoàng Thuận Trị</t>
  </si>
  <si>
    <t>TNMT2026-014.png</t>
  </si>
  <si>
    <t>TNMT2026-015</t>
  </si>
  <si>
    <t>Nghiên cứu xử lý dư lượng kháng sinh Ciprofloxacin trong nước bằng vật liệu quang xúc tác ZnCo₂O₄/Fe₂O₃ dưới ánh sáng khả kiến</t>
  </si>
  <si>
    <t>Lê Kim Ngân; Nguyễn Hoàng Bảo Kha</t>
  </si>
  <si>
    <t>TNMT2026-015.png</t>
  </si>
  <si>
    <t>TNMT2026-016</t>
  </si>
  <si>
    <t>Mô hình "Ecoloop Water Hub" Giải pháp tái sử dụng nước</t>
  </si>
  <si>
    <t>Nguyễn Anh Kiệt</t>
  </si>
  <si>
    <t>TNMT2026-016.png</t>
  </si>
  <si>
    <t>TNMT2026-017</t>
  </si>
  <si>
    <t>Nghiên cứu thu hồi và tái sử dụng vỏ nhãn làm nguyên liệu sản xuất hương góp phần bảo vệ môi trường bền vững</t>
  </si>
  <si>
    <t>Nguyễn Thị Cẩm Tiên; Trần Hoàng Yến; Nguyễn Thị Hải Yến; Nguyễn Trần Thanh Thơ</t>
  </si>
  <si>
    <t>TNMT2026-017.png</t>
  </si>
  <si>
    <t>TNMT2026-018</t>
  </si>
  <si>
    <t>Đánh giá các yếu tố tác động đến hiệu suất môi trường của quy trình sản xuất xi măng Póoc Lăng tại Việt Nam</t>
  </si>
  <si>
    <t>Nguyễn Thị Cẩm Tiên; Trần Hoàng Yến; Nguyễn Thị Hải Yến; Nguyễn Trần Thanh Thơ; Lê Văn Dĩ</t>
  </si>
  <si>
    <t>TNMT2026-018.png</t>
  </si>
  <si>
    <t>TNMT2026-019</t>
  </si>
  <si>
    <t>Đánh giá khả năng loại bỏ N, P trong nước kênh của mô hình FTW kết hợp vật liệu than củi và vỏ hàu thải bỏ</t>
  </si>
  <si>
    <t>Lê Thị Kim Ngân; Vũ Đức Anh; Nguyễn Thị Huyền Thương; Nguyễn Quỳnh Hương</t>
  </si>
  <si>
    <t>TNMT2026-019.png</t>
  </si>
  <si>
    <t>TNMT2026-020</t>
  </si>
  <si>
    <t>Đánh giá hiện trạng phát sinh vi nhựa từ các nguồn nước thải khác nhau trên địa bàn Thành phố Hồ Chí Minh</t>
  </si>
  <si>
    <t>Phạm Phước An; Nguyễn Xương Gia Hân; Vũ Phan Kim Ngân</t>
  </si>
  <si>
    <t>TNMT2026-020.png</t>
  </si>
  <si>
    <t>TNMT2026-021</t>
  </si>
  <si>
    <t>Viên nang micro-chitosan từ phụ phẩm vỏ tôm để lưu giữ tinh dầu xả đuổi côn trùng hướng đến phát triển bền vững</t>
  </si>
  <si>
    <t>Võ Ngọc Bảo Trâm; Nguyễn Thị Thủy Tiên; Nguyễn Thanh My</t>
  </si>
  <si>
    <t>TNMT2026-021.png</t>
  </si>
  <si>
    <t>TNMT2026-022</t>
  </si>
  <si>
    <t>Ứng dụng Spirulina platensis từ nước thải đến vật liệu: chuỗi xử lý - thu hồi - tái sử dụng sinh khối tảo hướng đến mô hình kinh tế tuần hoàn</t>
  </si>
  <si>
    <t>Trần Huy Nhơn</t>
  </si>
  <si>
    <t>TNMT2026-022.png</t>
  </si>
  <si>
    <t>TNMT2026-023</t>
  </si>
  <si>
    <t>Nghiên cứu chế tạo vật liệu hấp thụ dầu từ đầu lọc thuốc lá đã qua sử dụng</t>
  </si>
  <si>
    <t>Nguyễn Vũ Anh Tuấn; Cái Kim Trúc; Trần Công Lợi</t>
  </si>
  <si>
    <t>TNMT2026-023.png</t>
  </si>
  <si>
    <t>TNMT2026-024</t>
  </si>
  <si>
    <t>Sự phân bố nồng độ các hợp chất Per- và Polyfluoroalkyl (PFAS) theo kích thước bụi giai đoạn mùa khô tại một vị trí ở Thành phố Hồ Chí Minh</t>
  </si>
  <si>
    <t>Hồng Nguyễn Vân Khanh</t>
  </si>
  <si>
    <t>TNMT2026-024.png</t>
  </si>
  <si>
    <t>TNMT2026-025</t>
  </si>
  <si>
    <t>Xây dựng ứng dụng di động hỗ trợ du lịch sinh thái gắn liền với bảo tồn thiên nhiên: Trường hợp điển cứu tại Vườn Quốc gia Bù Gia Mập.</t>
  </si>
  <si>
    <t>Nguyễn Duy Tân; Trần Khánh Linh; Đào Mỹ Ngọc</t>
  </si>
  <si>
    <t>TNMT2026-025.png</t>
  </si>
  <si>
    <t>TNMT2026-026</t>
  </si>
  <si>
    <t>NGHIÊN CỨU QUÁ TRÌNH PHÂN HỦY AURAMINE O TRONG NƯỚC DƯỚI ĐIỀU KIỆN ÊM DỊU SỬ DỤNG QUANG XÚC TÁC Zn, Mn/GRAPHITIC-CARBON NITRIDE</t>
  </si>
  <si>
    <t>Lê Bảo Duy; Hoàng Cao Nguyên; Diệp Thế Bảo; Huỳnh Anh Khoa; Nguyễn Minh Thiện</t>
  </si>
  <si>
    <t>TNMT2026-026.png</t>
  </si>
  <si>
    <t>TNMT2026-027</t>
  </si>
  <si>
    <t>TỔNG HỢP VÀ ỨNG DỤNG VẬT LIỆU AEROGEL KỴ NƯỚC CÓ NGUỒN GỐC SINH HỌC ỨNG DỤNG HẤP PHỤ DẦU DIESEL</t>
  </si>
  <si>
    <t>Nguyễn Thị Minh Tâm; Đặng Lê Thiên Kim; Lê Việt Đức; Hoàng Anh Tú; Nguyễn Tấn Thành</t>
  </si>
  <si>
    <t>TNMT2026-027.png</t>
  </si>
  <si>
    <t>TNMT2026-028</t>
  </si>
  <si>
    <t>PHÁT TRIỂN VẬT LIỆU COMPOSITE CoxOy-CeO2-SiO2 HƯỚNG ĐẾN CÔNG NGHỆ XÚC TÁC QUANG BỀN VỮNG TRONG XỬ LÝ Ô NHIỄM NƯỚC CHỨA THUỐC NHUỘM</t>
  </si>
  <si>
    <t>Lâm Trọng Thành; Cao Anh Quân</t>
  </si>
  <si>
    <t>TNMT2026-028.png</t>
  </si>
  <si>
    <t>TNMT2026-029</t>
  </si>
  <si>
    <t>NGHIÊN CỨU CÔNG NGHỆ HẤP PHỤ CHẤT MÀU HỮU CƠ TRONG NƯỚC BẰNG VẬT LIỆU COMPOSITE ZEOLITE-CELLULOSE VI KHUẨN</t>
  </si>
  <si>
    <t>Lê Trần Quang Tuấn; Nguyễn Đức Tiến; Huỳnh Tấn Khải; Lê Bảo Duy; Nguyễn Trương Gia Trúc</t>
  </si>
  <si>
    <t>TNMT2026-029.png</t>
  </si>
  <si>
    <t>TNMT2026-030</t>
  </si>
  <si>
    <t>Xây Dựng Mô Hình Thủy Động Lực Để Đánh Giá Các Phương Án Khai Thác Cho Khối A, Mỏ X, Lô Y, Bồn Trũng Nam Côn Sơn</t>
  </si>
  <si>
    <t>Phan Thị Phương Thảo</t>
  </si>
  <si>
    <t>TNMT2026-030.png</t>
  </si>
  <si>
    <t>TNMT2026-031</t>
  </si>
  <si>
    <t>Phân Loại Các Tham Số Vật Lý Đá Chứa, Xác Định Đặc Tính Tầng Chứa Từ Tài Liệu Địa Vật Lý Giếng Khoan Và Machine Learning Tại Mỏ Gấu Trắng, Lô 09-1, Bồn Trũng Cửu Long</t>
  </si>
  <si>
    <t>Nguyễn Trần Trọng</t>
  </si>
  <si>
    <t>TNMT2026-031.png</t>
  </si>
  <si>
    <t>TNMT2026-032</t>
  </si>
  <si>
    <t>Đánh giá trữ lượng dầu tại chỗ ban đầu cấu tạo X, bể Cửu Long bằng phương pháp thể tích</t>
  </si>
  <si>
    <t>Nguyễn Đào Thảo Quyên; Nguyễn Lê Thảo Tiên; Huỳnh Tiến Thanh; Nguyễn Phan Thành Đạt*</t>
  </si>
  <si>
    <t>Trường Đại học Khoa học Tự nhiên, ĐHQG-HCM; *Trường Đại học Bách Khoa, ĐHQG-HCM</t>
  </si>
  <si>
    <t>TNMT2026-032.png</t>
  </si>
  <si>
    <t>TNMT2026-033</t>
  </si>
  <si>
    <t>ĐÁNH GIÁ TẦNG CHỨA TRÊN CƠ SỞ MINH GIẢI TÀI LIỆU THỬ VỈA GIẾNG KHOAN X MỎ Y, BỒN TRŨNG CỬU LONG</t>
  </si>
  <si>
    <t>Vũ Dương Thùy Linh; Lê Anh Thư; Kha Trần Khả Hân; Lê Anh Quốc</t>
  </si>
  <si>
    <t>TNMT2026-033.png</t>
  </si>
  <si>
    <t>TNMT2026-034</t>
  </si>
  <si>
    <t>Ứng dụng GIS và viễn thám trong giám sát biến động lớp phủ bề mặt và nhận diện điểm nóng đô thị tại Đà Lạt (2015 - 2025).</t>
  </si>
  <si>
    <t>Trần Ngọc Cát Tường; Đặng Thị Thùy Trang; Lê Tiến Phát</t>
  </si>
  <si>
    <t>TNMT2026-034.png</t>
  </si>
  <si>
    <t>TNMT2026-035</t>
  </si>
  <si>
    <t>Ứng dụng ảnh vệ tinh Landsat theo dõi biến động đường bờ tại thành phố Đà Nẵng giai đoạn 1990 – 2025</t>
  </si>
  <si>
    <t>Lê Nguyễn Ngọc Hiệp</t>
  </si>
  <si>
    <t>TNMT2026-035.png</t>
  </si>
  <si>
    <t>TNMT2026-036</t>
  </si>
  <si>
    <t>Xây dựng hệ thống hỗ trợ nhận diện khoáng vật và đá thực địa ứng dụng trí tuệ nhân tạo kết hợp đặc điểm vật lý – Thử nghiệm trên bộ mẫu địa chất Việt Nam</t>
  </si>
  <si>
    <t>Cao Tấn Long; Mai Ngọc Tuấn; Huê Tuấn Khanh; Nguyễn Hữu Bảo Phúc</t>
  </si>
  <si>
    <t>TNMT2026-036.png</t>
  </si>
  <si>
    <t>TNMT2026-037</t>
  </si>
  <si>
    <t>Xây dựng mô hình hồi quy Bayesian dự báo GRDP nông nghiệp từ biến động đất nông nghiệp và thủy sản tại Tp. Cần Thơ.</t>
  </si>
  <si>
    <t>Huỳnh Thị Ngọc Cẩm; Nguyễn Hoàng Khuê</t>
  </si>
  <si>
    <t>TNMT2026-037.png</t>
  </si>
  <si>
    <t>TNMT2026-038</t>
  </si>
  <si>
    <t>ỨNG DỤNG THUẬT TOÁN HỌC MÁY SELF-ORGANIZING MAP ĐỂ PHÂN CỤM THẠCH HỌC TRONG NGÀNH KỸ THUẬT ĐỊA CHẤT VÀ DẦU KHÍ</t>
  </si>
  <si>
    <t>Trần Viết Việt Anh; Nguyễn Văn Thiệt; Trần Hữu Thành</t>
  </si>
  <si>
    <t>TNMT2026-038.png</t>
  </si>
  <si>
    <t>TNMT2026-039</t>
  </si>
  <si>
    <t>Ứng dụng công nghệ viễn thám kết hợp thuật toán học máy nhằm ước tính nồng độ bụi mịn PM2.5. Thí điểm nghiên cứu tại thành phố Hà Nội giai đoạn 2015 – 2025.</t>
  </si>
  <si>
    <t>Nguyễn Đại Long; Lường Thị Kim Cúc; Hoàng Thị Thu Hà</t>
  </si>
  <si>
    <t>TNMT2026-039.png</t>
  </si>
  <si>
    <t>TNMT2026-040</t>
  </si>
  <si>
    <t>CHẾ TẠO XÚC TÁC DẠNG VIÊN HYDROGEL TỪ PHẾ PHẨM NÔNG-NGƯ NGHIỆP ĐỂ XỬ LÝ CHẤT Ô NHIỄM VÀ DIỆT KHUẨN</t>
  </si>
  <si>
    <t>Trần Kiến Khôi; Huỳnh Giang Trường Nguyên; Lê Ngọc Thuý Tiên</t>
  </si>
  <si>
    <t>TNMT2026-040.png</t>
  </si>
  <si>
    <t>TNMT2026-041</t>
  </si>
  <si>
    <t>Đánh giá khả năng thu hồi dầu tràn dùng năng lượng mặt trời với nhựa PET</t>
  </si>
  <si>
    <t>Tạ Quỳnh Mai; Hoàng Minh Hồng; Bùi Hiểu Phi</t>
  </si>
  <si>
    <t>TNMT2026-041.png</t>
  </si>
  <si>
    <t>TNMT2026-042</t>
  </si>
  <si>
    <t>Nghiên cứu đánh giá khả năng bay hơi nước dùng năng lượng gió của xơ mướp</t>
  </si>
  <si>
    <t>Trần Thu Thủy; Lê Thị Hậu; Hoàng Thùy Trang</t>
  </si>
  <si>
    <t>TNMT2026-042.png</t>
  </si>
  <si>
    <t>TNMT2026-043</t>
  </si>
  <si>
    <t>Nghiên cứu ứng dụng bê tông quang xúc tác trong việc xử lí khí độc đô thị ở Thành phố Hồ Chí Minh và Thủ đô Hà Nội.</t>
  </si>
  <si>
    <t>Lê Hoàng Dịu Thi; Đặng Nguyễn Trúc Ly; Nguyễn Thiên Phúc; Lê Thị Minh Thư; Nguyễn Thái Bình Yên</t>
  </si>
  <si>
    <t>TNMT2026-043.png</t>
  </si>
  <si>
    <t>TNMT2026-044</t>
  </si>
  <si>
    <t>Mối tương quan giữa điều kiện sinh thái môi trường và sự tích lũy Quercetin, Kaempferol trong cây Tra lâm vồ (Thespesia populnea) tại rừng ngập mặn Cần Giờ.</t>
  </si>
  <si>
    <t>Huỳnh Lê Bảo Ngọc; Lê Võ Phương Nghi; Huỳnh Lê Mỹ Ngọc; Tuy Trang Thy; Phan Quốc Đạt</t>
  </si>
  <si>
    <t>TNMT2026-044.png</t>
  </si>
  <si>
    <t>TNMT2026-045</t>
  </si>
  <si>
    <t>Nghiên cứu ứng dụng công nghệ rung siêu âm trong sản xuất tấm ván nhựa tái chế hướng tới ứng dụng trong lĩnh vực Logistics và Xây dựng xanh</t>
  </si>
  <si>
    <t>Lâm Ngọc Châu</t>
  </si>
  <si>
    <t>TNMT2026-045.png</t>
  </si>
  <si>
    <t>TNMT2026-046</t>
  </si>
  <si>
    <t>Nghiên cứu điều chế vật liệu từ cây Lục Bình để xử lý Methylene Blue trong nước thải dệt nhuộm (Eichhornia crassipes)</t>
  </si>
  <si>
    <t>Nguyễn Xuân Trung; Lê Phạm Thái Bảo; Nguyễn Thị Lệ Quyên; Cao Đặng Mai Thảo</t>
  </si>
  <si>
    <t>TNMT2026-046.png</t>
  </si>
  <si>
    <t>TNMT2026-047</t>
  </si>
  <si>
    <t>NGHIÊN CỨU XỬ LÝ KHÁNG SINH METRONIDAZOLE TRONG NƯỚC BẰNG QUÁ TRÌNH XÚC TÁC HOẠT HÓA PEROXYMONOSULFATE (PMS) SỬ DỤNG VẬT LIỆU THAN SINH HỌC VỎ CÀ PHÊ BIẾN TÍNH KẾT HỢP CO VÀ N</t>
  </si>
  <si>
    <t>Lâm Đức Trí; Lê Thị Ánh Hồng</t>
  </si>
  <si>
    <t>TNMT2026-047.png</t>
  </si>
  <si>
    <t>TNMT2026-048</t>
  </si>
  <si>
    <t>NGHIÊN CỨU VÀ PHÁT TRIỂN HỆ THỐNG ỨNG DỤNG IoT VÀ LSTM TRONG GIÁM SÁT, DỰ BÁO VÀ ĐIỀU KHIỂN MÔI TRƯỜNG TRONG NHÀ</t>
  </si>
  <si>
    <t>Đặng Tuấn Khoa; Vũ Hoàng Bảo; Thái Quốc Vinh; Nguyễn Phước Nam; Phạm Quốc Hưng</t>
  </si>
  <si>
    <t>TNMT2026-048.png</t>
  </si>
  <si>
    <t>TNMT2026-049</t>
  </si>
  <si>
    <t>Kiểm kê khí nhà kính phát sinh từ nước thải và chất thải rắn tại thư viện trường Đại học Nguyễn Tất Thành</t>
  </si>
  <si>
    <t>Nguyễn Thị Cẩm Tiên; Trần Thị Hiểu Nghi</t>
  </si>
  <si>
    <t>TNMT2026-049.png</t>
  </si>
  <si>
    <t>TNMT2026-050</t>
  </si>
  <si>
    <t>Nghiên cứu chế tạo xúc tác dị thể ferrite từ bùn đỏ định hướng ứng dụng xử lí nước ô nhiễm</t>
  </si>
  <si>
    <t>Nguyễn Phúc Kha; Trịnh Huỳnh Tấn Đạt; Trần Thị Phương Nhi</t>
  </si>
  <si>
    <t>TNMT2026-050.png</t>
  </si>
  <si>
    <t>TNMT2026-051</t>
  </si>
  <si>
    <t>Nghiên cứu chế tạo vật liệu ZIF@aerogel từ phế phẩm nông nghiệp định hướng ứng dụng xử lý nước nhiễm dầu</t>
  </si>
  <si>
    <t>Lê Quỳnh Như; Võ Thanh Ngân; Phạm Đăng Phúc</t>
  </si>
  <si>
    <t>TNMT2026-051.png</t>
  </si>
  <si>
    <t>TNMT2026-052</t>
  </si>
  <si>
    <t>Tổng hợp vật liệu N-TiO2@Aerogel định hướng ứng dụng xử lý nước thải ô nhiễm chất mang màu từ phế phẩm xơ dừa và cây bèo tây</t>
  </si>
  <si>
    <t>Trần Lê Minh Khuê; Hoàng Ngọc Bình Minh; Đoàn Ngọc Lệ Quân</t>
  </si>
  <si>
    <t>TNMT2026-052.png</t>
  </si>
  <si>
    <t>TNMT2026-053</t>
  </si>
  <si>
    <t>Hoàn thiện pháp luật về bảo đảm thực thi trách nhiệm bồi thường thiệt hại do hành vi gây ô nhiễm mỗi trường tại Thành phố Hồ Chí Minh</t>
  </si>
  <si>
    <t>Âu Hoàng Huy; Ngô Thị Minh Anh; Nguyễn Ngọc Huyền</t>
  </si>
  <si>
    <t>TNMT2026-053.png</t>
  </si>
  <si>
    <t>TNMT2026-054</t>
  </si>
  <si>
    <t>Xây dựng hệ thống hỗ trợ quyết định không gian quản lý rác thải nhựa nông nghiệp gắn với sử dụng đất trên nền tảng nông nghiệp số: tích hợp PWI, GIS-AHP và Webgis tại Tây Ninh</t>
  </si>
  <si>
    <t>Nguyễn Hoài Nam; Nguyễn Thị Như Quỳnh; Trần Thị Anh Thư; Nguyễn Đào Yến Nhi; Lê Thị Hồng Vân</t>
  </si>
  <si>
    <t>TNMT2026-054.png</t>
  </si>
  <si>
    <t>TNMT2026-055</t>
  </si>
  <si>
    <t>Phân tích rào cản áp dụng mô hình quản lý rác thải phát sinh từ thương mại điện tử thông qua hệ thống thu gom thông minh tại các khuôn viên trường đại học ở TP.HCM bằng phương pháp Fuzzy DEMATEL</t>
  </si>
  <si>
    <t>Nguyễn Lê Linh Đan; Châu Khánh Huy; Phan Thị Hồng Diễm; Nguyễn Xuân Viên; Nguyễn Phạm Minh Ngân</t>
  </si>
  <si>
    <t>TNMT2026-055.png</t>
  </si>
  <si>
    <t>TNMT2026-056</t>
  </si>
  <si>
    <t>TÁC ĐỘNG CỦA QUẢN TRỊ NGUỒN NHÂN LỰC XANH ĐẾN HIỆU SUẤT BỀN VỮNG TẠI CÁC DOANH NGHIỆP LOGISTICS VIỆT NAM: VAI TRÒ TRUNG GIAN CỦA VĂN HÓA XANH VÀ ĐỔI MỚI XANH TRONG BỐI CẢNH CÔNG NGHỆ MỚI</t>
  </si>
  <si>
    <t>Tăng Bích Hoa; Nguyễn Lê Ái Vy</t>
  </si>
  <si>
    <t>TNMT2026-056.png</t>
  </si>
  <si>
    <t>TNMT2026-057</t>
  </si>
  <si>
    <t>Nghiên cứu ô nhiễm vi nhựa trong một số loại gia vị phổ biến ở Việt Nam và đánh giá rủi ro đến sức khỏe người tiêu dùng.</t>
  </si>
  <si>
    <t>Lê Nguyễn Hồng Hoa; Nguyễn Nguyên Phương; Trần Huỳnh Thảo Phương; Nguyễn Ngọc Ly Na; Lê Trần Thiên Phương</t>
  </si>
  <si>
    <t>TNMT2026-057.png</t>
  </si>
  <si>
    <t>TNMT2026-058</t>
  </si>
  <si>
    <t>Nghiên cứu ứng dụng thực vật bản địa vào không gian công cộng ven mặt nước tại công viên Sáng tạo (Thủ Thiêm, TP.HCM) hướng đến phát triển cảnh quan bền vững</t>
  </si>
  <si>
    <t>Đỗ Hoàng Phúc Vinh; Lê Ngô Khánh Vy</t>
  </si>
  <si>
    <t>TNMT2026-058.png</t>
  </si>
  <si>
    <t>TNMT2026-059</t>
  </si>
  <si>
    <t>Đánh giá hành vi sử dụng thuốc bảo vệ thực vật trong canh tác thanh long tại xã Tầm Vu, tỉnh Tây Ninh</t>
  </si>
  <si>
    <t>Trương Gia Bảo</t>
  </si>
  <si>
    <t>TNMT2026-059.png</t>
  </si>
  <si>
    <t>TNMT2026-060</t>
  </si>
  <si>
    <t>Đánh giá hiệu quả sử dụng đất nông nghiệp tại Xã Đông Thành, Tỉnh Tây Ninh</t>
  </si>
  <si>
    <t>Nguyễn Minh Thuận</t>
  </si>
  <si>
    <t>TNMT2026-060.png</t>
  </si>
  <si>
    <t>TNMT2026-061</t>
  </si>
  <si>
    <t>THIẾT KẾ HỆ THỐNG HỖ TRỢ RA QUYẾT ĐỊNH CHAMP MẠNH CHAT THÍCH ỨNG VỚI XÂM NHẬP MẶN TRONG SẢN XUẤT LÚA TẠI ĐỒNG BẰNG SÔNG CỬU LONG</t>
  </si>
  <si>
    <t>Chung Nguyễn Đạt; Nguyễn Ánh Linh; Phạm Nguyễn Kim Uyên; Phan Khắc Anh Tuấn; Trần Tiến Đạt</t>
  </si>
  <si>
    <t>TNMT2026-061.png</t>
  </si>
  <si>
    <t>TNMT2026-062</t>
  </si>
  <si>
    <t>NGHIÊN CỨU ỨNG DỤNG THUẬT TOÁN AI VÀO KIỂM KÊ KHÍ THẢI - ÁP DỤNG TẠI CẢNG BIỂN</t>
  </si>
  <si>
    <t>Đoàn Lê Nam Khánh; Lê Công Doanh; Nguyễn Thị Hằng</t>
  </si>
  <si>
    <t>TNMT2026-062.png</t>
  </si>
  <si>
    <t>TNMT2026-063</t>
  </si>
  <si>
    <t>Đánh giá hiện trạng sử dụng các giải pháp sinh học góp phần bảo vệ môi trường trong sản xuất chè tại xã Tân Cương, tỉnh Thái Nguyên.</t>
  </si>
  <si>
    <t>Đặng Thị Ánh Lan; Ma Thị Duyên; Dương Thị Thu Huyền</t>
  </si>
  <si>
    <t>TNMT2026-063.png</t>
  </si>
  <si>
    <t>TNMT2026-064</t>
  </si>
  <si>
    <t>Tích hợp dữ liệu viễn thám đa nguồn trong giám sát sức khỏe môi trường tại Khu Dự trữ Sinh quyển Cần Giờ</t>
  </si>
  <si>
    <t>Dương Quốc Thịnh; Huỳnh Ngọc Thanh*</t>
  </si>
  <si>
    <t>Trường Đại học Tài nguyên và Môi trường TP. Hồ Chí Minh; *Trường Đại học Khoa học Tự nhiên, ĐHQG-HCM</t>
  </si>
  <si>
    <t>TNMT2026-064.png</t>
  </si>
  <si>
    <t>TNMT2026-065</t>
  </si>
  <si>
    <t>GreenFill 3D - Tái Sinh Nhựa, kiến tạo tương lai bằng tái chế nhựa phế thải thành sợi in 3D thân thiện môi trường hướng đến phát triển bền vững trong bối cảnh 4.0</t>
  </si>
  <si>
    <t>Bạch Mỹ Dung; Võ Thị Bích Thuận; Phạm Thúy Bảo Trân; Đoàn Ngọc Kiều My; Ngô Như Ngọc</t>
  </si>
  <si>
    <t>TNMT2026-065.png</t>
  </si>
  <si>
    <t>TNMT2026-066</t>
  </si>
  <si>
    <t>Nghiên cứu thực trạng và giáo dục nâng cao nhận thức của học sinh Trường Tiểu Học Đồng Bẩm trong việc hạn chế chất thải nhựa dùng 1 lần</t>
  </si>
  <si>
    <t>Ân Hoàng Thương</t>
  </si>
  <si>
    <t>TNMT2026-066.png</t>
  </si>
  <si>
    <t>TNMT2026-067</t>
  </si>
  <si>
    <t>Tổng hợp xanh các hạt nano ZnO sử dụng chiết xuất vỏ chôm chôm (Nephelium lappaceum L.) và đánh giá khả năng kháng vi sinh vật gây bệnh trên cây có múi</t>
  </si>
  <si>
    <t>Nguyễn Tấn Tiến; Phạm Thành Công</t>
  </si>
  <si>
    <t>TNMT2026-067.png</t>
  </si>
  <si>
    <t>TNMT2026-068</t>
  </si>
  <si>
    <t>Nghiên cứu vật liệu composite nhựa tái chế và cốt xơ dừa ứng dụng làm bàn ghế học tập hướng đến phát triển bền vững</t>
  </si>
  <si>
    <t>Hồ Lan Quyền</t>
  </si>
  <si>
    <t>TNMT2026-068.png</t>
  </si>
  <si>
    <t>TNMT2026-069</t>
  </si>
  <si>
    <t>Ước tính nồng độ PM2.5 sử dụng dữ liệu ảnh vệ tinh Himawari-9 kết hợp các mô hình học máy: Trường hợp nghiên cứu tại Thành phố Hồ Chí Minh</t>
  </si>
  <si>
    <t>Trầm Đặng Minh Sơn</t>
  </si>
  <si>
    <t>TNMT2026-069.png</t>
  </si>
  <si>
    <t>TNMT2026-070</t>
  </si>
  <si>
    <t>Thông điệp môi trường về ô nhiễm nguồn nước trong Anime Nhật Bản (Trường hợp hai tác phẩm: Spirited Away và Ponyo)</t>
  </si>
  <si>
    <t>Lê Thị Thiên Ngân; Ninh Nguyễn Diệu Anh; Nguyễn Minh Phương; Nguyễn Ngọc Gia Hân; Nguyễn Đại Vĩ</t>
  </si>
  <si>
    <t>TNMT2026-070.png</t>
  </si>
  <si>
    <t>TNMT2026-071</t>
  </si>
  <si>
    <t>Kiểm định sự hiện diện của vi nhựa trong cá basa và đánh giá nguy cơ phơi nhiễm đối với người tiêu dùng.</t>
  </si>
  <si>
    <t>Trần Hoàng Minh Tống; Tô Huỳnh Minh Thiện</t>
  </si>
  <si>
    <t>TNMT2026-071.png</t>
  </si>
  <si>
    <t>TNMT2026-072</t>
  </si>
  <si>
    <t>GREENWASHING VÀ SOCIAL WASHING TRONG NGÂN HÀNG THƯƠNG MẠI VIỆT NAM: BẰNG CHỨNG THỰC NGHIỆM BAN ĐẦU VỀ TÁC ĐỘNG ĐẾN HIỆU QUẢ TÀI CHÍNH</t>
  </si>
  <si>
    <t>Trần Tuấn Long; Nguyễn Việt Chính; Dương Minh Duy; Nguyễn Văn Chung; Nguyễn Thế Minh</t>
  </si>
  <si>
    <t>TNMT2026-072.png</t>
  </si>
  <si>
    <t>TNMT2026-073</t>
  </si>
  <si>
    <t>Tác động của sở hữu nhà đầu tư tổ chức đến rủi ro giả xanh trong công bố thông tin: Bằng chứng thực nghiệm từ các doanh nghiệp niêm yết Việt Nam</t>
  </si>
  <si>
    <t>Trần Hoàng Nga; Trần Khánh Ly; Nguyễn Thị Bích Huệ; Nguyễn Thuỳ Trang; Hồ Minh Châu</t>
  </si>
  <si>
    <t>TNMT2026-073.png</t>
  </si>
  <si>
    <t>TNMT2026-074</t>
  </si>
  <si>
    <t>Tác động của thương mại điện tử xuyên biên giới tới hiệu quả môi trường</t>
  </si>
  <si>
    <t>Phạm Phương Anh; Bùi Thị Vân Anh; Trần Thị Anh Thơ; Phan Lê Khanh; Phạm Huyền Diệu</t>
  </si>
  <si>
    <t>TNMT2026-074.png</t>
  </si>
  <si>
    <t>TNMT2026-075</t>
  </si>
  <si>
    <t>Digital and Green Transition Toward Net-Zero Logistics: AI- Driven Capability and Green Innovation Strategy for Resilient, Ambidextrous Supply Chains and Sustainable Performance Under Environmental Uncertainty</t>
  </si>
  <si>
    <t>Nguyễn Tiến Đạt; Nguyễn Hương Giang; Phạm Phương Thảo</t>
  </si>
  <si>
    <t>TNMT2026-075.png</t>
  </si>
  <si>
    <t>TNMT2026-076</t>
  </si>
  <si>
    <t>Từ Xe Xăng Đến Xe Xanh: Tác Động Của Hiệu Ứng Chính Sách Đến Công Bằng Môi Trường Và Phát Thải Không Khí</t>
  </si>
  <si>
    <t>Bùi Thị Quỳnh; Phạm Thị Hoài Thu; Tô Thảo Nguyên; Nguyễn Thị Minh Ngọc; Nguyễn Thị Hải Yến</t>
  </si>
  <si>
    <t>TNMT2026-076.png</t>
  </si>
  <si>
    <t>TNMT2026-077</t>
  </si>
  <si>
    <t>Hạch toán carbon tại doanh nghiệp sản xuất Việt Nam: Phân tích mức độ ưu tiên và quan hệ nhân quả của các rào cản trong triển khai kiểm kê khí nhà kính phục vụ quản lý môi trường</t>
  </si>
  <si>
    <t>Nguyễn Vũ Huy Hoàng; Hoàng Thị Anh Thư; Dư Thị Khánh Hòa; Bùi Thế Mạnh</t>
  </si>
  <si>
    <t>TNMT2026-077.png</t>
  </si>
  <si>
    <t>TNMT2026-078</t>
  </si>
  <si>
    <t>Đánh giá phơi nhiễm radon đa môi trường và rủi ro sức khỏe đối với cộng đồng dân cư quanh mỏ đá Cam Lộc, tỉnh Khánh Hòa</t>
  </si>
  <si>
    <t>Trương Đình Duy; Nguyễn Gia Vinh Hiển; Trần Gia Kiệt; Vũ Trúc Như</t>
  </si>
  <si>
    <t>TNMT2026-078.png</t>
  </si>
  <si>
    <t>TNMT2026-079</t>
  </si>
  <si>
    <t>NGHIÊN CỨU TỔNG HỢP HYDROXYAPATITE TỪ VỎ TRỨNG CÚT ĐỂ XỬ LÝ Ô NHIỄM ARSEN TRONG NƯỚC NGẦM</t>
  </si>
  <si>
    <t>Nguyễn Duy Khang; Huỳnh Ngọc Lâm; Đặng Quốc Bảo</t>
  </si>
  <si>
    <t>TNMT2026-079.png</t>
  </si>
  <si>
    <t>TNMT2026-080</t>
  </si>
  <si>
    <t>Ứng dụng trí tuệ nhân tạo (AI) trong nghiên cứu đa dạng loài chim và xây dựng chatbot AI phục vụ giáo dục đa dạng sinh học tại hệ sinh thái đất ngập nước Hồ Sông Đầm, thành phố Đà Nẵng.</t>
  </si>
  <si>
    <t>Chanthaphone Kittilat; Nguyễn Phương Quỳnh Mai; Lê Trường Bảo; Hiên Thị Nhật Ánh; Trương Hồng Anh</t>
  </si>
  <si>
    <t>Trường Đại học Quảng Nam</t>
  </si>
  <si>
    <t>TNMT2026-080.png</t>
  </si>
  <si>
    <t>TNMT2026-081</t>
  </si>
  <si>
    <t>Định lượng piperin trong cao vỏ quả tiêu bằng phương pháp quang phổ UV-Vis: xây dựng và thẩm định quy trình phân tích</t>
  </si>
  <si>
    <t>Ngô Thị Thu Hà; Nguyễn Kim Ngọc; Lương Thị Kim Anh; Đặng Nguyễn Trúc Vy; Nguyễn Văn Thuận</t>
  </si>
  <si>
    <t>TNMT2026-081.png</t>
  </si>
  <si>
    <t>TNMT2026-082</t>
  </si>
  <si>
    <t>NGHIÊN CỨU ĐẶC ĐIỂM THỰC VẬT VÀ TIỀM NĂNG HOẠT TÍNH SINH HỌC CỦA CÂY THỒM LỒM GAI (POLYGONUM PERFOLIATUM L.), HỌ POLYGONACEAE</t>
  </si>
  <si>
    <t>Huỳnh Ngọc Mỹ Duyên; Nguyễn Thị Ánh Dương; Vũ Phương Nhi</t>
  </si>
  <si>
    <t>TNMT2026-082.png</t>
  </si>
  <si>
    <t>TNMT2026-083</t>
  </si>
  <si>
    <t>Nghiên cứu tiềm năng khai thác dược liệu ngó sen (Nelumbo nucifera gaertn.) hướng đến phát triển sản phẩm cầm máu và bảo vệ dạ dày từ nguồn tài nguyên thực vật bản địa</t>
  </si>
  <si>
    <t>Trương Thịnh Minh Quang; Hồ Bội Ngân; Lê Thị Minh Hương</t>
  </si>
  <si>
    <t>TNMT2026-083.png</t>
  </si>
  <si>
    <t>TNMT2026-084</t>
  </si>
  <si>
    <t>RỦI RO ĐỊA CHÍNH TRỊ VÀ THỊ TRƯỜNG DẦU THÔ VIỆT NAM: BẰNG CHỨNG THỰC NGHIỆM TỪ CHỈ SỐ GPR</t>
  </si>
  <si>
    <t>Nguyễn Duy Khánh; Nguyễn Ngọc Linh; Lê Thị Lan Anh; Phan Thị Quỳnh Anh; Đỗ Đức Anh</t>
  </si>
  <si>
    <t>TNMT2026-084.png</t>
  </si>
  <si>
    <t>TNMT2026-085</t>
  </si>
  <si>
    <t>RỦI RO NGUỒN NƯỚC VÀ CÁC KẾT QUẢ KINH TẾ TRONG SẢN XUẤT CÀ PHÊ TẠI ĐẮK LẮK: TỪ BẰNG CHỨNG THỰC NGHIỆM ĐẾN NỀN TẢNG TƯƠNG TÁC HỖ TRỢ KHAI THÁC BẰNG CHỨNG PHỤC VỤ QUẢN LÝ</t>
  </si>
  <si>
    <t>Nguyễn Hoàng Minh Phương; Nguyễn Khánh An; Nguyễn Thị Kiều Sa</t>
  </si>
  <si>
    <t>TNMT2026-085.png</t>
  </si>
  <si>
    <t>TNMT2026-086</t>
  </si>
  <si>
    <t>EMBODIED RESOURCE RENT: TRACING NATURAL RESOURCE RENTS TO FINAL DEMAND IN GLOBAL VALUE CHAINS</t>
  </si>
  <si>
    <t>Hồ Xuân Bách; Huỳnh Hồ Lan Anh; Nguyễn Hải An</t>
  </si>
  <si>
    <t>TNMT2026-086.png</t>
  </si>
  <si>
    <t>TNMT2026-087</t>
  </si>
  <si>
    <t>ĐÁNH GIÁ TIỀN KHẢ THI CƠ CHẾ PHÂN BỔ – CHUYỂN GIAO HẠN NGẠCH NƯỚC TƯỚI DỰA TRÊN DỮ LIỆU SỐ: NGHIÊN CỨU TẠI XÃ MỸ SƠN, TỈNH KHÁNH HÒA</t>
  </si>
  <si>
    <t>Nguyễn Đình Khánh</t>
  </si>
  <si>
    <t>TNMT2026-087.png</t>
  </si>
  <si>
    <t>TNMT2026-088</t>
  </si>
  <si>
    <t>Đặc điểm địa chất, chất lượng cao lanh Lộc Châu và đặc tính kĩ thuật ứng dụng trong gốm sứ</t>
  </si>
  <si>
    <t>Nguyễn Ngọc Huy</t>
  </si>
  <si>
    <t>TNMT2026-088.png</t>
  </si>
  <si>
    <t>TNMT2026-089</t>
  </si>
  <si>
    <t>Nghiên cứu nhuộm vải bông bằng dịch chiết kết hợp từ tô mộc, nghệ vàng và hoa đậu biếc</t>
  </si>
  <si>
    <t>Huỳnh Minh Châu; Phạm Vũ Quỳnh Như</t>
  </si>
  <si>
    <t>TNMT2026-089.png</t>
  </si>
  <si>
    <t>TNMT2026-090</t>
  </si>
  <si>
    <t>Đánh giá tiềm năng phát triển du lịch sinh thái tỉnh Tây Ninh</t>
  </si>
  <si>
    <t>Võ Huỳnh Yến Thơ; Nguyễn Hữu Huy; Nguyễn Minh Uyên</t>
  </si>
  <si>
    <t>TNMT2026-090.png</t>
  </si>
  <si>
    <t>TNMT2026-091</t>
  </si>
  <si>
    <t>Đánh giá chất lượng nước dưới đất khu vực đảo Phú Quốc</t>
  </si>
  <si>
    <t>Nguyễn Ngọc Yến Vy; Phạm Thị Ngoan; Nguyễn Thị Hải Ý</t>
  </si>
  <si>
    <t>TNMT2026-091.png</t>
  </si>
  <si>
    <t>TNMT2026-092</t>
  </si>
  <si>
    <t>Thu hồi, biến tính kẽm oxit từ pin kiềm đã qua sử dụng và khảo sát khả năng quang xúc tác nước ô nhiễm</t>
  </si>
  <si>
    <t>Trần Trung Tiến; Cao Chí Cường</t>
  </si>
  <si>
    <t>TNMT2026-092.png</t>
  </si>
  <si>
    <t>TNMT2026-093</t>
  </si>
  <si>
    <t>Giải pháp cứu trợ xanh: Bộ kit hỗ trợ hộ gia đình vùng lũ từ vật liệu sinh học</t>
  </si>
  <si>
    <t>Phùng Uyển Cát Tiên; Hoàng Nhật Hoài Ân; Hàn Trúc Lam</t>
  </si>
  <si>
    <t>TNMT2026-093.png</t>
  </si>
  <si>
    <t>TNMT2026-094</t>
  </si>
  <si>
    <t>Nghiên cứu chế tạo nhựa sinh học từ phụ phẩm nông nghiệp</t>
  </si>
  <si>
    <t>Lê Thị Cẩm Tú; Trần Thị Ngọc Bích; Phan Lê Tuấn An; Nguyễn Võ Mỹ Anh; Nguyễn Lê Duy</t>
  </si>
  <si>
    <t>TNMT2026-094.png</t>
  </si>
  <si>
    <t>TNMT2026-095</t>
  </si>
  <si>
    <t>Máy tái chế phế phẩm hữu cơ 4 trong 1 tại chỗ</t>
  </si>
  <si>
    <t>Phạm Ngọc Bảo Trâm; Trịnh Quốc Nam</t>
  </si>
  <si>
    <t>TNMT2026-095.png</t>
  </si>
  <si>
    <t>TNMT2026-096</t>
  </si>
  <si>
    <t>Nghiên cứu và ứng dụng vật liệu tro trấu trong thiết kế sản phẩm trang trí thân thiện với môi trường</t>
  </si>
  <si>
    <t>Nguyễn Hoài Nhu</t>
  </si>
  <si>
    <t>TNMT2026-096.png</t>
  </si>
  <si>
    <t>TNMT2026-097</t>
  </si>
  <si>
    <t>Nghiên cứu đặc tính điện hóa của Graphene Oxit có nguồn gốc từ pin thải</t>
  </si>
  <si>
    <t>Nguyễn Thế Quyền; Nguyễn Thị Như Quỳnh; Nguyễn Phương Quỳnh; Phạm Thị Thy Khánh</t>
  </si>
  <si>
    <t>TNMT2026-097.png</t>
  </si>
  <si>
    <t>TNMT2026-098</t>
  </si>
  <si>
    <t>DYNAMIC RISK SPILLOVERS AND DEPENDENCE STRUCTURE BETWEEN GLOBAL ENERGY AND ASEAN AGRICULTURAL MARKETS: AN APPROACH BASED ON DCC-GARCH-COPULA AND TVP-VAR MODELS</t>
  </si>
  <si>
    <t>TNMT2026-098.png</t>
  </si>
  <si>
    <t>TNMT2026-099</t>
  </si>
  <si>
    <t>Tác động của biến đổi khí hậu đến lao động ngoài trời tại phường Hà Đông, thành phố Hà Nội</t>
  </si>
  <si>
    <t>Nguyễn Như Quang; Nguyễn Hạ Quyên; Hoàng Phan Duy An</t>
  </si>
  <si>
    <t>TNMT2026-099.png</t>
  </si>
  <si>
    <t>TNMT2026-100</t>
  </si>
  <si>
    <t>Xây Dựng Mô Hình Tuần Hoàn Xanh: Tái chế phế liệu vỏ khuôn gốm trong đúc kim loại thành các sản phẩm vật liệu xây dựng và trang trí</t>
  </si>
  <si>
    <t>Trương Thị Nhật Hoài; Trần Huỳnh Minh Nhựt; Nguyễn Tấn Phú; Ngô Thành Phát; Lê Thanh Nghi</t>
  </si>
  <si>
    <t>TNMT2026-100.png</t>
  </si>
  <si>
    <t>TNMT2026-101</t>
  </si>
  <si>
    <t>Nghiên cứu hành vi và nhận thức về bảo vệ nguồn nước của học sinh tiểu học và đề xuất giải pháp giáo dục. Áp dụng thử nghiệm tại Trường Tiểu học Yên Sở, xã Dương Hòa, thành phố Hà Nội</t>
  </si>
  <si>
    <t>Nguyễn Thảo Vi; Nguyễn Quang Dương; Nguyễn Thị Thanh Thảo</t>
  </si>
  <si>
    <t>TNMT2026-101.png</t>
  </si>
  <si>
    <t>TNMT2026-102</t>
  </si>
  <si>
    <t>Đánh giá về mức độ đồng thuận của người dân về chính sách giá đất tại phường Hạc Thành, tỉnh Thanh Hoá</t>
  </si>
  <si>
    <t>Đào Đức Minh; Nguyễn Đỗ Khánh Linh; Nguyễn Lê Quang Anh; Tô Đức Mạnh</t>
  </si>
  <si>
    <t>TNMT2026-102.png</t>
  </si>
  <si>
    <t>TNMT2026-103</t>
  </si>
  <si>
    <t>Nghiên cứu thực trạng và đề xuất giải pháp phát triển mô hình nuôi cá lồng bè theo hướng kinh tế tuần hoàn tại phường Hà An, tỉnh Quảng Ninh</t>
  </si>
  <si>
    <t>Nguyễn Thị Kim Thanh; Hoàng Thuý Vi; Hồng Viết Tiến; Lê Tiến Việt</t>
  </si>
  <si>
    <t>TNMT2026-103.png</t>
  </si>
  <si>
    <t>TNMT2026-104</t>
  </si>
  <si>
    <t>Nghiên cứu hiện trạng phát sinh và đề xuất giải pháp quản lý dầu ăn sau sử dụng tại phường Cầu Giấy, Hà Nội</t>
  </si>
  <si>
    <t>Phạm Thị Hồng Ngọc; Vũ Hải Yến; Nguyễn Khánh Linh; Đoàn Thị Lan Anh; Bùi Ngọc Minh Anh</t>
  </si>
  <si>
    <t>TNMT2026-104.png</t>
  </si>
  <si>
    <t>TNMT2026-105</t>
  </si>
  <si>
    <t>Ứng dụng GIS trong xây dựng bản đồ hiện trạng nuôi tôm hùm tại vịnh Xuân Đài, tỉnh Đắk Lắk</t>
  </si>
  <si>
    <t>Bùi Võ Minh Khôi; Đỗ Phạm Tâm Như</t>
  </si>
  <si>
    <t>TNMT2026-105.png</t>
  </si>
  <si>
    <t>TNMT2026-106</t>
  </si>
  <si>
    <t>Ước tính sinh khối bề mặt rừng ngập mặn Cần Giờ từ dữ liệu viễn thám đa nguồn.</t>
  </si>
  <si>
    <t>Điệp Khắc Điệp; Nguyễn Ngọc Xuân Thy; Nguyễn Thị Như Thảo</t>
  </si>
  <si>
    <t>TNMT2026-106.png</t>
  </si>
  <si>
    <t>TNMT2026-107</t>
  </si>
  <si>
    <t>Đánh giá khả năng thích ứng của nông hộ nuôi trồng thủy sản trước tác động của xâm nhập mặn tại tỉnh Vĩnh Long</t>
  </si>
  <si>
    <t>Lữ Thị Như Quỳnh</t>
  </si>
  <si>
    <t>TNMT2026-107.png</t>
  </si>
  <si>
    <t>TNMT2026-108</t>
  </si>
  <si>
    <t>Tác động của chiến lược xe điện Trung Quốc đến cục diện kinh tế - chính trị của Liên minh Châu Âu (EU) trong bối cảnh cạnh tranh thương mại Mỹ - Trung, giai đoạn 2021-2025, tiếp cận từ khung phân tích “Sự phụ thuộc lẫn nhau bị vũ khí hoá” (Weaponized Interdependence)</t>
  </si>
  <si>
    <t>Đoàn Nguyên Khang; Nguyễn Ngọc Lan Anh; Bùi Thuỳ Dương; Lê Chí Trung; Lê Nguyễn Phước Vinh</t>
  </si>
  <si>
    <t>TNMT2026-108.png</t>
  </si>
  <si>
    <t>TNMT2026-109</t>
  </si>
  <si>
    <t>Ứng dụng mô hình học sâu (Deep Learning) trong phân tích biến động rừng ngập mặn Cần Giờ.</t>
  </si>
  <si>
    <t>Vũ Thị Minh Trang; Điệp Khắc Điệp; Bùi Nguyễn Duy Phương; Lê Nguyễn Minh Trình; Trần Thị Cẩm Nhung</t>
  </si>
  <si>
    <t>TNMT2026-109.png</t>
  </si>
  <si>
    <t>TNMT2026-110</t>
  </si>
  <si>
    <t>TÁC ĐỘNG CỦA RỦI RO ĐỊA CHÍNH TRỊ ĐẾN NGHÈO ĐÓI NĂNG LƯỢNG: BẰNG CHỨNG QUỐC TẾ</t>
  </si>
  <si>
    <t>Phạm Xuân Tuyền; Nguyễn Thị Minh Anh; Lê Tấn Tài; Trương Hoàng Phương Quỳnh; Vũ Thị Lan Anh</t>
  </si>
  <si>
    <t>TNMT2026-110.png</t>
  </si>
  <si>
    <t>TNMT2026-111</t>
  </si>
  <si>
    <t>Tác động của tài chính xanh và đổi mới công nghệ đến tăng trưởng bền vững tại các quốc gia trên thế giới: Vai trò điều tiết của chất lượng thể chế</t>
  </si>
  <si>
    <t>Ngô Thị Thanh Lan; Phạm Khánh Linh; Đặng Khánh Huyền; Lê Thảo Quyên; Lê Mai Trang</t>
  </si>
  <si>
    <t>TNMT2026-111.png</t>
  </si>
  <si>
    <t>TNMT2026-112</t>
  </si>
  <si>
    <t>Nghiên cứu ảnh hưởng của phát thải khí CO₂ đến chất lượng tăng trưởng kinh tế: Bằng chứng từ một số quốc gia trên thế giới và hàm ý chính sách cho Việt Nam</t>
  </si>
  <si>
    <t>Nguyễn Trung Kiên; Nguyễn Mai Hiền; Nguyễn Thị Phương Linh; Trần Thuý Linh*; Phạm Minh Ngọc**</t>
  </si>
  <si>
    <t>Học viện Ngân hàng; *Trường Đại học Ngoại thương; **Học viện Ngoại giao</t>
  </si>
  <si>
    <t>TNMT2026-112.png</t>
  </si>
  <si>
    <t>TNMT2026-113</t>
  </si>
  <si>
    <t>FDI Inflows And Carbon Emission Reduction Targets In Vietnam: An Empirical Analysis Of Local Governance And The Scale Paradox</t>
  </si>
  <si>
    <t>Phạm Nguyễn Minh Hạ; Vũ Bảo Nhi; Mai Thái Dương; Nguyễn Khánh Cường; Đào Việt Long*</t>
  </si>
  <si>
    <t>Học viện Ngân hàng; *Trường Đại học Khoa học và Công nghệ Hà Nội</t>
  </si>
  <si>
    <t>TNMT2026-113.png</t>
  </si>
  <si>
    <t>TNMT2026-114</t>
  </si>
  <si>
    <t>TÍCH HỢP PHƯƠNG PHÁP HỌC MÁY VÀ VIỄN THÁM THÀNH LẬP BẢN ĐỒ PHÂN BỐ HÀM LƯỢNG PHOSPHO TỔNG TRONG ĐẤT NÔNG NGHIỆP, ÁP DỤNG TẠI HUYỆN TRẢNG BOM, TỈNH ĐỒNG NAI (CŨ)</t>
  </si>
  <si>
    <t>Nguyễn Thị Ngọc Hân</t>
  </si>
  <si>
    <t>TNMT2026-114.png</t>
  </si>
  <si>
    <t>TNMT2026-115</t>
  </si>
  <si>
    <t>DỰ BÁO KHOẢNG ÁP SUẤT LỖ RỖNG VÀ GRADIENT ÁP SUẤT VỠ VỈA PHỤC VỤ THIẾT KẾ GIẾNG KHOAN THĂM DÒ TẠI MỎ Y.</t>
  </si>
  <si>
    <t>Trịnh Phan Duy Khánh; Trương Quốc Chí</t>
  </si>
  <si>
    <t>TNMT2026-115.png</t>
  </si>
  <si>
    <t>SH2026-001</t>
  </si>
  <si>
    <t>Sinh học</t>
  </si>
  <si>
    <t>Xây dựng quy trình định lượng đồng thời apigenin và ipolamiid trong cây đuôi chuột Stachytarpheta jamaicensis (L.) Vahl, Verbenaceae bằng phương pháp hplc-pda.</t>
  </si>
  <si>
    <t>Nguyễn Hoài Khương; Nguyễn Thị Ánh Nguyệt; Lê Ngọc Kim Anh</t>
  </si>
  <si>
    <t>SH2026-001.png</t>
  </si>
  <si>
    <t>SH2026-002</t>
  </si>
  <si>
    <t>Xây dựng quy trình định lượng đồng thời hedycorysid a, acid oleanolic và acid ursolic trong cây lưỡi rắn (Hedyotis corymbosa (L.) Lam. Rubiaceae)</t>
  </si>
  <si>
    <t>Trương Thành Đạt; Trịnh Hoàng Dung; Nguyễn Duy Khánh; Châu Văn Quốc Anh</t>
  </si>
  <si>
    <t>SH2026-002.png</t>
  </si>
  <si>
    <t>SH2026-003</t>
  </si>
  <si>
    <t>Nghiên cứu tác dụng chống xơ hoá phổi của cao chiết cây dâu tằm trắng (Morus alba L.) trên mô hình chuột gây xơ hoá phổi bằng bleomycin</t>
  </si>
  <si>
    <t>Võ Bách Hợp; Trần Minh Vàng; Bạch Hưng Thái Sơn; Nguyễn Ngọc Khánh Uyên</t>
  </si>
  <si>
    <t>SH2026-003.png</t>
  </si>
  <si>
    <t>SH2026-005</t>
  </si>
  <si>
    <t>Nghiên cứu tách chiết và đánh giá khả năng kháng oxy hóa, kháng khuẩn của tinh dầu cây Dổi đất (Piper auritum)</t>
  </si>
  <si>
    <t>Cao Ngọc Thuỳ; Lê Phan Khánh Bình</t>
  </si>
  <si>
    <t>SH2026-005.png</t>
  </si>
  <si>
    <t>SH2026-006</t>
  </si>
  <si>
    <t>Nghiên cứu thu cao dịch chiết cây Sâm Đá (Curcuma singularis Gagnep.) và đánh giá hoạt tính sinh học</t>
  </si>
  <si>
    <t>Lâm Gia Khang; Trần Yến Như</t>
  </si>
  <si>
    <t>SH2026-006.png</t>
  </si>
  <si>
    <t>SH2026-007</t>
  </si>
  <si>
    <t>Tuyển chọn vi khuẩn vùng rễ có khả năng ức chế Fusarium falciforme gây bệnh héo rũ cây ớt chỉ thiên (Capsicum frutescens)</t>
  </si>
  <si>
    <t>Bùi Minh Khang</t>
  </si>
  <si>
    <t>SH2026-007.png</t>
  </si>
  <si>
    <t>SH2026-008</t>
  </si>
  <si>
    <t>Nghiên cứu sản xuất màng carrageenan từ rong sụn Kappaphycus alvarezii và ứng dụng trong kháng khuẩn, kháng viêm da in vitro</t>
  </si>
  <si>
    <t>Huỳnh Khả Kỳ; Đỗ Trần Vân Anh; Bạch Trương Phương Thùy; Nguyễn Ngọc Cẩm Tiên; Nguyễn Hoài Tri Ân</t>
  </si>
  <si>
    <t>SH2026-008.png</t>
  </si>
  <si>
    <t>SH2026-009</t>
  </si>
  <si>
    <t>Nghiên cứu chế tạo miếng dán hydrogel thông minh từ gellan gum/bacterial cellulose/tannic acid chứa chiết xuất tự nhiên có khả năng theo dõi tình trạng vết thương, kháng khuẩn và thúc đẩy quá trình tái tạo mô</t>
  </si>
  <si>
    <t>Trần Quốc Anh; Trần Ngọc Yến Linh; Nguyễn Mai Nhi; Đặng Phương Lan Anh; Lê Thị Kim Hằng</t>
  </si>
  <si>
    <t>SH2026-009.png</t>
  </si>
  <si>
    <t>SH2026-010</t>
  </si>
  <si>
    <t>pH-sensitive hydrogel for colon-targeted delivery of astaxanthin extract from Rhodosporidium toruloides G17: Antioxidant, anti-inflammatory, and anticancer activities</t>
  </si>
  <si>
    <t>Nguyễn Hồ Vũ; Phạm Mỹ Nga; Vũ Hoàng Kim Nhung</t>
  </si>
  <si>
    <t>SH2026-010.png</t>
  </si>
  <si>
    <t>SH2026-011</t>
  </si>
  <si>
    <t>Phytochemical profiling and in vitro evaluation of the antibacterial, anti-inflammatory and antidiabetic supportive activities of Camellia quephongensis essential oil</t>
  </si>
  <si>
    <t>Triệu Ánh Minh; Phạm Minh Cường; Hữu Hoàng Mai Phương</t>
  </si>
  <si>
    <t>SH2026-011.png</t>
  </si>
  <si>
    <t>SH2026-012</t>
  </si>
  <si>
    <t>Assessment of hly Gene Expression in Listeria monocytogenes Exposed to Stress Conditions using PCR</t>
  </si>
  <si>
    <t>Chiêm Trần Thảo Trinh; Tào Mỹ Vân; Phù Cẩm Ngọc</t>
  </si>
  <si>
    <t>SH2026-012.png</t>
  </si>
  <si>
    <t>SH2026-013</t>
  </si>
  <si>
    <t>Nghiên cứu tác dụng kích thích phát triển sợi thần kinh của chiết xuất Hypericum attenuatum trên dòng tế bào F11</t>
  </si>
  <si>
    <t>Hoàng Thị Thuyết</t>
  </si>
  <si>
    <t>SH2026-013.png</t>
  </si>
  <si>
    <t>SH2026-014</t>
  </si>
  <si>
    <t>Khảo sát tác dụng kháng viêm, giảm đau và hạ sốt của chiết xuất lá Mua (Melastoma malabathricum L.) phối hợp Nanocurcumin trên chuột thực nghiệm</t>
  </si>
  <si>
    <t>Lê Thị Trúc Ly; Trương Hoa Hồng Châu</t>
  </si>
  <si>
    <t>SH2026-014.png</t>
  </si>
  <si>
    <t>SH2026-015</t>
  </si>
  <si>
    <t>Xây dựng hệ thống phân tích PhotoMethyl để nghiên cứu cơ chế hình thành hệ vi sinh vật cộng sinh trên thực vật quang hợp</t>
  </si>
  <si>
    <t>Kiều Công Trí; Lê Thị Ngọc Huệ; Nguyễn Phương Tuyền</t>
  </si>
  <si>
    <t>SH2026-015.png</t>
  </si>
  <si>
    <t>SH2026-016</t>
  </si>
  <si>
    <t>Khám phá các hợp chất thực vật tiềm năng chống béo phì từ cây ô rô nước (Acanthus ebracteatus) định hướng bằng học máy (Isolation Forest) kết hợp docking và mô phỏng động lực học phân tử</t>
  </si>
  <si>
    <t>Dương Phước Mai Quỳnh; Trần Tú Quyên</t>
  </si>
  <si>
    <t>SH2026-016.png</t>
  </si>
  <si>
    <t>SH2026-017</t>
  </si>
  <si>
    <t>Tối ưu hoá hai bậc quá trình nhân giống và lên men Bacillus subtilis var. natto siamb 12 định hướng hoàn thiện quy trình sản xuất bột đậu nành lên men giàu nattokinase</t>
  </si>
  <si>
    <t>Nguyễn Gia Bảo; Phạm Thị Kim Ngân; Trần Thị Thu Hương; Trần Lê Thúy Quyên</t>
  </si>
  <si>
    <t>SH2026-017.png</t>
  </si>
  <si>
    <t>SH2026-018</t>
  </si>
  <si>
    <t>Phân lập và tuyển chọn các chủng vi khuẩn chịu mặn có khả năng sinh protease từ mắm cá linh (Henicorhynchus siamensis ) và cá sặc (Trichopodus trichopterus)</t>
  </si>
  <si>
    <t>Nguyễn Hữu Kiệt; Lê Duy Quân</t>
  </si>
  <si>
    <t>SH2026-018.png</t>
  </si>
  <si>
    <t>SH2026-019</t>
  </si>
  <si>
    <t>Tìm hiểu thông tin marker SNP liên kết tính trạng phấn trắng biểu bì ở trái bí đao trưởng thành</t>
  </si>
  <si>
    <t>Bùi Văn Trương; Phan Hồ Thảo Quyên</t>
  </si>
  <si>
    <t>SH2026-019.png</t>
  </si>
  <si>
    <t>SH2026-020</t>
  </si>
  <si>
    <t>Tìm hiểu thông tin marker SNP liên quan tính trạng màu thịt trái ở dưa lưới (Cucumis melo)</t>
  </si>
  <si>
    <t>Phan Hồ Thảo Quyên; Bùi Văn Trương</t>
  </si>
  <si>
    <t>SH2026-020.png</t>
  </si>
  <si>
    <t>SH2026-021</t>
  </si>
  <si>
    <t>A machine learning method for intrinsically disordered region homology detection</t>
  </si>
  <si>
    <t>Lê Gia Cát</t>
  </si>
  <si>
    <t>SH2026-021.png</t>
  </si>
  <si>
    <t>SH2026-022</t>
  </si>
  <si>
    <t>Thiết kế hệ hydrogel bám dính sinh học chứa dịch chiết cây nhọ nồi Eclipta prostrata với hoạt tính chống oxy hóa tăng cường trong quản lý vết thương</t>
  </si>
  <si>
    <t>Nguyễn Như Quỳnh; Trần Thị Mỹ Dung</t>
  </si>
  <si>
    <t>SH2026-022.png</t>
  </si>
  <si>
    <t>SH2026-023</t>
  </si>
  <si>
    <t>Phân lập và sàng lọc vi sinh vật chịu nhiệt có khả năng phân giải cellulose ứng dụng xử lý phụ phẩm</t>
  </si>
  <si>
    <t>Hoàng Thị Bích Đào</t>
  </si>
  <si>
    <t>SH2026-023.png</t>
  </si>
  <si>
    <t>SH2026-024</t>
  </si>
  <si>
    <t>Đánh giá hoạt tính loại bỏ vi khuẩn sinh biofilm phân lập từ bề mặt điện thoại thông minh của tinh dầu quế (Cinnamomum cassia) và tinh dầu đinh hương (Syzygium aromaticum)</t>
  </si>
  <si>
    <t>Vũ Thái Hợp; Đặng Việt Nhơn; Nguyễn Ngọc Thuỷ Tiên</t>
  </si>
  <si>
    <t>SH2026-024.png</t>
  </si>
  <si>
    <t>SH2026-025</t>
  </si>
  <si>
    <t>Nghiên cứu khả năng thích nghi và khoáng hóa của chủng Sporosarcina pasteurii trong môi trường nước biển nhân tạo ứng dụng ổn định nền cát hướng tới giảm thiểu xói mòn ven biển</t>
  </si>
  <si>
    <t>Đặng Nghuyễn Quang Thiện; Nguyễn Thị Cẩm Tiên; Nguyễn Văn Hiển</t>
  </si>
  <si>
    <t>SH2026-025.png</t>
  </si>
  <si>
    <t>SH2026-026</t>
  </si>
  <si>
    <t>Đánh giá hoạt tính kháng viêm và kháng oxi hóa của hai cây thuộc chi Ceriops là Dà vôi (Ceriops tagal) và Dà quánh (Ceriops decandra)</t>
  </si>
  <si>
    <t>Đoàn Lê Phương Nhi; Đỗ Nguyễn Minh Thư</t>
  </si>
  <si>
    <t>SH2026-026.png</t>
  </si>
  <si>
    <t>SH2026-027</t>
  </si>
  <si>
    <t>Khảo sát khả năng kháng nấm Fusarium sp. gây bệnh thối rễ trên dưa leo của dịch chiết nha đam Aloe vera l. và nhũ tương tinh dầu tiêu</t>
  </si>
  <si>
    <t>Từ Gia Nhi; Đinh Hồng Vy; Trương Thị Nhi; Phan Bích Trâm</t>
  </si>
  <si>
    <t>SH2026-027.png</t>
  </si>
  <si>
    <t>SH2026-028</t>
  </si>
  <si>
    <t>Nghiên cứu tuyển chọn chủng vi khuẩn lam có tiềm năng sinh lipid cao phân lập trên lá cây đước tại Vàm Sát (Cần Giờ) Thành phố Hồ Chí Minh</t>
  </si>
  <si>
    <t>Cao Ngọc Lê Huy; Nguyễn Hương Giang; Huỳnh Ngọc Băng; Nguyễn Thành Phát; Hồ Đặng Minh Trâm</t>
  </si>
  <si>
    <t>SH2026-028.png</t>
  </si>
  <si>
    <t>SH2026-029</t>
  </si>
  <si>
    <t>Giải pháp mới trong kỹ thuật trồng nấm bào ngư</t>
  </si>
  <si>
    <t>Nguyễn Thị Như Quỳnh; Trần Minh Ý; Đặng Hữu Duyên; Bon Yo Ka Xuân Dũng; Trần Hồng Đăng</t>
  </si>
  <si>
    <t>SH2026-029.png</t>
  </si>
  <si>
    <t>SH2026-030</t>
  </si>
  <si>
    <t>Nghiên cứu vật liệu sợi xanh từ cây thùa (Agave americana L.): quy trình sản xuất và ứng dụng nhuộm sinh thái</t>
  </si>
  <si>
    <t>Huỳnh Hồ Phương Uyên; Phùng Thị Xuân Thảo; Nguyễn Khánh Nhi; Cai Hoàng Phúc; Phan Văn Thịnh</t>
  </si>
  <si>
    <t>SH2026-030.png</t>
  </si>
  <si>
    <t>SH2026-031</t>
  </si>
  <si>
    <t>Sản xuất enzyme ngoại bào tái tổ hợp từ bacillus subtilis vào thế hệ vector plygo-bs-1</t>
  </si>
  <si>
    <t>Bùi Quang Lê; Lê Anh Khoa; Trương Tấn Phát</t>
  </si>
  <si>
    <t>SH2026-031.png</t>
  </si>
  <si>
    <t>SH2026-032</t>
  </si>
  <si>
    <t>Khảo sát hoạt tính sinh học của mẫu Keo Ong không ngòi đốt thu tại Đồng Nai</t>
  </si>
  <si>
    <t>Ngô Huỳnh Bảo Châu; Huỳnh Thị Thuý An</t>
  </si>
  <si>
    <t>SH2026-032.png</t>
  </si>
  <si>
    <t>SH2026-033</t>
  </si>
  <si>
    <t>Đánh giá in vitro và in silico hoạt tính ức chế α-glucosidase của cao chiết lá Vối Cleistocalyx operculatus (Roxb.) Merr. et Perry Myrtaceae</t>
  </si>
  <si>
    <t>Nguyễn Ngọc Nam Anh; Phạm Thị Bích Liên; Trần Gia Trí</t>
  </si>
  <si>
    <t>SH2026-033.png</t>
  </si>
  <si>
    <t>SH2026-034</t>
  </si>
  <si>
    <t>Trường điện từ xung cải thiện tính biến dạng hồng cầu và tưới máu vi tuần hoàn trong mô hình viêm da cơ địa</t>
  </si>
  <si>
    <t>Huỳnh Minh Nhật; Phạm Hoàng Vy; Nguyễn Duy Khang</t>
  </si>
  <si>
    <t>SH2026-034.png</t>
  </si>
  <si>
    <t>SH2026-035</t>
  </si>
  <si>
    <t>Khảo sát ảnh hưởng của sự phối hợp giữa BA và IBA với NAA lên quá trình nhân chồi của cây nắp ấm (Nepenthes mirabilis (Lour.) Druce)</t>
  </si>
  <si>
    <t>Hoàng Nhật Phi</t>
  </si>
  <si>
    <t>SH2026-035.png</t>
  </si>
  <si>
    <t>SH2026-036</t>
  </si>
  <si>
    <t>Tối ưu quá trình lên men kombucha nhằm nâng cao hoạt tính ức chế enzyme tyrosinase định hướng ứng dụng trong chăm sóc da</t>
  </si>
  <si>
    <t>Nguyễn Diệp Lan Phương; Nguyễn Phi Long; Lương Đông Vy</t>
  </si>
  <si>
    <t>SH2026-036.png</t>
  </si>
  <si>
    <t>SH2026-037</t>
  </si>
  <si>
    <t>Đánh giá hiệu quả kiểm soát bệnh héo vàng do Fusarium oxysporum f. sp. cubense TR4 trên chuối già nam mỹ của các chủng Streptomyces spp. và Pseudomonas spp. và phân tích sơ bộ chất chuyển hóa của Streptomyces sp. BT14</t>
  </si>
  <si>
    <t>Nguyễn Thị Phương Linh; Trương Phạm Hải My; Nguyễn Trần Uyển Nhi; Nguyễn Thị Kim Xuân</t>
  </si>
  <si>
    <t>SH2026-037.png</t>
  </si>
  <si>
    <t>SH2026-038</t>
  </si>
  <si>
    <t>Enhancing Lactic Acid Bacterial Fermentation With Aloe vera To Reduce E. coli O157:H7 On Fresh Lettuce</t>
  </si>
  <si>
    <t>Nguyễn Thêm Lộc; Hà Thị Nhàn; Võ Kế Hiếu; Nguyễn Hoàng Anh Thư</t>
  </si>
  <si>
    <t>SH2026-038.png</t>
  </si>
  <si>
    <t>SH2026-039</t>
  </si>
  <si>
    <t>Vi nhân giống dâu tây (fragaria × ananassa) Nhật Bản từ hạt bằng phương pháp nuôi cấy mô</t>
  </si>
  <si>
    <t>Nguyễn Nhật Minh</t>
  </si>
  <si>
    <t>SH2026-039.png</t>
  </si>
  <si>
    <t>SH2026-040</t>
  </si>
  <si>
    <t>Xây dựng quy trình nhân nhanh cây dứa bằng phương pháp nuôi cấy mô</t>
  </si>
  <si>
    <t>Bùi Ngọc Thảo My</t>
  </si>
  <si>
    <t>SH2026-040.png</t>
  </si>
  <si>
    <t>SH2026-041</t>
  </si>
  <si>
    <t>Phát triển hạt nano carbon có hoạt tính kháng khuẩn từ bã mía (Saccharum sinense Roxb.)</t>
  </si>
  <si>
    <t>Lý Minh Hằng; Đỗ Nguyễn Hạnh Dung; Phan Tuyết Anh</t>
  </si>
  <si>
    <t>SH2026-041.png</t>
  </si>
  <si>
    <t>SH2026-042</t>
  </si>
  <si>
    <t>Họat tính chống oxy hóa, kháng vi sinh vật và ức chế các enzyme tác động trên da và thần kinh của lá ngũ trảo (Vitex negundo L.)</t>
  </si>
  <si>
    <t>Trần Lê Phương Linh; Vũ Nguyễn Thái Tuấn</t>
  </si>
  <si>
    <t>SH2026-042.png</t>
  </si>
  <si>
    <t>SH2026-043</t>
  </si>
  <si>
    <t>Nghiên cứu thành phần hóa học và đánh giá học tính sinh học của các bộ phận cây Trâm bầu (Combretum quadrangulare Kurz.)</t>
  </si>
  <si>
    <t>Nguyễn Kim Oanh; Trần Ngọc Minh Anh; Bùi Anh Trà; Đào Duy Bảo Ngọc; Nguyễn Võ Quang Huy</t>
  </si>
  <si>
    <t>SH2026-043.png</t>
  </si>
  <si>
    <t>SH2026-044</t>
  </si>
  <si>
    <t>Tiềm năng ứng dụng lactobacillus plantarum trong kiểm soát vi khuẩn sinh lipase và/hoặc hợp chất lưu huỳnh gây hư hỏng thực phẩm đông lạnh</t>
  </si>
  <si>
    <t>Phạm Hữu Tuấn; Trần Minh Thư; Ngô Hữu Phước</t>
  </si>
  <si>
    <t>SH2026-044.png</t>
  </si>
  <si>
    <t>SH2026-045</t>
  </si>
  <si>
    <t>Thiết lập hệ lên men đa chủng có kiểm soát cho dịch quả nhàu (Morinda citrifolia L.): tuyển chọn vi sinh vật, đánh giá tiềm năng hệ gen và cải thiện chất lượng cảm quan</t>
  </si>
  <si>
    <t>Nguyễn Lê Quý Phúc; Tạ Tú Uyên; Nguyễn Lê Minh Khôi</t>
  </si>
  <si>
    <t>SH2026-045.png</t>
  </si>
  <si>
    <t>SH2026-046</t>
  </si>
  <si>
    <t>Bacillus spp. trong kháng nấm gây thối quả vỏ thanh long sau thu hoạch</t>
  </si>
  <si>
    <t>Trần Xuân Hoàng; Lê Hoàng Huy</t>
  </si>
  <si>
    <t>SH2026-046.png</t>
  </si>
  <si>
    <t>SH2026-047</t>
  </si>
  <si>
    <t>Khảo sát khả năng kháng khuẩn và kháng oxy hóa của hệ vật liệu silica hữu cơ chứa acid rosmarinic</t>
  </si>
  <si>
    <t>Lê Trọng Bằng</t>
  </si>
  <si>
    <t>SH2026-047.png</t>
  </si>
  <si>
    <t>SH2026-048</t>
  </si>
  <si>
    <t>Preliminary study on the development of a mouse model for metabolic dysfunction-associated fatty liver disease (MAFLD) induced by high-fat diet, thioacetamide, and T0901317</t>
  </si>
  <si>
    <t>Phạm Ngọc Khánh; Nguyễn Ngọc Hồng Nhi; Chu Thành Tuyên</t>
  </si>
  <si>
    <t>SH2026-048.png</t>
  </si>
  <si>
    <t>SH2026-049</t>
  </si>
  <si>
    <t>Thu nhận và đánh giá hoạt tính protein cảm biến sinh học từ Escherichia coli nhằm định lượng microalbumin niệu</t>
  </si>
  <si>
    <t>Trương Phước Bách; Nguyễn Ngọc Thúy Lan</t>
  </si>
  <si>
    <t>SH2026-049.png</t>
  </si>
  <si>
    <t>SH2026-050</t>
  </si>
  <si>
    <t>Tuyển chọn các chủng Bacillus có lợi cho cây trồng dùng để phát triển phân npk vi sinh</t>
  </si>
  <si>
    <t>Trần Thị Anh Thi; Trần Quang Huy; Phạm Quốc Huy; Nguyễn Võ Vân Anh; Đặng Ngọc Gia Hân</t>
  </si>
  <si>
    <t>SH2026-050.png</t>
  </si>
  <si>
    <t>SH2026-051</t>
  </si>
  <si>
    <t>Phân lập và tuyển chọn vi khuẩn chiụ mặn từ đất rừng ngập mặn phục vụ nghiên cứu cải thiện khả năng chịu mặn của cây lúa (Oryza sativa L.)</t>
  </si>
  <si>
    <t>Bùi Như Ý; Nguyễn Khánh Ly; Phạm Thị Bích Ngọc</t>
  </si>
  <si>
    <t>SH2026-051.png</t>
  </si>
  <si>
    <t>SH2026-052</t>
  </si>
  <si>
    <t>Phân lập, giải trình tự metagenome hệ vi sinh vật nem chua ba miền việt nam và tuyền chọn chủng khởi động cho nem lên men từ thịt gà</t>
  </si>
  <si>
    <t>Mai Hoàng Băng Tâm; Nguyễn Minh Thùy</t>
  </si>
  <si>
    <t>SH2026-052.png</t>
  </si>
  <si>
    <t>SH2026-053</t>
  </si>
  <si>
    <t>Nghiên cứu tính đa dạng di truyền cây sâm khỏe (dracaena sp.) tại tỉnh gia lai bằng chỉ thị phân tử</t>
  </si>
  <si>
    <t>Trần Thanh Hiếu; Hoàng Thị Thanh Tú; Trần Minh Tâm</t>
  </si>
  <si>
    <t>SH2026-053.png</t>
  </si>
  <si>
    <t>SH2026-054</t>
  </si>
  <si>
    <t>Khảo sát một số đặc điểm sinh học dinh dưỡng của cá lìm kìm bên Hyporhamphus limbatus (Valenciennes, 1847) tại Cà Mau, Việt Nam.</t>
  </si>
  <si>
    <t>Nguyễn Quốc Vinh; Lý Văn Vương; Nguyễn Lê Hoàng Phúc; Võ Thị Thảo Lam; Trần Ngọc Anh</t>
  </si>
  <si>
    <t>SH2026-054.png</t>
  </si>
  <si>
    <t>SH2026-055</t>
  </si>
  <si>
    <t>Xác định thành phần hoạt chất có hoạt tính sinh học trong cao chiết ethanol vỏ quả ấu (Trapa natans L.) và đánh giá độc tính cấp tính trên chuột đực C57BL_6</t>
  </si>
  <si>
    <t>Phan Thị Ngọc Ngân; Nguyễn Vũ Minh Đạt; Nguyễn Thị Thanh Trúc</t>
  </si>
  <si>
    <t>SH2026-055.png</t>
  </si>
  <si>
    <t>SH2026-056</t>
  </si>
  <si>
    <t>Nghiên cứu tiềm năng kháng oxy hoá của cây Chè cẩu (Eurya nitida Korth.) và phát triển sản phẩm trà túi lọc</t>
  </si>
  <si>
    <t>Nguyễn Ngọc Hoàng Nhi; Huỳnh Hà Thy; Nguyễn Phúc Linh Gabriel; Nguyễn Minh Tiến; Nguyễn Hoàng Phượng Loan</t>
  </si>
  <si>
    <t>SH2026-056.png</t>
  </si>
  <si>
    <t>SH2026-057</t>
  </si>
  <si>
    <t>Tối ưu sản xuất sản phẩm giàu Compound K trong cao chiết rễ sâm Mỹ Panax quinquefolius L. bằng enzyme thương mại sử dụng phương pháp bề mặt đáp ứng</t>
  </si>
  <si>
    <t>Nguyễn Thị Quỳnh Hoa; Lý Anh Toàn; Bùi Thị Mỹ Hằng</t>
  </si>
  <si>
    <t>SH2026-057.png</t>
  </si>
  <si>
    <t>SH2026-058</t>
  </si>
  <si>
    <t>Nghiên cứu ảnh hưởng của việc xử lý melatonin sau thu hoạch đến chỉ tiêu sinh lý, sinh hóa và độ bền của hoa hồng (rosa hybrida l.) cắt cành</t>
  </si>
  <si>
    <t>Nguyễn Ngọc Hân; Đạo Quý Phi; Nguyễn Hà Sương; Võ Trần Phương Diễm</t>
  </si>
  <si>
    <t>SH2026-058.png</t>
  </si>
  <si>
    <t>SH2026-059</t>
  </si>
  <si>
    <t>Khảo sát tiềm năng kháng oxy hóa của phân đoạn chloroform từ cao chiết củ nghĩa sâm (Abelmochus rhodopentalus var. binhsonensis) thu hái tại quảng ngãi</t>
  </si>
  <si>
    <t>Đỗ Hoài Thư; Phạm Kiều Thạnh; Phan Khắc Anh; Nguyễn Ngọc Phương Như; Lê Thị Hiền</t>
  </si>
  <si>
    <t>SH2026-059.png</t>
  </si>
  <si>
    <t>SH2026-060</t>
  </si>
  <si>
    <t>Tối ưu hoá quy trình chiết polyphenol từ cây Ngò om (Limnophila aromatica), phân đoạn và khảo sát hoạt tính kháng oxy hoá trên mô hình in vitro và in silico</t>
  </si>
  <si>
    <t>Phạm Thanh Phong; Hồ Thị Phương Nga; Nguyễn Trần Tiến; Đào Anh Khôi</t>
  </si>
  <si>
    <t>SH2026-060.png</t>
  </si>
  <si>
    <t>SH2026-061</t>
  </si>
  <si>
    <t>Nghiên cứu in vitro hoạt tính chống oxy hóa của nụ Vối Cleistocalyx operculatus (Roxb.) Merr. et Perry Myrtaceae</t>
  </si>
  <si>
    <t>Phạm Thị Thanh Trúc; Lê Nguyễn Bảo Hân; Hồ Tường Vy; Trần Ngọc Như</t>
  </si>
  <si>
    <t>SH2026-061.png</t>
  </si>
  <si>
    <t>SH2026-062</t>
  </si>
  <si>
    <t>Ảnh hưởng của bổ sung DHA ở chuột bố trước thụ thai đến chuyển hóa lipid của thế hệ sau theo giới tính và chế độ ăn</t>
  </si>
  <si>
    <t>Dương Diễm Quỳnh</t>
  </si>
  <si>
    <t>SH2026-062.png</t>
  </si>
  <si>
    <t>SH2026-063</t>
  </si>
  <si>
    <t>Tối ưu hóa điều kiện tách chiết polyphenol từ nghệ đắng (Curcuma comosa R.) có hỗ trợ enzyme và định hướng ứng dụng trong mỹ phẩm</t>
  </si>
  <si>
    <t>Ngô Hà Phương; Trần Lê Thanh Uyên; Nguyễn Hoàng Nhung; Nguyễn Thanh Mai; Huỳnh Phương Nhi</t>
  </si>
  <si>
    <t>SH2026-063.png</t>
  </si>
  <si>
    <t>SH2026-064</t>
  </si>
  <si>
    <t>Trích ly aloesin từ phụ phẩm vỏ lô hội (Aloe vera) định hướng phát triển sản phẩm dưỡng da</t>
  </si>
  <si>
    <t>Huỳnh Ngọc Nhã My; Dương Võ Khang Tường; Trần Thị Thảo Như</t>
  </si>
  <si>
    <t>SH2026-064.png</t>
  </si>
  <si>
    <t>SH2026-065</t>
  </si>
  <si>
    <t>Đánh giá tác dụng hạ đường huyết của cao chiết cồn bài thuốc Nam gồm Thiên hoa phấn và Đậu đen in vivo</t>
  </si>
  <si>
    <t>Lê Thị Thanh Thủy; Nguyễn Hà Châu Anh</t>
  </si>
  <si>
    <t>SH2026-065.png</t>
  </si>
  <si>
    <t>SH2026-066</t>
  </si>
  <si>
    <t>Xây dựng mô hình sàng lọc ảo chất ức chế pd-1/pd-l1</t>
  </si>
  <si>
    <t>Nguyễn Văn Tường Nghi; Nguyễn Hồ Mai Anh; Liêu Quang Khải</t>
  </si>
  <si>
    <t>SH2026-066.png</t>
  </si>
  <si>
    <t>SH2026-067</t>
  </si>
  <si>
    <t>Nghiên cứu quy trình chiết tách polysaccharide và khảo sát sơ bộ in vivo tác dụng lợi sữa của cao chiết nước và phân đoạn polysaccharide thô từ đảng sâm việt nam (Codonopsis javanica)</t>
  </si>
  <si>
    <t>Phan Huỳnh Kim Dung; Võ Bách Hợp; Nguyễn Quý Ngọc Châu; Nguyễn Thảo Vy; Nguyễn Phan Hoàng Long</t>
  </si>
  <si>
    <t>SH2026-067.png</t>
  </si>
  <si>
    <t>SH2026-068</t>
  </si>
  <si>
    <t>Khảo sát tác dụng bảo vệ thần kinh của cây cỏ máu quảng bình Ventilago diffusa (g.don) exell trong mô hình mô phỏng bệnh huntington</t>
  </si>
  <si>
    <t>Phạm Hồng Ngọc Hân; Phan Huỳnh Kim Dung; Nguyễn Quý Ngọc Châu; Võ Như Ý; Trần Thị Ngọc Dung</t>
  </si>
  <si>
    <t>SH2026-068.png</t>
  </si>
  <si>
    <t>SH2026-069</t>
  </si>
  <si>
    <t>Hiệu quả kháng melanoma của cao chiết từ lá mãng cầu xiêm (Annona muricata linn) trên chuột nhắt</t>
  </si>
  <si>
    <t>Lê Nguyễn Ngọc Nhi; Đỗ Vy</t>
  </si>
  <si>
    <t>SH2026-069.png</t>
  </si>
  <si>
    <t>SH2026-070</t>
  </si>
  <si>
    <t>Khảo sát tác động hạ acid uric và kháng viêm của cao chiết toàn phần từ hoa rau khúc trên mô hình viêm khớp do gout ở chuột nhắt</t>
  </si>
  <si>
    <t>Vũ Minh Đức; Lê Nguyễn Gia Hân; Phạm Giang Bình Yên</t>
  </si>
  <si>
    <t>SH2026-070.png</t>
  </si>
  <si>
    <t>SH2026-071</t>
  </si>
  <si>
    <t>Tổng hợp theo phương pháp biginelli với sự hỗ trợ của vi sóng và đánh giá hoạt tính kháng khuẩn các dẫn chất 2-amino-1,4-dihydropyrimidin</t>
  </si>
  <si>
    <t>Lê Thị Bảo Trân; Phan Thị Ngọc Thi; Trần Ngọc Trân; Nguyễn Huy Nam; Bùi Lê Duy Tùng</t>
  </si>
  <si>
    <t>SH2026-071.png</t>
  </si>
  <si>
    <t>SH2026-072</t>
  </si>
  <si>
    <t>Tổng hợp và đáng giá hoạt tính kháng ​vi sinh vật của các dẫn chất ​2-phenyl-1h-imidazol-4,5-dicarboxamid ​bất đối xứng mang nhóm morpholin​</t>
  </si>
  <si>
    <t>Trần Đình Thanh Bình; Lý Hải Khang; Lê Bảo Hương; Phạm Huỳnh Thùy An; Nguyễn Hữu Đạt</t>
  </si>
  <si>
    <t>SH2026-072.png</t>
  </si>
  <si>
    <t>SH2026-073</t>
  </si>
  <si>
    <t>Phân tích đặc điểm thực vật và đánh giá tác dụng kháng viêm và giảm đau của lá cây Vòi voi (Heliotropium indicum Linn., Boraginaceae)</t>
  </si>
  <si>
    <t>Châu Huệ Mẫn; Bồ Lê Quỳnh Trâm; Nguyễn Phước Tú; Lê Trần Gia Thuận</t>
  </si>
  <si>
    <t>SH2026-073.png</t>
  </si>
  <si>
    <t>SH2026-074</t>
  </si>
  <si>
    <t>Research on the bioremediation of chlorpyrifos residues in coffee soil using bacteria</t>
  </si>
  <si>
    <t>Đồng Diễm Linh; Nguyễn Nam Khánh</t>
  </si>
  <si>
    <t>SH2026-074.png</t>
  </si>
  <si>
    <t>SH2026-075</t>
  </si>
  <si>
    <t>Xây dựng hệ thống sinh học mạng lưới tích hợp dữ liệu biểu hiện gen hướng đến dự đoán đáp ứng phân tử cá thể hóa ở tế bào ung thư bạch cầu dòng tủy cấp tính</t>
  </si>
  <si>
    <t>Đinh Tiến Đạt; Nguyễn Cầm Trang Anh</t>
  </si>
  <si>
    <t>SH2026-075.png</t>
  </si>
  <si>
    <t>SH2026-076</t>
  </si>
  <si>
    <t>Evaluating the therapeutic of quecertin in conventional monolayer and biomimetic spheroid models of hepatocellular carcinoma</t>
  </si>
  <si>
    <t>Bùi Tâm Nghi; Đặng Thị Hiếu Lan</t>
  </si>
  <si>
    <t>SH2026-076.png</t>
  </si>
  <si>
    <t>SH2026-077</t>
  </si>
  <si>
    <t>Xây dựng tiêu chuẩn kiểm nghiệm và đánh giá hoạt tính chống oxy hóa, ức chế α-glucosidase của lá thường xuân (Hedera nepalensis var. Sinensis (tobl.) rehder) bằng phương pháp in vitro và in silico</t>
  </si>
  <si>
    <t>Lê Thảo Trân; Nguyễn Tuệ Minh; Đào Vũ Khánh Vy; Nguyễn Phan Bích Nguyệt</t>
  </si>
  <si>
    <t>SH2026-077.png</t>
  </si>
  <si>
    <t>SH2026-078</t>
  </si>
  <si>
    <t>Thiết kế và đánh giá vắc-xin đa epitope từ các protein liên quan ung thư dạ dày bằng phương pháp tin sinh học miễn dịch</t>
  </si>
  <si>
    <t>Nguyễn Hoàng Vi Anhchar(10) Trần Thị Anh Thưchar(10) Huỳnh Gia Phúc</t>
  </si>
  <si>
    <t>SH2026-078.png</t>
  </si>
  <si>
    <t>SH2026-079</t>
  </si>
  <si>
    <t>Khảo sát tác động của các chủng Helicobacter pylori Việt Nam lên đáp ứng viêm, điều hòa chu kỳ tế bào và apoptosis trên dòng tế bào biểu mô dạ dày GES-1.</t>
  </si>
  <si>
    <t>Vũ Đình Đông; Trần Đông Uyên</t>
  </si>
  <si>
    <t>SH2026-079.png</t>
  </si>
  <si>
    <t>SH2026-080</t>
  </si>
  <si>
    <t>Xây dựng quy trình PCR để phân biệt thổ sâm (Talinum palniculatum) và thổ sâm ba cạnh (Talinum fruticosum)</t>
  </si>
  <si>
    <t>Lý Giai Thành; Đặng Thị Thuỳ Linh; Nguyễn Văn Tuấn</t>
  </si>
  <si>
    <t>SH2026-080.png</t>
  </si>
  <si>
    <t>SH2026-081</t>
  </si>
  <si>
    <t>Investigating the impact of 2c-peg on activation and e2f1 gene expression in the twnt-1 hepatic stellate cell line</t>
  </si>
  <si>
    <t>ÔNG HÀ THẢO MY</t>
  </si>
  <si>
    <t>SH2026-081.png</t>
  </si>
  <si>
    <t>SH2026-082</t>
  </si>
  <si>
    <t>Evaluating the impact of siRNA-mediated E2F1 and EEF1A1 knockdown on the activation of hepatic stellate cell lines</t>
  </si>
  <si>
    <t>Trương Quỳnh Lan; Nguyễn Phạm Anh Thư; Lê Hiếu Ngân; Nguyễn Thị Diên; Trần Cảnh Thành Trung</t>
  </si>
  <si>
    <t>SH2026-082.png</t>
  </si>
  <si>
    <t>SH2026-083</t>
  </si>
  <si>
    <t>Nghiên cứu phân vùng và dự báo khu vực phân bố tiềm năng sâm Ngọc Linh bằng mô hình XGBOOST</t>
  </si>
  <si>
    <t>Nguyễn Thị Hồng Ngọc; Nguyễn Nhật Long</t>
  </si>
  <si>
    <t>SH2026-083.png</t>
  </si>
  <si>
    <t>SH2026-084</t>
  </si>
  <si>
    <t>Nghiên cứu đặc điểm hình thái và sinh thái của loài Gai ma vương nhỏ (Tribulus sp.) phân bố ven biển khu vực tỉnh Lâm Đồng</t>
  </si>
  <si>
    <t>Lê Thi Gia Hân</t>
  </si>
  <si>
    <t>SH2026-084.png</t>
  </si>
  <si>
    <t>SH2026-085</t>
  </si>
  <si>
    <t>Ứng dụng và cải tiến kỹ thuật Diaphonization nhuộm toàn thân biểu hiện mô xương và sụn ở chuột</t>
  </si>
  <si>
    <t>Nguyễn Thị Thanh Thúy; Lê Thanh Tuyền; Nguyễn Minh Phương; Nguyễn Như Hải Phong; Phạm Phú Quang</t>
  </si>
  <si>
    <t>SH2026-085.png</t>
  </si>
  <si>
    <t>SH2026-086</t>
  </si>
  <si>
    <t>Đánh giá khả năng ức chế E2F của HLM006474 trong điều hòa sự hoạt hóa tế bào hình sao gan chuột liên quan đến quá trình xơ hóa gan</t>
  </si>
  <si>
    <t>Lê Trúc Luân; Lâm Duy Anh</t>
  </si>
  <si>
    <t>SH2026-086.png</t>
  </si>
  <si>
    <t>SH2026-087</t>
  </si>
  <si>
    <t>Xây dựng khoảng tham chiếu sinh học cho chỉ số phân bố kích thước bạch cầu đơn nhân ở người khám sức khoẻ định kỳ tại Bệnh viện Quân y 175</t>
  </si>
  <si>
    <t>Lê Ngọc Bảo Hân; Cao Mỹ Hạnh; Nguyễn Duy Khang; Nguyễn Lộc Quí; Hà Đức Trí</t>
  </si>
  <si>
    <t>SH2026-087.png</t>
  </si>
  <si>
    <t>SH2026-088</t>
  </si>
  <si>
    <t>Chuẩn hóa và đánh giá tiềm năng chống đái tháo đường của Stenochlaena palustris và Diplazium esculentum thông qua hoạt tính ức chế α-glucosidase.</t>
  </si>
  <si>
    <t>Lê Phương Ngọc Duyên; Nguyễn Mai Hoàng Hoa; Lê Ngọc Kim Ngân; Đoàn Yến Nhi</t>
  </si>
  <si>
    <t>SH2026-088.png</t>
  </si>
  <si>
    <t>SH2026-089</t>
  </si>
  <si>
    <t>Nghiên cứu đặc điểm thực vật học, đề xuất một số chỉ tiêu chất lượng và khảo sát dung môi chiết xuất polyphenol từ Dương xỉ ráng (Pteris vittata L.)</t>
  </si>
  <si>
    <t>Lê Nguyễn Thành Phúc; Đặng Phương Nghi; Nguyễn Hồ Quỳnh Thư; Trần Thị Ngọc Trâm; Lê Thị Kim Thoa</t>
  </si>
  <si>
    <t>SH2026-089.png</t>
  </si>
  <si>
    <t>SH2026-090</t>
  </si>
  <si>
    <t>Nghiên cứu đặc điểm hình thái, vi học và sơ bộ thành phần hoá học của Bần không cánh (Sonneratia apetala)</t>
  </si>
  <si>
    <t>Lương Thị Kim Anh; Đặng Nguyễn Trúc Vy; Nguyễn Văn Thuận; Nguyễn Hồng Thái</t>
  </si>
  <si>
    <t>SH2026-090.png</t>
  </si>
  <si>
    <t>SH2026-091</t>
  </si>
  <si>
    <t>Nghiên cứu phân lập thành phần hóa học và hoạt tính sinh học của Chè Vằng (Jasminum nervosum Lour.) ứng dụng phát triển dầu gội và sữa tắm thảo dược.</t>
  </si>
  <si>
    <t>Đào Thị Ngọc Ánh; Lâm Thị Ngọc Linh; Đặng Thị Xuân Mai; Nguyễn Thái My</t>
  </si>
  <si>
    <t>SH2026-091.png</t>
  </si>
  <si>
    <t>SH2026-092</t>
  </si>
  <si>
    <t>Đặc điểm giải phẫu củ và tương tác mô học tại vùng tiếp xúc giữa cây chủ và bốn loài thuộc chi Nấm ngọc cẩu (Balanophora J.R. Forst. &amp; G. Forst.)</t>
  </si>
  <si>
    <t>Cao Hoàng Tuấn; Nguyễn Đào Cẩm Tú; Nguyễn Thị Hồng Nhung</t>
  </si>
  <si>
    <t>SH2026-092.png</t>
  </si>
  <si>
    <t>SH2026-093</t>
  </si>
  <si>
    <t>Tiềm năng của dịch chiết từ hạt Đậu đen (Vigna cylindrica) trong nghiên cứu và phát triển sản phẩm chăm sóc da và chống lão hoá</t>
  </si>
  <si>
    <t>Trần Quang Khang; Nguyễn Thuý Phương Uyên; Nguyễn Ngọc Quỳnh Hương</t>
  </si>
  <si>
    <t>SH2026-093.png</t>
  </si>
  <si>
    <t>SH2026-094</t>
  </si>
  <si>
    <t>Đánh giá tác dụng sinh học in vitro của loài sung bộng (Ficus fistulosa)</t>
  </si>
  <si>
    <t>Lý Kim Hoán; Khổng Tiến Thành; Trần Nguyễn Gia Giàu; Lê Nguyễn Thúy Vy; Nguyễn Anh Khôi</t>
  </si>
  <si>
    <t>SH2026-094.png</t>
  </si>
  <si>
    <t>SH2026-095</t>
  </si>
  <si>
    <t>Phân tích đặc điểm hình thái thực vật, vi học và thành phần tinh dầu của cây Bạch đàn chanh Eucalyptus citriodora Hook., Myrtaceae</t>
  </si>
  <si>
    <t>Nguyễn Ngọc Băng Như; Lâm Bảo Trân; Nguyễn Huỳnh Như; Trần Nguyễn Nguyên An</t>
  </si>
  <si>
    <t>SH2026-095.png</t>
  </si>
  <si>
    <t>SH2026-096</t>
  </si>
  <si>
    <t>Đánh giá hoạt tính chống oxy hóa, kháng khuẩn, kháng nấm và kháng viêm in vitro của các cao chiết từ lá và quả cây Kim quất [Triphasia trifolia (Burm. f.) P. Wils., họ Cam (Rutaceae)]</t>
  </si>
  <si>
    <t>Cao Đình Khôi; Nguyễn Thị Thủy Tiên; Nguyễn Thị Việt Trinh; Hồ Đắc Khôi Nguyên</t>
  </si>
  <si>
    <t>SH2026-096.png</t>
  </si>
  <si>
    <t>SH2026-097</t>
  </si>
  <si>
    <t>Nghiên cứu ảnh hưởng của NAA, IBA và BAP đến khả năng tạo sẹo từ lá cây Bao Báp (Adansonia digitata L.) trong điều kiện in vitro</t>
  </si>
  <si>
    <t>Nguyễn Thị Thu Em; Nguyễn Vũ Ánh Châu</t>
  </si>
  <si>
    <t>SH2026-097.png</t>
  </si>
  <si>
    <t>SH2026-098</t>
  </si>
  <si>
    <t>Khảo sát sự hiện diện của vi khuẩn tụ cầu trên mụn ủ ở vùng da mặt ở độ tuổi thanh thiếu niên</t>
  </si>
  <si>
    <t>Nguyễn Thị Thanh Tú; Vũ Thị Kim Ngân; Nguyễn Đức Nguyễn</t>
  </si>
  <si>
    <t>SH2026-098.png</t>
  </si>
  <si>
    <t>SH2026-099</t>
  </si>
  <si>
    <t>Đánh giá các thuộc tính lợi khuẩn và khả năng lên men glucose của Enterococcus faecium TD2</t>
  </si>
  <si>
    <t>Nguyễn Tường Vi; Huỳnh Thị Xuân Thùy; Võ Minh Huy</t>
  </si>
  <si>
    <t>SH2026-099.png</t>
  </si>
  <si>
    <t>SH2026-100</t>
  </si>
  <si>
    <t>Đánh giá hàm lượng hợp chất sinh học và khả năng kháng viêm, kháng MRSA của các cao phân đoạn từ cỏ vòi voi (Heliotropium indicum)</t>
  </si>
  <si>
    <t>Vũ Ngọc Gia Hân; Nguyễn Hà Thảo Vy; Đinh Thị Lan Trâm; Diệp Hân Hân; Khang Nguyễn Gia Bảo</t>
  </si>
  <si>
    <t>SH2026-100.png</t>
  </si>
  <si>
    <t>SH2026-101</t>
  </si>
  <si>
    <t>Nghiên cứu cơ chế kháng Streptococcus mutans của các cao chiết và cao phân đoạn từ lá cây trứng cá (Muntingia calabura)</t>
  </si>
  <si>
    <t>Trần Lê Ngọc Khang; Huỳnh Quốc Anh; Phạm Võ Minh Thư; Nguyễn Kim Quỳnh Anh; Đỗ Huỳnh Phương Nhi</t>
  </si>
  <si>
    <t>SH2026-101.png</t>
  </si>
  <si>
    <t>SH2026-102</t>
  </si>
  <si>
    <t>Sàng lọc và đánh giá khả năng kiểm soát sinh học của xạ khuẩn phân lập từ cây sâm Việt Nam</t>
  </si>
  <si>
    <t>Nguyễn Công Minh</t>
  </si>
  <si>
    <t>SH2026-102.png</t>
  </si>
  <si>
    <t>SH2026-103</t>
  </si>
  <si>
    <t>Khảo sát hoạt tính kháng khuẩn và ức chế tyrosinase của bã dược liệu họ Zingiberaceae lên men bởi lactobacillus plantarum</t>
  </si>
  <si>
    <t>Lâm Bội Oanh; Nguyễn Thanh Ngân; Bùi Nguyễn Khánh Vy; Trương Tấn Đạt; Lê Phạm Thị Ngọc Trâm</t>
  </si>
  <si>
    <t>SH2026-103.png</t>
  </si>
  <si>
    <t>SH2026-104</t>
  </si>
  <si>
    <t>tuyển chọn các chủng xạ khuẩn chịu mặn có khả năng sinh tổng hợp cellulase từ đất nhiễm mặn ở tỉnh vĩnh long</t>
  </si>
  <si>
    <t>Nguyễn Huỳnh Bích Du</t>
  </si>
  <si>
    <t>SH2026-104.png</t>
  </si>
  <si>
    <t>SH2026-105</t>
  </si>
  <si>
    <t>Đánh giá độ ổn định của một số vi sinh vật chuẩn qua các lần cấy chuyển</t>
  </si>
  <si>
    <t>Nguyễn Hoàng Thiên Ân; Kim Hoàng Ánh Dương; Chiêm Hoàng Khang; Trần Thị Thùy Linh</t>
  </si>
  <si>
    <t>SH2026-105.png</t>
  </si>
  <si>
    <t>SH2026-106</t>
  </si>
  <si>
    <t>Phân lập, định danh nấm bẫy tuyến trùng (Nematode trapping fungi) ở các vườn trồng chuối già nam mỹ (Musa acuminata cavendish) thuộc xã Bàu Hàm, tỉnh Đồng Nai</t>
  </si>
  <si>
    <t>Phạm Thị Hồng Hạnh; Nguyễn Phương Thảo</t>
  </si>
  <si>
    <t>SH2026-106.png</t>
  </si>
  <si>
    <t>SH2026-107</t>
  </si>
  <si>
    <t>Đánh giá tác động hiệp đồng của năm loại tinh dầu chọn lọc và hai loại kháng sinh ampicillin, tetracycline lên chủng V. parahaemolyticus đa kháng phân lập từ tôm bệnh</t>
  </si>
  <si>
    <t>Trần Phan Ngọc Bảo Trâm</t>
  </si>
  <si>
    <t>SH2026-107.png</t>
  </si>
  <si>
    <t>SH2026-108</t>
  </si>
  <si>
    <t>Phân lập và đánh giá hoạt tính sinh học của một số chủng vi khuẩn, nấm nội sinh từ rễ, lá của cây Gai Ma Vương (Tribulus terrestris L.) ở khu vực phía Nam ở tỉnh Lâm Đồng</t>
  </si>
  <si>
    <t>Nguyễn Thị Thu Hiền</t>
  </si>
  <si>
    <t>SH2026-108.png</t>
  </si>
  <si>
    <t>SH2026-109</t>
  </si>
  <si>
    <t>Nghiên cứu địa y Pyrenula sp. và nấm cộng sinh nuôi cấy in vitro làm cơ sở cho định hướng khai thác bền vững nguồn nguyên liệu có hoạt tính sinh học</t>
  </si>
  <si>
    <t>Trương Minh Anh; Lê Ngọc An</t>
  </si>
  <si>
    <t>SH2026-109.png</t>
  </si>
  <si>
    <t>SH2026-110</t>
  </si>
  <si>
    <t>Nghiên cứu sản xuất chế phẩm sinh học từ phụ phẩm phục vụ sản xuất nông nghiệp hữu cơ tuần hoàn</t>
  </si>
  <si>
    <t>Trần Thị Tâm; Lương Trà My; Đào Lê Thùy Dương; Lương Ngọc Lan</t>
  </si>
  <si>
    <t>Trường Đại học Nông Lâm, Đại học Thái Nguyên</t>
  </si>
  <si>
    <t>SH2026-110.png</t>
  </si>
  <si>
    <t>SH2026-111</t>
  </si>
  <si>
    <t>Nghiên cứu phát triển chế phẩm sinh học từ vi nấm Trichoderma Asperellum và tiềm năng ứng dụng trong phục hồi sinh học đất</t>
  </si>
  <si>
    <t>Nguyễn Ngọc Vân Anh; Phạm Khánh Linh; Vũ Hoài Thanh; Trương Vĩnh Khang</t>
  </si>
  <si>
    <t>SH2026-111.png</t>
  </si>
  <si>
    <t>QHKT2026-001</t>
  </si>
  <si>
    <t>Quy hoạch, Kiến trúc và Xây dựng</t>
  </si>
  <si>
    <t>ỨNG DỤNG SPACE SYNTAX TRONG ĐÁNH GIÁ VÀ PHÂN TÍCH CẤU TRÚC KHÔNG GIAN NHẰM TĂNG TÍNH TIỆN NGHI TRONG CĂN HỘ CHUNG CƯ CAO TẦNG Ở TP. HCM</t>
  </si>
  <si>
    <t>Nguyễn Thị Xuân Mai; Cao Thị Bích Nhi; Nguyễn Phúc Quý Châu</t>
  </si>
  <si>
    <t>QHKT2026-001.png</t>
  </si>
  <si>
    <t>QHKT2026-002</t>
  </si>
  <si>
    <t>ĐÁNH GIÁ HIỆU QUẢ CỦA KẾT CẤU CHE NẮNG HIỆN TRẠNG TRONG KIẾN TRÚC</t>
  </si>
  <si>
    <t>Nguyễn Bùi Ngọc Dung; Trần Duy Lợi; Nguyễn Thị Thúy Duyên</t>
  </si>
  <si>
    <t>QHKT2026-002.png</t>
  </si>
  <si>
    <t>QHKT2026-003</t>
  </si>
  <si>
    <t>Khảo sát hiện trạng nhà máy xe lửa Dĩ An, đề xuất giải pháp bảo tồn si sản kiến trúc công nghiệp.</t>
  </si>
  <si>
    <t>Trần Thảo Ly; Trần Quốc Tưởng</t>
  </si>
  <si>
    <t>QHKT2026-003.png</t>
  </si>
  <si>
    <t>QHKT2026-004</t>
  </si>
  <si>
    <t>Đề xuất giải pháp kiến trúc trị liệu nhằm nâng cao khả năng phục hồi tinh thần trong môi trường học đường.</t>
  </si>
  <si>
    <t>Thái Trần Ngọc Minh; Nguyễn Thành Quân; Huỳnh Mỹ Thanh</t>
  </si>
  <si>
    <t>QHKT2026-004.png</t>
  </si>
  <si>
    <t>QHKT2026-005</t>
  </si>
  <si>
    <t>Ứng dụng trí tuệ nhân tạo trong thiết kế kiến trúc nhà sơ tán chống lũ - Trường hợp nghiên cứu tại xã Đông Hòa</t>
  </si>
  <si>
    <t>Nguyễn Thị Kim Ngân; Phạm Thanh Tiên; Nguyễn Thị Thuyên Nhã</t>
  </si>
  <si>
    <t>QHKT2026-005.png</t>
  </si>
  <si>
    <t>QHKT2026-006</t>
  </si>
  <si>
    <t>ĐÁNH GIÁ ẢNH HƯỞNG NỒNG ĐỘ CO2 TRONG VIỆC XÂY DỰNG BIỂU ĐỒ SINH KHÍ HẬU VỀ CẢM NHẬN NHIỆT TẠI TP.HCM</t>
  </si>
  <si>
    <t>Võ Tuấn Anh; Lê Nguyễn Thiên Thanh; Nguyễn Hữu Quốc Vương</t>
  </si>
  <si>
    <t>QHKT2026-006.png</t>
  </si>
  <si>
    <t>QHKT2026-007</t>
  </si>
  <si>
    <t>Nghiên cứu mô hình thiết bị đón gió dựa trên nguyên lý Venturi để giảm nhiệt độ không khí đầu vào trong điều kiện khí hậu nhiệt đới gió mùa- áp dụng cho công trình thấp tầng</t>
  </si>
  <si>
    <t>Nguyễn Văn Minh; Nguyễn Gia Hân</t>
  </si>
  <si>
    <t>QHKT2026-007.png</t>
  </si>
  <si>
    <t>QHKT2026-008</t>
  </si>
  <si>
    <t>Bảo tồn và phát huy giá trị di tích chùa Bửu Phong trong bối cảnh ngày nay</t>
  </si>
  <si>
    <t>Nguyễn Thị Bảo Vy; Nguyễn Thị Ngọc Huyền; Nguyễn Thị Trà My; Giang Cảnh Tuấn</t>
  </si>
  <si>
    <t>QHKT2026-008.png</t>
  </si>
  <si>
    <t>QHKT2026-009</t>
  </si>
  <si>
    <t>Thực trạng và khả năng ứng dụng trí tuệ nhân tạo trong đồ án sinh viên ngành Kiến trúc Trường Đại học Kiến trúc TP.HCM</t>
  </si>
  <si>
    <t>Nguyễn Mỹ Vân Anh; Phạm Hải Anh; Võ Thị Kiều Diễm</t>
  </si>
  <si>
    <t>QHKT2026-009.png</t>
  </si>
  <si>
    <t>QHKT2026-010</t>
  </si>
  <si>
    <t>Kiến trúc nhà ở thích ứng biến đổi khí hậu vùng ngập nước Hồng Ngự, Đồng Tháp: mô hình nhà sàn lưỡng cư</t>
  </si>
  <si>
    <t>Nguyễn Thị Thùy Duyên; Nguyễn Khánh Vy</t>
  </si>
  <si>
    <t>QHKT2026-010.png</t>
  </si>
  <si>
    <t>QHKT2026-011</t>
  </si>
  <si>
    <t>Giữ gìn, phát huy giá trị bản sắc văn hóa kiến trúc chùa Khmer An Giang trong bối cảnh phát triển mới</t>
  </si>
  <si>
    <t>Trần Triệu Minh; Lê Đoan Bảo Nghi; Nguyễn Khánh Vy</t>
  </si>
  <si>
    <t>QHKT2026-011.png</t>
  </si>
  <si>
    <t>QHKT2026-012</t>
  </si>
  <si>
    <t>Nghiên cứu hình thức mặt đứng kiến trúc các ga trung tâm đường sắt thời kỳ 1880–1954 tại Việt Nam.</t>
  </si>
  <si>
    <t>Phan Đặng Phú An; Phan Ngọc Khánh Linh; Nguyễn Thị Diễm Quỳnh; Lê Thị Yến Trang</t>
  </si>
  <si>
    <t>QHKT2026-012.png</t>
  </si>
  <si>
    <t>QHKT2026-013</t>
  </si>
  <si>
    <t>Đề xuất bộ tiêu chí đánh giá giải pháp ứng dụng cảnh quan sân vườn trong nhà phố phù hợp với đặc điểm tính cách người hướng nội nhằm góp phần cải thiện chất lượng sống của người dân Thành phố Hồ Chí Minh</t>
  </si>
  <si>
    <t>Trần Đỗ Diệu My; Trương Nguyễn Minh Ánh</t>
  </si>
  <si>
    <t>QHKT2026-013.png</t>
  </si>
  <si>
    <t>QHKT2026-014</t>
  </si>
  <si>
    <t>Giải pháp thiết kế không gian cộng đồng trong viện dưỡng lão tư nhân cho người trên 65 tuổi nhằm nâng cao đời sống tinh thần ở TP. HCM</t>
  </si>
  <si>
    <t>Huỳnh Hồ Mỹ Tâm; Lâm Nhu Liễu; Võ Nguyễn Anh Thư</t>
  </si>
  <si>
    <t>QHKT2026-014.png</t>
  </si>
  <si>
    <t>QHKT2026-015</t>
  </si>
  <si>
    <t>Tre truyền thống: Giải pháp xanh cho công trình kiến trúc nhỏ trong bối cảnh đô thị hóa tại TP. HCM</t>
  </si>
  <si>
    <t>Đinh Bình Phương Anh; Trần Thị Anh Thư; Nguyễn Hoàng Minh Tú; Nguyễn Nguyễn Anh Trúc</t>
  </si>
  <si>
    <t>QHKT2026-015.png</t>
  </si>
  <si>
    <t>QHKT2026-016</t>
  </si>
  <si>
    <t>Đề xuất quy trình thực hiện đồ án chuyên ngành kiến trúc có nghiên cứu khai thác yếu tố bản địa nhằm nâng cao tính truyền thống trong thiết kế</t>
  </si>
  <si>
    <t>Hà Linh Vy; Nguyễn Linh Thùy; Nguyễn Đăng Huy</t>
  </si>
  <si>
    <t>QHKT2026-016.png</t>
  </si>
  <si>
    <t>QHKT2026-017</t>
  </si>
  <si>
    <t>NGHIÊN CỨU TỔ CHỨC KHÔNG GIAN KIẾN TRÚC VÀ KHẢ NĂNG THÍCH ỨNG CỦA CHỢ TRUYỀN THỐNG TRONG BỐI CẢNH ĐÔ THỊ ĐƯƠNG ĐẠI</t>
  </si>
  <si>
    <t>Lê Thùy Trang; Trần Kha; Nguyễn Minh Thuận</t>
  </si>
  <si>
    <t>QHKT2026-017.png</t>
  </si>
  <si>
    <t>QHKT2026-018</t>
  </si>
  <si>
    <t>Giải pháp kiến trúc tích hợp công nghệ xanh trong tổ chức không gian tập kết và trung chuyển rác thải sinh hoạt tại phường Cửa Nam, thành phố Hà Nội</t>
  </si>
  <si>
    <t>Phạm Minh Hoàng; Bùi Ngọc Trân; Nguyễn Chí Đình Sang; Lê Hoàng Hải Đăng</t>
  </si>
  <si>
    <t>QHKT2026-018.png</t>
  </si>
  <si>
    <t>QHKT2026-019</t>
  </si>
  <si>
    <t>Tổ chức không gian trải nghiệm đa giác quan tích hợp công nghệ số tại làng gốm Phù Lãng tỉnh Bắc Ninh</t>
  </si>
  <si>
    <t>Nguyễn Quỳnh Thy; Đào Hồng Ngọc; Nguyễn Thị Hồng Nhung</t>
  </si>
  <si>
    <t>QHKT2026-019.png</t>
  </si>
  <si>
    <t>QHKT2026-020</t>
  </si>
  <si>
    <t>Sổ tay hướng dẫn ký họa cơ bản dành cho sinh viên Kiến trúc Trường Đại học Xây dựng Miền Tây</t>
  </si>
  <si>
    <t>Phạm Trí Nhân; Võ Phương Thảo; Phạm Ngọc Tuyền</t>
  </si>
  <si>
    <t>Trường Đại học Xây dựng Miền Tây</t>
  </si>
  <si>
    <t>QHKT2026-020.png</t>
  </si>
  <si>
    <t>QHKT2026-021</t>
  </si>
  <si>
    <t>Kiến tạo không gian đường phố lấy cảm hứng từ mô hình Siêu ô phố (Superblock) thân thiện với người đi bộ tại khu vực trung tâm đô thị, áp dụng tại một phần phường Sài Gòn, TP.HCM</t>
  </si>
  <si>
    <t>Phạm Tấn Phúc; Đặng Nguyễn Khánh Vy; Nguyễn Quốc Thịnh; Trương Ngọc Kim Ngân</t>
  </si>
  <si>
    <t>QHKT2026-021.png</t>
  </si>
  <si>
    <t>QHKT2026-022</t>
  </si>
  <si>
    <t>XÂY DỰNG CÁC KỊCH BẢN THIẾT KẾ GIẢI PHÁP DỰA VÀO TỰ NHIÊN (NBS) THÍCH ỨNG VỚI HÌNH THÁI KHOẢNG TRỐNG ĐÔ THỊ NHẰM TỐI ƯU HÓA KHẢ NĂNG LÀM MÁT TẠI CÁC KHU VỰC NGHIÊN CỨU ĐIỂN HÌNH CHO THÀNH PHỐ HỒ CHÍ MINH</t>
  </si>
  <si>
    <t>Trần Thanh Phát; Nguyễn Trần Khải Hân; Nguyễn Ngọc Thiên Thanh; Chung Kha Nhi</t>
  </si>
  <si>
    <t>QHKT2026-022.png</t>
  </si>
  <si>
    <t>QHKT2026-023</t>
  </si>
  <si>
    <t>RECONCEPTUALIZING WALKABILITY THROUGH VISUAL-THERMAL DISSONANCE: A GEOAI FRAMEWORK FOR MOTORCYCLE-DOMINANT TROPICAL STREETSCAPES IN HO CHI MINH CITY</t>
  </si>
  <si>
    <t>Nguyễn Đức Minh; Trần Thanh Phát</t>
  </si>
  <si>
    <t>QHKT2026-023.png</t>
  </si>
  <si>
    <t>QHKT2026-024</t>
  </si>
  <si>
    <t>THE EFFECT OF HOUSING PLANNING PERIOD STARTS ON AFFORDABLE HOUSING PERMITTING: EVIDENCE FROM CALIFORNIA</t>
  </si>
  <si>
    <t>Vũ Hoài Hương; Đỗ Khải; Lê Nguyễn Thục Oanh</t>
  </si>
  <si>
    <t>QHKT2026-024.png</t>
  </si>
  <si>
    <t>QHKT2026-025</t>
  </si>
  <si>
    <t>Ứng dụng GIS và trí tuệ nhân tạo vào quá trình đánh giá quỹ đất xây dựng trong lập đồ án quy hoach chi tiết.</t>
  </si>
  <si>
    <t>Nguyễn Thị Quỳnh Anh; Hà Minh Ngọc; Đào Minh Quang; Nguyễn Đăng Khoa</t>
  </si>
  <si>
    <t>QHKT2026-025.png</t>
  </si>
  <si>
    <t>QHKT2026-026</t>
  </si>
  <si>
    <t>Nghiên cứu khai thác giá trị văn hoá vùng Tây Nguyên vào tổ chức không gian kiến trúc cảnh quan công cộng Buôn Đôn, Đắk Lắk</t>
  </si>
  <si>
    <t>Dương Thị Bình; Quách Minh Ngọc; Trần Minh Đức</t>
  </si>
  <si>
    <t>QHKT2026-026.png</t>
  </si>
  <si>
    <t>QHKT2026-027</t>
  </si>
  <si>
    <t>Mạng không gian nhà ở xã hội trợ giúp đánh giá quy hoạch: Case study chuỗi khu đô thị mới phía Bắc sông Hồng</t>
  </si>
  <si>
    <t>Lê Thị Lan Nhi; Hoàng Duy Anh; Bùi Dương Vân Trang; Nguyễn Hương Giang; Phạm Thị Hiền</t>
  </si>
  <si>
    <t>QHKT2026-027.png</t>
  </si>
  <si>
    <t>QHKT2026-028</t>
  </si>
  <si>
    <t>FROM MICRODISTRICTS TO NEW URBAN AREAS: THE TRANSFORMATION OF PUBLIC HOUSING PLANNING IN HANOI, 1954 - 2025</t>
  </si>
  <si>
    <t>Bùi Dương Vân Trang; Lê Thị Hoa; Hoàng Duy Anh; Phạm Thị Hiền; Nguyễn Hương Giang</t>
  </si>
  <si>
    <t>QHKT2026-028.png</t>
  </si>
  <si>
    <t>QHKT2026-029</t>
  </si>
  <si>
    <t>Sự thay đổi hình thái không gian và suy giảm ký ức nơi chốn cộng đồng trong bối cảnh đô thị hóa: Nghiên cứu trường hợp phường Lái Thiêu, Thành phố Hồ Chí Minh</t>
  </si>
  <si>
    <t>Nguyễn Cửu Quỳnh Hương; Nguyễn Ngọc Thùy Linh; Biện Gia Ngọc</t>
  </si>
  <si>
    <t>QHKT2026-029.png</t>
  </si>
  <si>
    <t>QHKT2026-030</t>
  </si>
  <si>
    <t>Nghiên cứu định hướng tổ chức không gian nông nghiệp trong quá trình đô thị hóa tại xã Bình Mỹ, Thành phố Hồ Chí Minh</t>
  </si>
  <si>
    <t>Nguyễn Nguyên Phương; Cao Đăng Khôi; Phan Thị Ngọc Hân; Lê Thảo Nguyên; Dương Bảo Tiên</t>
  </si>
  <si>
    <t>QHKT2026-030.png</t>
  </si>
  <si>
    <t>QHKT2026-031</t>
  </si>
  <si>
    <t>Nghiên cứu ứng dụng giải pháp nội thất mô-đun cho nhà ở xã hội loại hình chung cư tại đô thị Hà Nội</t>
  </si>
  <si>
    <t>Đinh Ngọc Huy; Nguyễn Ngọc Quý</t>
  </si>
  <si>
    <t>QHKT2026-031.png</t>
  </si>
  <si>
    <t>QHKT2026-032</t>
  </si>
  <si>
    <t>Nghiên cứu sử dụng cọc CFG trong xử lý nền đất yếu cho đường sắt tốc độ cao</t>
  </si>
  <si>
    <t>Nguyễn Sỹ Phi Dương; Trần Quang Huy</t>
  </si>
  <si>
    <t>QHKT2026-032.png</t>
  </si>
  <si>
    <t>QHKT2026-033</t>
  </si>
  <si>
    <t>Tổ chức công năng và giải pháp nội thất cho không gian ở có diện tích nhỏ hẹp tại Hà Nội</t>
  </si>
  <si>
    <t>Bùi Quang Huy; Nguyễn Ngọc Anh; Mai Văn Bằng; Tạ Ngọc Dương</t>
  </si>
  <si>
    <t>QHKT2026-033.png</t>
  </si>
  <si>
    <t>QHKT2026-034</t>
  </si>
  <si>
    <t>Nghiên cứu tổ chức không gian hành lang sinh thái cho khu vực nuôi trồng thủy sản tại xã An Thới Đông, TP.HCM</t>
  </si>
  <si>
    <t>Nguyễn Minh Triết; Nguyễn Đàm Mỹ Xuân</t>
  </si>
  <si>
    <t>QHKT2026-034.png</t>
  </si>
  <si>
    <t>QHKT2026-035</t>
  </si>
  <si>
    <t>Thiết kế mô hình RAINERGY BUS STATION</t>
  </si>
  <si>
    <t>Nguyễn Mạnh Được</t>
  </si>
  <si>
    <t>QHKT2026-035.png</t>
  </si>
  <si>
    <t>QHKT2026-036</t>
  </si>
  <si>
    <t>Ứng dụng thiết kế trải nghiệm người dùng (UX Design) vào việc phân bố các cụm chức năng thương mại và kết nối cộng đồng trong nhà Ga Metro ở TP.HCM</t>
  </si>
  <si>
    <t>Phạm Mai Loan; Nguyễn Trần Nguyên Thảo; Trương Thụy Bảo Châu</t>
  </si>
  <si>
    <t>QHKT2026-036.png</t>
  </si>
  <si>
    <t>QHKT2026-037</t>
  </si>
  <si>
    <t>Nghiên cứu ảnh hưởng của môi trường đường phố xung quanh khu vực nhà ga Metro đến khả năng đi bộ của người sử dụng Metro tại TP. Hồ Chí Minh.</t>
  </si>
  <si>
    <t>Phạm Trần Anh Vũ; Nguyễn Thị Thu Công; Huỳnh Văn Nhân; Đỗ Thanh Triệu; Hồ Thế Anh</t>
  </si>
  <si>
    <t>QHKT2026-037.png</t>
  </si>
  <si>
    <t>QHKT2026-038</t>
  </si>
  <si>
    <t>MÔ HÌNH MẠNG NƠ-RON NHÂN TẠO ĐỂ DỰ ĐOÁN CƯỜNG ĐỘ CHỊU LỰC CỦA BÊ TÔNG CƯỜNG ĐỘ CAO</t>
  </si>
  <si>
    <t>Phan Nguyễn Hồng Quân; Lê Thị Long</t>
  </si>
  <si>
    <t>QHKT2026-038.png</t>
  </si>
  <si>
    <t>QHKT2026-039</t>
  </si>
  <si>
    <t>TẬN DỤNG TRO BAY KẾT HỢP TRO ĐÁY ĐỂ THAY THẾ MỘT PHẦN CÁT TỚI ĐỘ BỀN CỦA VỮA XI MĂNG</t>
  </si>
  <si>
    <t>Đàm Thanh Huy; Lê Nguyễn Minh Châu</t>
  </si>
  <si>
    <t>QHKT2026-039.png</t>
  </si>
  <si>
    <t>QHKT2026-040</t>
  </si>
  <si>
    <t>"DEVELOPING A CITY-SPECIFIC METHODOLOGY FOR WALKABILITY DETERMINANTS THROUGH A PARTICIPATORY APPROACH"</t>
  </si>
  <si>
    <t>Bùi Ngọc Minh Thy; Nguyễn Trần Linh Như; Trần Hoàng Kim Thảo</t>
  </si>
  <si>
    <t>QHKT2026-040.png</t>
  </si>
  <si>
    <t>QHKT2026-041</t>
  </si>
  <si>
    <t>"NGHIÊN CỨU ỨNG DỤNG PHOTOVOICE - GIS NHẬN DIỆN ĐIỂM NGHẼN VI MÔ VÀ ƯU TIÊN CAN THIỆP DI CHUYỂN THÔNG MINH, BAO TRÙM TẠI THÀNH PHỐ HỒ CHÍ MINH "</t>
  </si>
  <si>
    <t>Nguyễn Lê Chiêu Quân; Hà Minh Thư; Lê Thị Kim Nga</t>
  </si>
  <si>
    <t>QHKT2026-041.png</t>
  </si>
  <si>
    <t>QHKT2026-042</t>
  </si>
  <si>
    <t>Nghiên cứu đánh giá các phương án nút giao ở TP Hồ Chí Minh trên cơ sở xem xét mức hiệu quả kinh tế - kỹ thuật</t>
  </si>
  <si>
    <t>Trần Đức Phú; Võ Thị Kim Trúc; Phạm Ngọc Phương Anh; Phạm Nguyễn Hoàng Thanh</t>
  </si>
  <si>
    <t>QHKT2026-042.png</t>
  </si>
  <si>
    <t>QHKT2026-043</t>
  </si>
  <si>
    <t>Nghiên cứu, lựa chọn loại nút giao thông phù hợp với giao thông Việt Nam</t>
  </si>
  <si>
    <t>Trần Đức Phú; Võ Thị Kim Trúc; Phạm Ngọc Phương Anh; Vũ Nguyễn Minh Anh; Ngũ Thanh Tuyền</t>
  </si>
  <si>
    <t>QHKT2026-043.png</t>
  </si>
  <si>
    <t>QHKT2026-044</t>
  </si>
  <si>
    <t>Ứng dụng GIS trong bảo tồn và phát huy giá trị di sản môi trường xây dựng (Built Heritage) ven sông Tô Lịch - trường hợp nghiên cứu làng Hạ Yên Quyết, phường Yên Hòa, Hà Nội.</t>
  </si>
  <si>
    <t>Trần Ánh Ngọc; Phạm Thúy An</t>
  </si>
  <si>
    <t>QHKT2026-044.png</t>
  </si>
  <si>
    <t>QHKT2026-045</t>
  </si>
  <si>
    <t>Đánh giá khả năng tiếp cận các cơ sở y tế theo mô hình đô thị 15 phút bằng GIS - Trường hợp nghiên cứu tại phường Sài Gòn, Thành phố Hồ Chí Minh.</t>
  </si>
  <si>
    <t>Đặng Thị Thùy Trang; Huỳnh Hoàng Luân; Trần Ngọc Cát Tường</t>
  </si>
  <si>
    <t>QHKT2026-045.png</t>
  </si>
  <si>
    <t>QHKT2026-046</t>
  </si>
  <si>
    <t>Ứng dụng webgis trong phân tích chênh lệch không gian về hạ tầng số và mức độ chuyển đổi số giữa các vùng kinh tế việt nam</t>
  </si>
  <si>
    <t>Lê Ngọc Phương Thư; Hàng Nhựt Long</t>
  </si>
  <si>
    <t>QHKT2026-046.png</t>
  </si>
  <si>
    <t>QHKT2026-047</t>
  </si>
  <si>
    <t>Xây dựng khung tiêu chí nhận diện chợ tự phát trong bối cảnh quản lý đô thị tại Thành phố Hồ Chí Minh.</t>
  </si>
  <si>
    <t>Lê Ngọc Trúc; Lê Huỳnh Uyên Phương; Nguyễn Huỳnh Thảo Nguyên; Mai Thị Cẩm Tú; Trần Nguyễn Phương Nhi</t>
  </si>
  <si>
    <t>QHKT2026-047.png</t>
  </si>
  <si>
    <t>QHKT2026-048</t>
  </si>
  <si>
    <t>Đề xuất giải pháp giải pháp quản lý – cải tạo mạng lưới đường hẻm phường Thạnh Mỹ Tây – Thành phố Hồ Chí Minh</t>
  </si>
  <si>
    <t>Nguyễn Mai Ngọc Linh; Phan Thị Phương Thảo; Nguyễn Thị Thục Quyên; Hồ Quốc Thiện</t>
  </si>
  <si>
    <t>QHKT2026-048.png</t>
  </si>
  <si>
    <t>QHKT2026-049</t>
  </si>
  <si>
    <t>Đánh giá tiềm năng và đề xuất giải pháp cải tạo các khu nhà trọ cũ thành mô hình Co-living hiện đại nhằm phát triển không gian đô thị tại Thành phố Hồ Chí Minh</t>
  </si>
  <si>
    <t>Nguyễn Thị Minh Thư; Nguyễn Ngọc Mai Thy; Trần Thị Minh Nguyệt; Nguyễn Trần Trúc Quỳnh; Nguyễn Ngọc Anh Thư</t>
  </si>
  <si>
    <t>QHKT2026-049.png</t>
  </si>
  <si>
    <t>QHKT2026-050</t>
  </si>
  <si>
    <t>Ứng dụng học máy trong giám sát mảng xanh đô thị khu vực Thủ Dầu Một (cũ) giai đoạn 2000-2024</t>
  </si>
  <si>
    <t>Võ Thị Kim Anh; Phạm Trần Minh Quân; Bùi Nam Sang; Trần Khánh Linh</t>
  </si>
  <si>
    <t>QHKT2026-050.png</t>
  </si>
  <si>
    <t>QHKT2026-051</t>
  </si>
  <si>
    <t>Tái chế gạch đất sét nung trong hỗn hợp geopolymer - giải pháp xây dựng bền vững</t>
  </si>
  <si>
    <t>Trần Ngọc Thanh; Lâm Chí Bảo; Thwe Thwe Oo</t>
  </si>
  <si>
    <t>QHKT2026-051.png</t>
  </si>
  <si>
    <t>QHKT2026-052</t>
  </si>
  <si>
    <t>Nghiên cứu tái chế mật rỉ (phế phẩm nông nghiệp) làm phụ gia sản xuất vật liệu xây dựng.</t>
  </si>
  <si>
    <t>Đinh Hải Đăng; Nguyễn Phúc Huy; Nguyễn Thạch Tấn Thành</t>
  </si>
  <si>
    <t>QHKT2026-052.png</t>
  </si>
  <si>
    <t>QHKT2026-053</t>
  </si>
  <si>
    <t>PHÁT TRIỂN TOOLBOX PHÂN TÍCH TÍNH TOÁN DẦM MỘT NHỊP VỚI MATLAB GUI</t>
  </si>
  <si>
    <t>Nguyễn Duy; Võ Xuân Chiến; Trương Minh Thuận</t>
  </si>
  <si>
    <t>QHKT2026-053.png</t>
  </si>
  <si>
    <t>QHKT2026-054</t>
  </si>
  <si>
    <t>Khảo sát và đánh giá tiềm năng sử dụng đất địa phương trong chế tạo gạch không nung tại Gia Lai phục vụ xây dựng bền vững</t>
  </si>
  <si>
    <t>Trần Ngọc Vũ; Trần Văn Vũ; Võ Công Trí; Trần Quang Huy; Võ Lê Trọng Lanh</t>
  </si>
  <si>
    <t>QHKT2026-054.png</t>
  </si>
  <si>
    <t>QHKT2026-055</t>
  </si>
  <si>
    <t>Nghiên cứu ứng dụng dung dịch nano-silica điều chế từ tro trấu trong gia cố bền vững cát biển Cần Giờ</t>
  </si>
  <si>
    <t>Phạm Nguyễn Kim Tuyền; Nguyễn Thị Lan Anh; Võ Thái An</t>
  </si>
  <si>
    <t>QHKT2026-055.png</t>
  </si>
  <si>
    <t>QHKT2026-056</t>
  </si>
  <si>
    <t>Phân tích gia tốc đỉnh mái của nhà cao tầng CLT–thép chịu tác động gió</t>
  </si>
  <si>
    <t>Lê Bá Thành; Bùi Ngọc Lan Linh</t>
  </si>
  <si>
    <t>QHKT2026-056.png</t>
  </si>
  <si>
    <t>QHKT2026-057</t>
  </si>
  <si>
    <t>Phân tích dao động riêng của công trình cao tầng sử dụng hệ kết cấu CLT-thép</t>
  </si>
  <si>
    <t>Lê Ngọc Hải Triều; Phạm Minh Hùng</t>
  </si>
  <si>
    <t>QHKT2026-057.png</t>
  </si>
  <si>
    <t>QHKT2026-058</t>
  </si>
  <si>
    <t>Ảnh hưởng vị trí hệ Outrigger - Belt Truss đến độ cứng ngang và tần số dao động riêng của nhà cao tầng</t>
  </si>
  <si>
    <t>Kiều Trần Thu Ngân; Lê Thị Ngọc Anh</t>
  </si>
  <si>
    <t>QHKT2026-058.png</t>
  </si>
  <si>
    <t>QHKT2026-059</t>
  </si>
  <si>
    <t>ỨNG XỬ PHI TUYẾN CỦA NHÀ CAO TẦNG BÊ TÔNG CỐT THÉP CÓ XÉT ĐẾN SỰ SUY GIẢM ĐỘ CỨNG DƯỚI TÁC ĐỘNG ĐỘNG ĐẤT</t>
  </si>
  <si>
    <t>Nguyễn Ngọc Hân; Nguyễn Tấn Phát</t>
  </si>
  <si>
    <t>QHKT2026-059.png</t>
  </si>
  <si>
    <t>QHKT2026-060</t>
  </si>
  <si>
    <t>NGHIÊN CỨU ỨNG XỬ SỤP ĐỔ DÂY CHUYỀN CỦA NHÀ CAO TẦNG BẰNG BÊ TÔNG CỐT THÉP DƯỚI KỊCH BẢN LOẠI BỎ NHIỀU CỘT</t>
  </si>
  <si>
    <t>Nguyễn Đức Tuấn; Nguyễn Thanh Tùng</t>
  </si>
  <si>
    <t>QHKT2026-060.png</t>
  </si>
  <si>
    <t>QHKT2026-061</t>
  </si>
  <si>
    <t>NGHIÊN CỨU CHẾ TẠO SẢN PHẨM “ECOLIGHT – TRANH THÔNG MINH TRUYỀN SÁNG” TRÊN CƠ SỞ BÊ TÔNG XANH KẾT HỢP HẠT KÍNH PHẾ THẢI PHỤC VỤ TRANG TRÍ NỘI, NGOẠI THẤT CÔNG TRÌNH</t>
  </si>
  <si>
    <t>Phạm Quang Đạo; Vũ Văn Luyện; Mai Phương Hạnh; Đỗ Duy Khánh; Đỗ Trung Lương</t>
  </si>
  <si>
    <t>Trường Đại học Mỏ Địa chất</t>
  </si>
  <si>
    <t>QHKT2026-061.png</t>
  </si>
  <si>
    <t>QHKT2026-062</t>
  </si>
  <si>
    <t>Nghiên cứu phát triển hệ thống tối ưu hóa chiều dài cọc công trình dựa trên mô hình phân tích tích hợp và các ràng buộc kỹ thuật - kinh tế theo tiêu chuẩn móng cọc 10304:2025</t>
  </si>
  <si>
    <t>Bùi Trường Huy</t>
  </si>
  <si>
    <t>QHKT2026-062.png</t>
  </si>
  <si>
    <t>QHKT2026-063</t>
  </si>
  <si>
    <t>Nghiên cứu ảnh hưởng của các yếu tố đến cường độ, tính chất cơ học của hỗn hợp và sản phẩm xi măng - cát - cao su tái chế (CSR)</t>
  </si>
  <si>
    <t>Lưu Tấn Lợi; Mạc Đức Hùng; Nguyễn Thành Nhân</t>
  </si>
  <si>
    <t>QHKT2026-063.png</t>
  </si>
  <si>
    <t>QHKT2026-064</t>
  </si>
  <si>
    <t>Ứng dụng trợ lý AI trong việc hỗ trợ học tập học phần quản lý dự án xây dựng</t>
  </si>
  <si>
    <t>Hồ Đức Tiến; Nguyễn Quang Thiện; Thạch Quốc Trọng; Phạm Thành Thắng</t>
  </si>
  <si>
    <t>QHKT2026-064.png</t>
  </si>
  <si>
    <t>QHKT2026-065</t>
  </si>
  <si>
    <t>Nghiên cứu sử dụng bùn thải bê tông kết hợp xỉ lò cao nghiền mịn trong chế tạo vữa giảm xi măng</t>
  </si>
  <si>
    <t>Nguyễn Đăng Khôi; Lê Huỳnh Nhật Huy; Nguyễn Hoàng Trí Nhân; Danh Đức Anh</t>
  </si>
  <si>
    <t>QHKT2026-065.png</t>
  </si>
  <si>
    <t>QHKT2026-066</t>
  </si>
  <si>
    <t>Nghiên cứu vữa nhẹ sử dụng vỏ cà phê thay thế một phần cát tự nhiên</t>
  </si>
  <si>
    <t>Nguyễn Văn Đoan; Trần Lê Anh Hào; Trần Quốc Huy; Nguyễn Ngọc Xuân Hiếu</t>
  </si>
  <si>
    <t>QHKT2026-066.png</t>
  </si>
  <si>
    <t>QHKT2026-067</t>
  </si>
  <si>
    <t>Nghiên cứu thành phần và tính chất của chất kết dính geopolymer tính năng cao thân thiện môi trường dựa trên chất hoạt hóa và các phế thải công nghiệp</t>
  </si>
  <si>
    <t>Lê Trịnh Huy; Phạm Kim Hiệu; Nguyễn Bùi Duy Hiếu; Hoàng Nhật Nam; Trần Thanh Phước</t>
  </si>
  <si>
    <t>QHKT2026-067.png</t>
  </si>
  <si>
    <t>QHKT2026-068</t>
  </si>
  <si>
    <t>Phân tích phản ứng động của cầu dầm giản đơn trên tuyến đường sắt tốc độ cao có xét đến tương tác hệ xe và đường ray</t>
  </si>
  <si>
    <t>Nguyễn Thế Anh</t>
  </si>
  <si>
    <t>QHKT2026-068.png</t>
  </si>
  <si>
    <t>QHKT2026-069</t>
  </si>
  <si>
    <t>Nghiên cứu khối lượng thể tích ở trạng thái rời và đầm chặt của cát biển trong xây dựng nền đường cho các dự án trọng điểm tại khu vực Miền Tây Nam Bộ</t>
  </si>
  <si>
    <t>Bùi Thành Đạt; Hồ Thế Anh; Lưu Thị Lan; Phạm Thị Thanh Thuý; Phạm Trần Anh Vũ</t>
  </si>
  <si>
    <t>QHKT2026-069.png</t>
  </si>
  <si>
    <t>QHKT2026-070</t>
  </si>
  <si>
    <t>Nghiên cứu chuyển vị ngang tường vây của hố đào sâu trong điều kiện nền đất sét tự nhiên.</t>
  </si>
  <si>
    <t>Phạm Thị Quỳnh Như; Vũ Thị Nga; Dương Yến Nhi; Lê Thành Sang</t>
  </si>
  <si>
    <t>QHKT2026-070.png</t>
  </si>
  <si>
    <t>QHKT2026-071</t>
  </si>
  <si>
    <t>Ảnh hưởng của nhiệt độ dưỡng hộ đến tính chất của geopolymer từ tro bay, bùn khoáng thải và bột vỏ sò cho ứng dụng hạ tầng tải trọng thấp</t>
  </si>
  <si>
    <t>Huỳnh Xuân Anh; Nguyễn Trường Đông; Trương Văn Sang</t>
  </si>
  <si>
    <t>QHKT2026-071.png</t>
  </si>
  <si>
    <t>QHKT2026-072</t>
  </si>
  <si>
    <t>Giải pháp móng bể chứa dầu-khí sử dụng cọc xi măng đất trộn nông có chiều dài cọc bằng nhau</t>
  </si>
  <si>
    <t>Nguyễn Thành Đạt; Trần Minh Phong; Ngô Thanh Thanh; Võ Hữu Vinh</t>
  </si>
  <si>
    <t>QHKT2026-072.png</t>
  </si>
  <si>
    <t>QHKT2026-073</t>
  </si>
  <si>
    <t>Nghiên cứu tính chất cơ lý của vữa chịu nhiệt độ cao bằng thực nghiệm</t>
  </si>
  <si>
    <t>Võ Hoàng Phương Duy</t>
  </si>
  <si>
    <t>QHKT2026-073.png</t>
  </si>
  <si>
    <t>QHKT2026-074</t>
  </si>
  <si>
    <t>Thiết kế và kiểm định giải pháp dự toán nhanh cho công trình nhà phố bằng hệ số kinh nghiệm vật liệu</t>
  </si>
  <si>
    <t>Nguyễn Trường Anh; Võ Thị Bích Tuyền; Trần Đức Thiện; Lê Huyền Bảo Ngọc; Huỳnh Thị Hòa Lợi</t>
  </si>
  <si>
    <t>QHKT2026-074.png</t>
  </si>
  <si>
    <t>QHKT2026-075</t>
  </si>
  <si>
    <t>PHÂN TÍCH ỨNG XỬ UỐN CỦA TẤM COMPOSITE NHIỀU LỚP SỬ DỤNG PHƯƠNG PHÁP ĐẲNG HÌNH HỌC VÀ LÝ THUYẾT BIẾN DẠNG CẮT BẬC CAO</t>
  </si>
  <si>
    <t>Huỳnh Bá Học; Nguyễn Đức Phát; Ngô Hải Đông; Võ Quý Mạnh; Huỳnh Phước Đô</t>
  </si>
  <si>
    <t>QHKT2026-075.png</t>
  </si>
  <si>
    <t>QHKT2026-076</t>
  </si>
  <si>
    <t>Phân tích rủi ro tiến độ các dự án xây dựng cầu tại khu vực Đồng bằng sông Cửu Long</t>
  </si>
  <si>
    <t>Bùi Mạnh Đức; Trịnh Châu Nguyên Bá</t>
  </si>
  <si>
    <t>QHKT2026-076.png</t>
  </si>
  <si>
    <t>QHKT2026-077</t>
  </si>
  <si>
    <t>Ứng dụng mô hình số Plaxis 3D trong phân tích tải trọng động và xử lý nền đất cho đường sắt tốc độ cao tại Việt Nam</t>
  </si>
  <si>
    <t>Nguyễn Văn Dũng; Hồ Quốc Bảo Quân</t>
  </si>
  <si>
    <t>QHKT2026-077.png</t>
  </si>
  <si>
    <t>QHKT2026-078</t>
  </si>
  <si>
    <t>Phân tích kết cấu BTCT trong điều kiện chịu lửa, sử dụng phần mềm phân tích tiên tiến</t>
  </si>
  <si>
    <t>Ngô Gia Huy; Nguyễn Tiến Thịnh; Nguyễn Đức Tiến; Nguyễn Như Quỳnh; Bùi Quý Anh</t>
  </si>
  <si>
    <t>QHKT2026-078.png</t>
  </si>
  <si>
    <t>QHKT2026-079</t>
  </si>
  <si>
    <t>Nghiên cứu ảnh hưởng của độ pH đến cường độ chịu nén một trục nở hông của cọc đất xi măng tại xã Bình Khánh, thành phố Hồ Chí Minh</t>
  </si>
  <si>
    <t>Trần Thị Kim Ngọc; Phạm Minh Trường; Trần Hoàng Hân; Lê Hoàng Quang Vinh</t>
  </si>
  <si>
    <t>QHKT2026-079.png</t>
  </si>
  <si>
    <t>QHKT2026-080</t>
  </si>
  <si>
    <t>Phân tích lựa chọn mua và thuê nhà ở của người trẻ tại Thành phố Hồ Chí Minh</t>
  </si>
  <si>
    <t>Nguyễn Thanh Trúc; Nguyễn Đỗ Hồng Đức</t>
  </si>
  <si>
    <t>QHKT2026-080.png</t>
  </si>
  <si>
    <t>QHKT2026-081</t>
  </si>
  <si>
    <t>Nghiên cứu ứng dụng phần mềm Ansys trong phân tích tính toán hệ dàn</t>
  </si>
  <si>
    <t>Mai Thị Hương Giang; Phùng Duy Điền; Nguyễn Thành Đô; Vũ Đức Hoàng</t>
  </si>
  <si>
    <t>QHKT2026-081.png</t>
  </si>
  <si>
    <t>QHKT2026-082</t>
  </si>
  <si>
    <t>Ứng dụng phần mềm quản lý dự án MS Project trong việc lập và kiểm soát tiến độ thi công nhà cao tầng tại Việt Nam và đề xuất cách tự động tính toán các hệ số k1 và k2 khi lập tiến độ</t>
  </si>
  <si>
    <t>Vũ Đức Chuyên; Đinh Khánh Huyền; Hoàng Phương Thảo; Nguyễn Thị Như Quỳnh</t>
  </si>
  <si>
    <t>QHKT2026-082.png</t>
  </si>
  <si>
    <t>QHKT2026-083</t>
  </si>
  <si>
    <t>Nghiên cứu các yếu tố rủi ro ảnh hưởng đến hiệu quả vận hành khai thác tuyến Metro số 1 Thành phố Hồ Chí Minh</t>
  </si>
  <si>
    <t>Lê Khánh Uyên; Nguyễn Xuân Thuỳ Châu; Võ Thị Thiện; Nguyễn Thái An; Phạm Đăng Khoa</t>
  </si>
  <si>
    <t>QHKT2026-083.png</t>
  </si>
  <si>
    <t>QHKT2026-084</t>
  </si>
  <si>
    <t>Nghiên cứu ứng dụng công nghệ BIM sử dụng phần mềm Autodesk Revit trong thiết kế và mô phỏng thi công tầng hầm nhà cao tầng</t>
  </si>
  <si>
    <t>Nguyễn Hoàng Tùng Lâm; Dương Hà My; Trần Đức Hiệp</t>
  </si>
  <si>
    <t>QHKT2026-084.png</t>
  </si>
  <si>
    <t>QHKT2026-085</t>
  </si>
  <si>
    <t>Nghiên cứu sử dụng cát biển để chế tạo bê tông không xi măng siêu cường độ</t>
  </si>
  <si>
    <t>Nguyễn Sơn Hà; Nguyễn Sơn Hải; Nguyễn Ngọc Hòa; Cao Thanh Hoài; Đạo Phúc Hậu</t>
  </si>
  <si>
    <t>QHKT2026-085.png</t>
  </si>
  <si>
    <t>QHKT2026-086</t>
  </si>
  <si>
    <t>Nghiên cứu chế tạo bê tông nhẹ cường độ siêu cao và các-bon thấp</t>
  </si>
  <si>
    <t>Phan Văn Lợi; Võ Thị Ánh Vy; Lê Võ Văn Phát; Phạm Thị Xuân Mai</t>
  </si>
  <si>
    <t>QHKT2026-086.png</t>
  </si>
  <si>
    <t>QHKT2026-087</t>
  </si>
  <si>
    <t>Nghiên cứu và chế tạo vật liệu xanh, bền vững với môi trường từ bã mía</t>
  </si>
  <si>
    <t>Nguyễn Tấn Thành; Trần Thái Thiên; Nguyễn Ngọc Thắng; Đào Văn Sang; Lý Huy Hoàng</t>
  </si>
  <si>
    <t>QHKT2026-087.png</t>
  </si>
  <si>
    <t>QHKT2026-088</t>
  </si>
  <si>
    <t>Nghiên cứu, chế tạo vật liệu xây dựng xanh, thân thiện môi trường từ trấu, rơm (rạ) và xơ dừa</t>
  </si>
  <si>
    <t>Nguyễn Quốc Trọng; Trương Đặng Trung Tín; Trần Đoàn Minh Khoa; Phạm Ngọc Hữu Toàn; Nguyễn Quốc Thoại</t>
  </si>
  <si>
    <t>QHKT2026-088.png</t>
  </si>
  <si>
    <t>QHKT2026-089</t>
  </si>
  <si>
    <t>Đánh giá hiệu quả hệ thống thoát hiểm trong tình huống cháy tại nhà ga hành khách</t>
  </si>
  <si>
    <t>Nguyễn Trúc Lin Na; Nguyễn Khánh Linh; Nguyễn Thu Trang; Nguyễn Ngọc Khánh Nhung; Hoàng Văn Hùng</t>
  </si>
  <si>
    <t>QHKT2026-089.png</t>
  </si>
  <si>
    <t>QHKT2026-090</t>
  </si>
  <si>
    <t>Nghiên cứu chế tạo và đánh giá tính chất của bê tông nhẹ sử dụng hạt polystyrene và chất kết dính geopolymer</t>
  </si>
  <si>
    <t>Nguyễn Thanh Thảo; Nguyễn Lê Duy Đăng; Văn Thành Long; Trần Tuấn Kiệt</t>
  </si>
  <si>
    <t>QHKT2026-090.png</t>
  </si>
  <si>
    <t>QHKT2026-091</t>
  </si>
  <si>
    <t>A DEEP LEARNING-BASED REAL-TIME VIDEO SYSTEM FOR LANDSLIDE AND DEBRIS FLOW EARLY WARNING</t>
  </si>
  <si>
    <t>Huỳnh Tấn Lộc; Lê Duy Nguyễn</t>
  </si>
  <si>
    <t>QHKT2026-091.png</t>
  </si>
  <si>
    <t>QHKT2026-092</t>
  </si>
  <si>
    <t>ỨNG DỤNG HỌC MÁY TRONG PHÂN TÍCH ẢNH HƯỞNG CỦA CÁC THÔNG SỐ ĐẦU VÀO ĐẾN LỰC CHẢY CỦA THÉP BỊ ĂN MÒN VÀ ĐÁNH GIÁ HIỆU SUẤT CÁC MÔ HÌNH DỰ BÁO</t>
  </si>
  <si>
    <t>Lê Tường Vân; Võ Bảo Thuận</t>
  </si>
  <si>
    <t>QHKT2026-092.png</t>
  </si>
  <si>
    <t>QHKT2026-093</t>
  </si>
  <si>
    <t>NGHIÊN CỨU GẠCH ỐP TIÊU ÂM VÀ LÀM MÁT SINH HỌC TỪ PHẾ PHẨM VỎ SẦU RIÊNG THEO MÔ HÌNH KINH TẾ TUẦN HOÀN VÀ QUẢN LÝ CHẤT LƯỢNG THÔNG MINH</t>
  </si>
  <si>
    <t>Mai Hoàng Thiên Thư; Trần Đoàn Thành Tài; Nguyễn Ngọc Phương Vy; Phạm Phương Ái Linh; Nguyễn Duy Anh</t>
  </si>
  <si>
    <t>QHKT2026-093.png</t>
  </si>
  <si>
    <t>QHKT2026-094</t>
  </si>
  <si>
    <t>PHÁT TRIỂN HỆ THỐNG TÍCH HỢP SHM-BIM-VR: TRƯỜNG HỢP NGHIÊN CỨU CHO NHÀ CAO TẦNG</t>
  </si>
  <si>
    <t>Nguyễn Nhật Quang; Nguyễn Nhật Nam; Vũ Lê Minh Thư</t>
  </si>
  <si>
    <t>QHKT2026-094.png</t>
  </si>
  <si>
    <t>QHKT2026-095</t>
  </si>
  <si>
    <t>THEO DÕI VÀ CHẨN ĐOÁN GÓC XOAY BU LÔNG TRONG KẾT CẤU THÉP BẰNG THỊ GIÁC MÁY TÍNH KẾT HỢP HỌC SÂU</t>
  </si>
  <si>
    <t>Nguyễn Đoàn Đăng Khôi; Phan Chí Nhân; Trần Minh Huy</t>
  </si>
  <si>
    <t>QHKT2026-095.png</t>
  </si>
  <si>
    <t>QHKT2026-096</t>
  </si>
  <si>
    <t>TƯƠNG TÁC ĐẤT NỀN - KẾT CẦU DƯỚI TÁC DỤNG TẢI TRỌNG TÀU METRO NGẦM VÀ PHƯƠNG PHÁP GIẢM RUNG BẰNG CỌC VÔI - XI MĂNG: NGHIÊN CỨU TRƯỜNG HỢP TUYỂN METRO SỐ 2 TP.HCM</t>
  </si>
  <si>
    <t>Lê Ngọc Vĩnh Ân; Lê Gia Bảo; Phạm Bảo Huy; Nguyễn Hoàng Quân; Nguyễn Trung Tín</t>
  </si>
  <si>
    <t>QHKT2026-096.png</t>
  </si>
  <si>
    <t>HH2026-001</t>
  </si>
  <si>
    <t>Hóa học</t>
  </si>
  <si>
    <t>Nghiên cứu phát triển hydrogel PVA/Carboxymethyl Chitosan/Fucoidan tạo liên kết chéo vật lý hướng tới ứng dụng băng vết thương</t>
  </si>
  <si>
    <t>Mạch Trung Kiên; Phạm Duy Khang</t>
  </si>
  <si>
    <t>HH2026-001.png</t>
  </si>
  <si>
    <t>HH2026-002</t>
  </si>
  <si>
    <t>Nghiên cứu chế tạo hydrogel có thể tiêm trên cơ sở Carboxymethyl Chitosan/Inulin oxi hóa định hướng ứng dụng hỗ trợ điều trị viêm khớp gối.</t>
  </si>
  <si>
    <t>Nguyễn Minh Trí; Trịnh Hoài Thương; Trần Nguyễn Lê Vy</t>
  </si>
  <si>
    <t>HH2026-002.png</t>
  </si>
  <si>
    <t>HH2026-003</t>
  </si>
  <si>
    <t>Nghiên cứu phát triển vật liệu composite phân hủy sinh học trên cơ sở PLA/PHA/BC ứng dụng công nghệ Scan 3D và in 3D FDM chế tạo nẹp AFO cá nhân hóa</t>
  </si>
  <si>
    <t>Nguyễn Ngọc Hiếu; Trần Đan Huy; Lê Vũ Phúc Vy</t>
  </si>
  <si>
    <t>HH2026-003.png</t>
  </si>
  <si>
    <t>HH2026-004</t>
  </si>
  <si>
    <t>Nghiên cứu tổng hợp hydrogel composite dạng tiêm nhạy nhiệt trên cơ sở alginat-NIPAM tích hợp hematin và hạt thủy tinh sinh học</t>
  </si>
  <si>
    <t>Nguyễn Tuấn Phong; Trần Thị Như Ý</t>
  </si>
  <si>
    <t>HH2026-004.png</t>
  </si>
  <si>
    <t>HH2026-005</t>
  </si>
  <si>
    <t>NGHIÊN CỨU TỔNG HỢP GEL HỖ TRỢ LÀM LÀNH VẾT THƯƠNG TỪ BÃ RAU MÁ</t>
  </si>
  <si>
    <t>Lê Mạnh Trường</t>
  </si>
  <si>
    <t>HH2026-005.png</t>
  </si>
  <si>
    <t>HH2026-006</t>
  </si>
  <si>
    <t>PHÁT TRIỂN QUY TRÌNH TÍCH HỢP CHƯNG CẤT PHÂN ĐOẠN CHÂN KHÔNG VÀ CHƯNG CẤT PHÂN TỬ QUY MÔ PILOT NHẰM THU NHẬN CÁC PHÂN ĐOẠN TINH DẦU TRÀM NĂM GÂN GIÀU HOẠT CHẤT PHỤC VỤ NGÀNH DƯỢC – MỸ PHẨM</t>
  </si>
  <si>
    <t>Nguyễn Thị Hồng Nhi; Lê Ngọc Sang; Nguyễn Hồng Ân</t>
  </si>
  <si>
    <t>HH2026-006.png</t>
  </si>
  <si>
    <t>HH2026-007</t>
  </si>
  <si>
    <t>Nghiên cứu tổng hợp 2-hydroxyethyl 2-methylbenzoate từ aldehyde bằng phản ứng oxy hóa trực tiếp theo định hướng quang hóa xanh</t>
  </si>
  <si>
    <t>Nguyễn Lâm; Hàn Thúy Huyền; Chế Võ Quan Tiến</t>
  </si>
  <si>
    <t>HH2026-007.png</t>
  </si>
  <si>
    <t>HH2026-008</t>
  </si>
  <si>
    <t>NGHIÊN CỨU TỈ LỆ CÁC THÀNH PHẦN CAO CHIẾT TỪ MỘT SỐ DƯỢC LIỆU NHẰM LÀM TĂNG KHẢ NĂNG ỨC CHẾ ENZYM α – AMYLASE VÀ LIPASE TUYẾN TỤY</t>
  </si>
  <si>
    <t>Nguyễn Đức Hoài Nam; Đặng Ngọc Thu Giang; Nguyễn Kim Ngân; Lê Mai Hồng Quyên; Vũ Khuất Xuân Phương</t>
  </si>
  <si>
    <t>HH2026-008.png</t>
  </si>
  <si>
    <t>HH2026-009</t>
  </si>
  <si>
    <t>NGHIÊN CỨU TỔNG HỢP VÀ ĐÁNH GIÁ HOẠT TÍNH SINH HỌC IN SILICO VÀ IN VITRO CÁC DẪN XUẤT 1,3- THIAZOLE TRÊN NỀN CARBAZOLE ĐỊNH HƯỚNG PHÁT TRIỂN NƯỚC SÚC MIỆNG</t>
  </si>
  <si>
    <t>Trương Thị Huỳnh Như; Nguyễn Ngọc Bảo Trân; Nguyễn Thị Thu Hà</t>
  </si>
  <si>
    <t>HH2026-009.png</t>
  </si>
  <si>
    <t>HH2026-010</t>
  </si>
  <si>
    <t>Nghiên cứu phối chế sản phẩm gel tẩy tế bào chết từ chiết xuất vỏ quả dứa (Ananas comosus L.)</t>
  </si>
  <si>
    <t>Dư Đức Minh Thành; Trần Sang Thiên Phú; Nguyễn Ngọc Minh Trang; Trần Dương Thuỷ Trang; Lý Thị Cẩm Tú</t>
  </si>
  <si>
    <t>HH2026-010.png</t>
  </si>
  <si>
    <t>HH2026-011</t>
  </si>
  <si>
    <t>Nghiên cứu trích ly thu nhận hydrosol và tinh dầu hương nhu tía (Ocimum tenuiflorum L.) định hướng ứng dụng trong mỹ phẩm hỗ trợ trị mụn trứng cá</t>
  </si>
  <si>
    <t>Đinh Thị Tâm Như; Nguyễn Thị Bích Ngân; Trần Sang Thiên Quý; Nguyễn Trần Kim Hoàng</t>
  </si>
  <si>
    <t>HH2026-011.png</t>
  </si>
  <si>
    <t>HH2026-012</t>
  </si>
  <si>
    <t>TỔNG HỢP TRANS-4-(6,8-DIBROMO-1,4- DIHYDROQUINAZOLIN-3(2H)-YL)CYCLOHEXANOL (TẠP B THEO BP 2025) VÀ TẠP CHẤT TRANS-4-(6,8-DIBROMO-3(4H)-QUINAZOLINYL)CYCLOHEXANOL CỦA AMBROXOL HYDROCLORID THEO QUY MÔ PHÒNG THÍ NGHIỆM</t>
  </si>
  <si>
    <t>Vũ Bằng Lăng; Nguyễn Vân Anh; Đinh Quốc Kiệt</t>
  </si>
  <si>
    <t>HH2026-012.png</t>
  </si>
  <si>
    <t>HH2026-013</t>
  </si>
  <si>
    <t>NGHIÊN CỨU KHẢO SÁT THÀNH PHẦN HÓA HỌC THÂN XẠ VÀNG (PREMNA FULVA CRAIB.) VÀ KHẢO SÁT TƯƠNG TÁC VỚI TYROSINASE BẰNG DOCKING PHÂN TỬ</t>
  </si>
  <si>
    <t>Nguyễn Thị Anh Phương; Đào Thị Thu Hà; Lê Trần Khánh Linh</t>
  </si>
  <si>
    <t>HH2026-013.png</t>
  </si>
  <si>
    <t>HH2026-014</t>
  </si>
  <si>
    <t>TỔNG HỢP TẠP NITROSAMIN CỦA SITAGLIPTIN (TẠP CHẤT NDSRI CỦA SITAGLIPTIN)</t>
  </si>
  <si>
    <t>Phan Hoàng Khải; Huỳnh Minh Trọng; Lê Nhật Tân; Nguyễn Duy Thái</t>
  </si>
  <si>
    <t>HH2026-014.png</t>
  </si>
  <si>
    <t>HH2026-015</t>
  </si>
  <si>
    <t>TỔNG HỢP TẠP CỦA ALFUZOSIN</t>
  </si>
  <si>
    <t>Phan Hoàng Khải; Huỳnh Minh Trọng; Lê Nhật Tân; Nguyễn Duy</t>
  </si>
  <si>
    <t>HH2026-015.png</t>
  </si>
  <si>
    <t>HH2026-016</t>
  </si>
  <si>
    <t>Nghiên cứu tổng hợp bán enzyme Acacetin-O-glycoside theo định hướng hóa học xanh</t>
  </si>
  <si>
    <t>HH2026-016.png</t>
  </si>
  <si>
    <t>HH2026-017</t>
  </si>
  <si>
    <t>Xây dựng phương pháp tổng hợp xanh cho các dẫn xuất benzofuropyridine định hướng độc tế bào ung thư</t>
  </si>
  <si>
    <t>Phạm Mai Trâm Anh; Huỳnh Ngọc Thanh Trúc</t>
  </si>
  <si>
    <t>HH2026-017.png</t>
  </si>
  <si>
    <t>HH2026-018</t>
  </si>
  <si>
    <t>TỔNG HỢP VÀ ĐÁNH GIÁ HOẠT TÍNH SINH HỌC CÁC DẪN CHẤT LAI HÓA GIỮA CHALCON VÀ L-PROLIN</t>
  </si>
  <si>
    <t>Phạm Tuấn Anh; Trương Thy Hương; Diệp Khả; Võ Hàn Trân Chân; Lê Viết Tài</t>
  </si>
  <si>
    <t>HH2026-018.png</t>
  </si>
  <si>
    <t>HH2026-019</t>
  </si>
  <si>
    <t>PHÁT TRIỂN PHƯƠNG PHÁP TỔNG HỢP NHÓM DẪN CHẤT BENZOFURO[3,2-b]PYRIDIN THEO ĐỊNH HƯỚNG KHÁNG UNG THƯ</t>
  </si>
  <si>
    <t>Trần Đình Vân Khánh; Trịnh Thị Minh Thư; Nguyễn Tấn Minh; Nguyễn Thái Kiệt</t>
  </si>
  <si>
    <t>HH2026-019.png</t>
  </si>
  <si>
    <t>HH2026-020</t>
  </si>
  <si>
    <t>Kết hợp quang hoá học và Iodobenzen diclorid trong nghiên cứu các phương pháp tổng hợp mới cho phát triển thuốc</t>
  </si>
  <si>
    <t>Đinh Viết Tuấn Anh; Đinh Diệu Linh; Trần Thị Lộc; Trần Hữu Tú; Nguyễn Thuận Thành</t>
  </si>
  <si>
    <t>HH2026-020.png</t>
  </si>
  <si>
    <t>HH2026-021</t>
  </si>
  <si>
    <t>Nghiên cứu thành phần hóa học và một số hoạt tính sinh học của loài Beilschmiedia bidoupensis phân bố ở Việt Nam</t>
  </si>
  <si>
    <t>Lê Trạc Năm Duy; Đặng Sử Uyên; Phạm Châu Anh; Nguyễn Thị Thanh Huyền; Phan Thị Hoài Nam</t>
  </si>
  <si>
    <t>HH2026-021.png</t>
  </si>
  <si>
    <t>HH2026-022</t>
  </si>
  <si>
    <t>Nghiên cứu điều chế dung môi cộng tinh sâu dị thể và ứng dụng tổng hợp dẫn xuất pyrimidine</t>
  </si>
  <si>
    <t>Nguyễn Thành Công; Đắc Phiên Nguyên; Cao Đức Phú</t>
  </si>
  <si>
    <t>HH2026-022.png</t>
  </si>
  <si>
    <t>HH2026-023</t>
  </si>
  <si>
    <t>Develop of coupling biaryl reaction via dual Nickel(II) &amp; photoredoxcatalysis catalyzed direct carbon – hydrogen ortho arylation bond activated, assited by 8‑aminoquinoline moiety as a directing group</t>
  </si>
  <si>
    <t>Châu Kiến Thành</t>
  </si>
  <si>
    <t>HH2026-023.png</t>
  </si>
  <si>
    <t>HH2026-024</t>
  </si>
  <si>
    <t>KHẢO SÁT QUY TRÌNH THU NHẬN TINH DẦU, ĐIỀU CHẾ CAO CHIẾT TIÊU CHUẨN HÓA VÀ ĐÁNH GIÁ HOẠT TÍNH SINH HỌC CỦA LÁ VỐI (SYZYGIUM NERVOSUM DC.) HỌ SIM (MYRTACEAE)</t>
  </si>
  <si>
    <t>Nguyễn Trần Huyền Trân; TRẦN MINH TRANG</t>
  </si>
  <si>
    <t>HH2026-024.png</t>
  </si>
  <si>
    <t>HH2026-025</t>
  </si>
  <si>
    <t>FROM FRUIT TO FILTER: INVESTIGATION OF THE PHOTOPROTECTIVE CONSTITUENTS FROM GARDENIA FRUIT (GARDENIA JASMINOIDES ELLIS) FOR SUNSCREEN DEVELOPMENT</t>
  </si>
  <si>
    <t>Nguyễn Ái Minh Châu</t>
  </si>
  <si>
    <t>HH2026-025.png</t>
  </si>
  <si>
    <t>HH2026-026</t>
  </si>
  <si>
    <t>Nghiên cứu công thức mặt nạ lột chứa cao chiết nước lá Trầu không (Piper betle L. Piperaceae)</t>
  </si>
  <si>
    <t>Đoàn Ngọc Khánh Hân; Trần Thị Nhã Quyên; Quách Minh Tú; Đào Thảo Quyên; Trần Hoàng Việt</t>
  </si>
  <si>
    <t>HH2026-026.png</t>
  </si>
  <si>
    <t>HH2026-027</t>
  </si>
  <si>
    <t>NGHIÊN CỨU HIỆU QUẢ THU HOẠCH VI TẢO BẰNG CÁC CHẤT KEO TỤ POLYMER SINH HỌC</t>
  </si>
  <si>
    <t>Nguyễn Thị Ánh Ngọc; Lợi Tấn Lộc</t>
  </si>
  <si>
    <t>HH2026-027.png</t>
  </si>
  <si>
    <t>HH2026-028</t>
  </si>
  <si>
    <t>TỐI ƯU HOÁ QUY TRÌNH TÁCH CHIẾT CÁC HOẠT CHẤT SINH HỌC TỪ VI TẢO DUNALIELLA SALINA</t>
  </si>
  <si>
    <t>Nguyễn Thị Ánh Ngọc; Nguyễn Hoàng Thịnh</t>
  </si>
  <si>
    <t>HH2026-028.png</t>
  </si>
  <si>
    <t>HH2026-029</t>
  </si>
  <si>
    <t>Nghiên cứu chế tạo màng cách ly từ bã mía ứng dụng trong pin Lithium-ion</t>
  </si>
  <si>
    <t>Phạm Ngọc Nhi; Nguyễn Trần Minh Vũ; Nguyễn Quỳnh Ngọc Tú; Nguyễn Thị Huỳnh Mai</t>
  </si>
  <si>
    <t>HH2026-029.png</t>
  </si>
  <si>
    <t>HH2026-030</t>
  </si>
  <si>
    <t>Formulation of herbal mouthwash using flavonoids extracts from Talinum fruticosum L. to control the predominant oral pathogens</t>
  </si>
  <si>
    <t>Trần Vũ Hoài Linh; Trương Minh Nhật; Nguyễn Kim Tường Vi</t>
  </si>
  <si>
    <t>HH2026-030.png</t>
  </si>
  <si>
    <t>HH2026-031</t>
  </si>
  <si>
    <t>Nghiên cứu phát triển hệ hydrogel có khả năng thay đổi tính chất quang học và màu sắc theo nhiệt độ môi trường và bức xạ UV, ứng dụng trong chế tạo cửa sổ thông minh và vật liệu mã hóa thông tin</t>
  </si>
  <si>
    <t>Lý Đỗ Thanh Nghi; Lâm Kim Hoàng; Đỗ Quang Tuấn; Trần Ngọc Yến Linh; Võ Lê Khánh Vy</t>
  </si>
  <si>
    <t>HH2026-031.png</t>
  </si>
  <si>
    <t>HH2026-032</t>
  </si>
  <si>
    <t>Nghiên cứu phát triển hydrogel dạng tiêm từ oxidized pectin/gelatin mang thuốc kháng viêm, ứng dụng trong điều trị thoái hóa sụn khớp</t>
  </si>
  <si>
    <t>Nguyễn Trọng Phúc; Phạm Đức Trung; Phan Tử Khôi</t>
  </si>
  <si>
    <t>HH2026-032.png</t>
  </si>
  <si>
    <t>HH2026-033</t>
  </si>
  <si>
    <t>Nghiên cứu phân giải nhựa poly(ethylene terephthalate) (PET) theo quy trình hai bước thân thiện môi trường sử dụng dung môi eutectic sâu (DES) và thủy phân kiềm nhẹ</t>
  </si>
  <si>
    <t>Lý Huyền Quỳnh Đoan; Nguyễn Thu Thảo; Lê Ngọc Bảo Trâm</t>
  </si>
  <si>
    <t>HH2026-033.png</t>
  </si>
  <si>
    <t>HH2026-034</t>
  </si>
  <si>
    <t>NÂNG CAO NĂNG LỰC SỐ CHO GIÁO VIÊN THÔNG QUA DẠY HỌC PHẦN CHẤT VÀ SỰ BIẾN ĐỔI CỦA CHẤT MÔN KHOA HỌC TỰ NHIÊN LỚP 9</t>
  </si>
  <si>
    <t>Nguyễn Nhật Linh; Nguyễn Thị Anh Thư</t>
  </si>
  <si>
    <t>HH2026-034.png</t>
  </si>
  <si>
    <t>HH2026-035</t>
  </si>
  <si>
    <t>Nghiên cứu quy trình tách lignin từ xơ dừa (Cocos nucifera L.) bằng dung môi eutectic sâu (DES) ứng dụng trong gạc kháng khuẩn</t>
  </si>
  <si>
    <t>Trương Đạt Khang; Đỗ Ái Phương Ngọc; Nguyễn Thành Nhân</t>
  </si>
  <si>
    <t>HH2026-035.png</t>
  </si>
  <si>
    <t>HH2026-036</t>
  </si>
  <si>
    <t>Tối ưu quy trình chiết cao giàu chlorogenic acid từ lá dương xỉ (Polypodium Leucotomos) ứng dụng phối trộn kem chống nắng</t>
  </si>
  <si>
    <t>Phạm Thị Phương Trang; Nguyễn Thị Tình; Hồng Minh Anh; Đỗ Ngọc Nhân; Nguyễn Thị Kim Hạnh</t>
  </si>
  <si>
    <t>HH2026-036.png</t>
  </si>
  <si>
    <t>HH2026-037</t>
  </si>
  <si>
    <t>Nghiên cứu thành phần hóa học của cao chiết cây chổi sể Baeckea frutescens L. bằng sắc ký khối phổ GC-MS và molecular docking</t>
  </si>
  <si>
    <t>Phan Thị Kiều Diễm; Nguyễn Hoàng Khang; Mai Mỹ Đình</t>
  </si>
  <si>
    <t>HH2026-037.png</t>
  </si>
  <si>
    <t>HH2026-038</t>
  </si>
  <si>
    <t>TỔNG HỢP VÀ KHẢO SÁT HOẠT TÍNH KHÁNG KHUẨN, KHÁNG NẤM CỦA CÁC DẪN CHẤT IMIDAZO[4,5-f]QUINOLIN</t>
  </si>
  <si>
    <t>Trần Nguyễn Như Ý; Nguyễn Nhật Minh; Nguyễn Quý Huy</t>
  </si>
  <si>
    <t>HH2026-038.png</t>
  </si>
  <si>
    <t>HH2026-039</t>
  </si>
  <si>
    <t>Chế tạo sợi nhựa in 3D sinh học từ Polylactic (acid) tái chế và cellulose từ thân cây bắp</t>
  </si>
  <si>
    <t>Nguyễn Gia Khánh; Vũ Đức Lộc; Võ Hữu Nghĩa</t>
  </si>
  <si>
    <t>HH2026-039.png</t>
  </si>
  <si>
    <t>HH2026-040</t>
  </si>
  <si>
    <t>THU NHẬN CÁC HỢP CHẤT SINH HỌC TỪ QUẢ SUNG (FICUS RACEMOSA L.) BẰNG HỆ LƯỠNG PHA, ĐÁNH GIÁ HOẠT TÍNH VÀ TIỀM NĂNG ỨC CHẾ ENZYME CHUYỂN HÓA CARBOHYDRATE</t>
  </si>
  <si>
    <t>Phan Thị Yến Quỳnh; Nguyễn Hồ Tá; Đào Minh Kha; Lê Quốc Anh</t>
  </si>
  <si>
    <t>HH2026-040.png</t>
  </si>
  <si>
    <t>HH2026-041</t>
  </si>
  <si>
    <t>Biodegradation of thiamethoxam by bacteria isolated from agricultural soil</t>
  </si>
  <si>
    <t>Ngô Nguyễn Phúc Trí; Nguyễn Viễn Chí; Nguyễn Văn Hiếu</t>
  </si>
  <si>
    <t>HH2026-041.png</t>
  </si>
  <si>
    <t>HH2026-042</t>
  </si>
  <si>
    <t>CÔNG NGHỆ CHUYỂN HÓA CELLULOSE VI KHUẨN THÀNH VẬT LIỆU BIOCHAR ỨNG DỤNG HẤP PHỤ HIỆU QUẢ MÀU VÀNG O TRONG NƯỚC</t>
  </si>
  <si>
    <t>Nguyễn Huy Hiệp; Phạm Nam Anh; Trần Huỳnh Mai Khanh; Trần Gia Mẫn; Trần Anh Khôi</t>
  </si>
  <si>
    <t>HH2026-042.png</t>
  </si>
  <si>
    <t>HH2026-043</t>
  </si>
  <si>
    <t>Nghiên cứu trích ly tinh dầu, cao chiết giàu polyphenol từ củ xá kén (Kaempferia galanga L.) và định hướng ứng dụng vào sản phẩm gel dưỡng da</t>
  </si>
  <si>
    <t>Mai Như Ngọc; Phạm Phan Hồng Mỹ; Cao Thị Anh Thư; Nguyễn Quốc Đại</t>
  </si>
  <si>
    <t>HH2026-043.png</t>
  </si>
  <si>
    <t>HH2026-044</t>
  </si>
  <si>
    <t>Tăng cường khả năng tạo xương của gốm sinh học canxi phosphat hai pha thông qua phương pháp pha tạp ion kim loại</t>
  </si>
  <si>
    <t>Nguyễn Trần Trâm Anh; Nguyễn Vân Anh</t>
  </si>
  <si>
    <t>HH2026-044.png</t>
  </si>
  <si>
    <t>HH2026-045</t>
  </si>
  <si>
    <t>NGHIÊN CỨU CHẾ TẠO HỆ PHÂN TÁN TINH THỂ LỎNG LYOTROPIC VI BAO DỊCH CHIẾT CỎ MỰC GIÀU WEDELOLACTONE ĐỊNH HƯỚNG ỨNG DỤNG TRONG CHẾ PHẨM ĐƯỜNG UỐNG</t>
  </si>
  <si>
    <t>Nguyễn Võ Phương Khoa</t>
  </si>
  <si>
    <t>HH2026-045.png</t>
  </si>
  <si>
    <t>HH2026-046</t>
  </si>
  <si>
    <t>Tận dụng xương cá chế tạo chất mang cho xúc tác Nickel để xử lý chất ô nhiễm và chuyển hoá khí nhà kính carbon dioxide thành khí nhiên liệu</t>
  </si>
  <si>
    <t>Lử Ngọc Hân; Vũ Trần Nguyên Khang; Lê Quang Trí</t>
  </si>
  <si>
    <t>HH2026-046.png</t>
  </si>
  <si>
    <t>HH2026-047</t>
  </si>
  <si>
    <t>Thiết kế hệ đồng xúc tác acid Lewis – phức kim loại chuyển tiếp phosphine cho quá trình hoạt hóa CO₂ bằng phương pháp hóa học tính toán.</t>
  </si>
  <si>
    <t>Phan Huỳnh Ngọc Anh; Đặng Bảo Ngọc; Nguyễn Thị Hồng Nhung</t>
  </si>
  <si>
    <t>HH2026-047.png</t>
  </si>
  <si>
    <t>HH2026-048</t>
  </si>
  <si>
    <t>Tổng hợp vật liệu khung hữu cơ kim loại ZIF–68 định hướng làm hệ mang thuốc curcumin hiệu quả hỗ trợ điều trị ung thư trong điều kiện In Vitro</t>
  </si>
  <si>
    <t>Nguyễn Bá Duy; Trần Bích Phương; Lương Thị Ngọc Quỳnh; Huỳnh Ngọc Việt</t>
  </si>
  <si>
    <t>HH2026-048.png</t>
  </si>
  <si>
    <t>HH2026-049</t>
  </si>
  <si>
    <t>TỔNG HỢP VẬT LIỆU Ag/ZIF-8 HIỆU NĂNG CAO ỨNG DỤNG TRONG PHÂN TÍCH LƯỢNG VẾT THIABENDAZOLE VÀ RHODAMINE 6G KHÓ PHÂN HỦY TRONG MÔI TRƯỜNG BẰNG PHƯƠNG PHÁP TĂNG CƯỜNG TÁN XẠ RAMAN (SERS)</t>
  </si>
  <si>
    <t>Phan Nguyễn Khang Duy; Trịnh Như Bảo; Trần Thị Nhi</t>
  </si>
  <si>
    <t>HH2026-049.png</t>
  </si>
  <si>
    <t>HH2026-050</t>
  </si>
  <si>
    <t>NGHIÊN CỨU KỸ THUẬT THAY ĐỔI ĐIỆN TÍCH BỀ MẶT VẬT LIỆU SILICA MAO QUẢN TRUNG BÌNH KIT-6 ĐỂ CẢI THIỆN QUÁ TRÌNH HẤP PHỤ CHROMIUM(VI) TRONG NƯỚC</t>
  </si>
  <si>
    <t>Lưu Nguyễn Việt Hoàng; Hoàng Thị Diệp Sương; Trần Văn Khôi Nguyên; Nguyễn Đăng Khoa; Đinh Thị Ngọc Ninh</t>
  </si>
  <si>
    <t>HH2026-050.png</t>
  </si>
  <si>
    <t>HH2026-051</t>
  </si>
  <si>
    <t>TỔNG HỢP VẬT LIỆU COMPOSITE CoWO4/CDs/NF TỪ VỎ KHOAI MÌ ỨNG DỤNG CHO PHẢN ỨNG ĐIỆN HÓA TÁCH HYDROGEN</t>
  </si>
  <si>
    <t>Chu Văn Long Vũ; Nguyễn Tô Thanh Duyên; Nguyễn Thục An; Trần Nguyên Vũ</t>
  </si>
  <si>
    <t>HH2026-051.png</t>
  </si>
  <si>
    <t>HH2026-052</t>
  </si>
  <si>
    <t>NGHIÊN CỨU TỔNG HỢP VÀ ỨNG DỤNG VẬT LIỆU KHUNG HỮU CƠ KIM LOẠI TÂM CERIUM (Ce-MOF-808) CHO QUÁ TRÌNH HẤP PHỤ ĐA DẠNG VÀ HIỆU QUẢ CÁC CHẤT MÀU HỮU CƠ TRONG NƯỚC</t>
  </si>
  <si>
    <t>Đào Gia Bảo; Ngô Thành Đạt; Nguyễn Tấn Hưng; Phan Duy Trí; Nguyễn Đình Đại Phước</t>
  </si>
  <si>
    <t>HH2026-052.png</t>
  </si>
  <si>
    <t>HH2026-053</t>
  </si>
  <si>
    <t>Tổng hợp vật liệu UiO-68 và ứng dụng hấp phụ Cr(VI) trong nước</t>
  </si>
  <si>
    <t>Nguyễn Minh Thông</t>
  </si>
  <si>
    <t>HH2026-053.png</t>
  </si>
  <si>
    <t>HH2026-054</t>
  </si>
  <si>
    <t>Nghiên cứu quy trình sản xuất dịch chiết từ trái vả (Ficus auriculata)</t>
  </si>
  <si>
    <t>Phạm Thị Phương Linh; Lê Ngọc Như; Dương Lê Thảo Nguyên</t>
  </si>
  <si>
    <t>HH2026-054.png</t>
  </si>
  <si>
    <t>HH2026-055</t>
  </si>
  <si>
    <t>Xây dựng và thẩm định quy trình định lượng cho cao chiết nước quả Nhàu (Morinda citrifolia L.) bằng phương pháp HPLC-PDA</t>
  </si>
  <si>
    <t>Phạm Nguyễn Đức Minh; Tạ Đỗ Thành Nhân; Thái Thị Bảo Châu; Lê Trần Hải</t>
  </si>
  <si>
    <t>HH2026-055.png</t>
  </si>
  <si>
    <t>HH2026-056</t>
  </si>
  <si>
    <t>Phức chất Pt(II) chứa dẫn xuất 8-hydroxyquinoline và phosphine: Tổng hợp, cấu trúc, hoạt tính sinh học và xúc tác</t>
  </si>
  <si>
    <t>Đoàn Đức Hiếu; Quàng Thị Thủy; Nguyễn Thị Xuân; Trần Thị Minh Trang</t>
  </si>
  <si>
    <t>HH2026-056.png</t>
  </si>
  <si>
    <t>HH2026-057</t>
  </si>
  <si>
    <t>Nghiên cứu quy trình tổng hợp nhựa sinh học từ bã rau má phục vụ ứng dụng làm túi ươm nông nghiệp.</t>
  </si>
  <si>
    <t>Đinh Công Thức</t>
  </si>
  <si>
    <t>HH2026-057.png</t>
  </si>
  <si>
    <t>HH2026-058</t>
  </si>
  <si>
    <t>NGHIÊN CỨU TỔNG HỢP NANO KẼM OXIT TỪ DỊCH CHIẾT CÂY SÀI ĐẤT (Wedelia chinensis (Osbeck) Merr.) VÀ BƯỚC ĐẦU ĐÁNH GIÁ HOẠT TÍNH KHÁNG KHUẨN VÀ XÚC TÁC QUANG HOÁ</t>
  </si>
  <si>
    <t>Lương Văn Phúc Khang; Nguyễn Thị Ngọc Quyên</t>
  </si>
  <si>
    <t>HH2026-058.png</t>
  </si>
  <si>
    <t>HH2026-059</t>
  </si>
  <si>
    <t>Chế tạo và khảo sát dung dịch hydrogel hỗ trợ điệu trị vết thường từ nano bạc kết hợp chiết xuất thảo dược</t>
  </si>
  <si>
    <t>Nguyễn Cao Minh Nhật; Lê Trọng Ân; Hàn Thế Duy; Nguyễn Thị Diễm Hoa</t>
  </si>
  <si>
    <t>HH2026-059.png</t>
  </si>
  <si>
    <t>HH2026-060</t>
  </si>
  <si>
    <t>Nghiên cứu chế tạo scaffold có khả năng ghi nhớ hình dạng từ hệ bioactive glass/agarose/hyaluronic acid/alginate mang thuốc Doxorubicin, ứng dụng trong hóa trị ung thư xương và hỗ trợ tái tạo mô</t>
  </si>
  <si>
    <t>Lê Đắc Vĩnh Hân; Trần Ánh Duyên; Nguyễn Thị Tuyết Nhi; Võ Phạm Hồng Diễm; Trần Phạm Yến Nhi</t>
  </si>
  <si>
    <t>HH2026-060.png</t>
  </si>
  <si>
    <t>HH2026-061</t>
  </si>
  <si>
    <t>Phát triển vật liệu aerogel từ phụ phẩm nông nghiệp cho anode trong pin sạc</t>
  </si>
  <si>
    <t>Đinh Mỹ Phương Anh; Nguyễn Trọng Hải; Huỳnh Anh Đào; Phan Gia Huệ; Trần Phương Yến Như</t>
  </si>
  <si>
    <t>HH2026-061.png</t>
  </si>
  <si>
    <t>HH2026-062</t>
  </si>
  <si>
    <t>Nghiên cứu chế tạo miếng dán hydrogel dạng vi kim từ polymer tự nhiên cho ứng dụng truyền dẫn thuốc qua da và chữa lành vết thương</t>
  </si>
  <si>
    <t>Trần Thị Thảo Vân; Ngô Gia Nghi; Trần Thị Huỳnh Nga; Trần Quốc Anh; Lê Thị Lan</t>
  </si>
  <si>
    <t>HH2026-062.png</t>
  </si>
  <si>
    <t>HH2026-063</t>
  </si>
  <si>
    <t>Chế tạo tem đổi màu theo nhiệt độ định hướng ứng dụng lưu vết pin lithium-ion quá nhiệt</t>
  </si>
  <si>
    <t>Nguyễn Trần Thanh Nghi; Đỗ Quỳnh Như; Nguyễn Ngọc Anh Thư</t>
  </si>
  <si>
    <t>HH2026-063.png</t>
  </si>
  <si>
    <t>HH2026-064</t>
  </si>
  <si>
    <t>Nghiên cứu tổng hợp và biến tính hợp kim Fe-Ni ứng dụng làm chất xúc tác điện hóa tách nước</t>
  </si>
  <si>
    <t>Lâm Thị Thúy Kiều; Trương Ngọc Cẩm Khuyên; Nguyễn Tú Quyên; Nguyễn Nhật Tuấn</t>
  </si>
  <si>
    <t>HH2026-064.png</t>
  </si>
  <si>
    <t>HH2026-065</t>
  </si>
  <si>
    <t>Chế tạo và đặc trưng vật liệu khung cơ kim (MOF) Ag@UiO-66 ứng dụng cho cảm biến SERS, kết hợp học máy trong phân tích và đánh giá dữ liệu</t>
  </si>
  <si>
    <t>Trần Văn Tiệp</t>
  </si>
  <si>
    <t>HH2026-065.png</t>
  </si>
  <si>
    <t>HH2026-066</t>
  </si>
  <si>
    <t>Nano-Shield Marine: Lớp phủ Epoxy/GO biến tính hạn chế khả năng khuếch tán và bảo vệ chống ăn mòn các kết cấu thép hàng hải</t>
  </si>
  <si>
    <t>Nguyễn Văn Quyết</t>
  </si>
  <si>
    <t>HH2026-066.png</t>
  </si>
  <si>
    <t>HH2026-067</t>
  </si>
  <si>
    <t>VẬT LIỆU NANOCOMPOSITE MỚI DỰA TRÊN P-N Fe2O3/ZnBi2O4 VÀ BIOCHAR TỪ VỎ HẠT ĐIỀU XỬ LÝ HIỆU QUẢ KHÁNG SINH LEVOFLOXACIN TRONG NƯỚC DƯỚI ÁNH SÁNG KHẢ KIẾN</t>
  </si>
  <si>
    <t>Lê Nguyễn Trường Huy; Trần Cảnh Kỳ</t>
  </si>
  <si>
    <t>HH2026-067.png</t>
  </si>
  <si>
    <t>HH2026-068</t>
  </si>
  <si>
    <t>Chế tạo vật liệu composite kiềm tính nền tro bay - zeolite - carbon ứng dụng hấp phụ kim loại nặng (Pb) và lưu trữ CO2</t>
  </si>
  <si>
    <t>Nguyễn Phạm Hoàng Nhân; Vương Trúc Vy; Võ Văn Duy; Đỗ Thanh Danh</t>
  </si>
  <si>
    <t>HH2026-068.png</t>
  </si>
  <si>
    <t>HH2026-069</t>
  </si>
  <si>
    <t>Phát triển vật liệu gốm áp điện không chì nền perovskite với hiệu suất lưu trữ năng lượng cao sử dụng phụ gia biến tính pha thủy tinh từ rác thải pin mặt trời</t>
  </si>
  <si>
    <t>Nguyễn Ngọc Thiện; Thạch Nguyễn Phúc Khương; Trần Thị Phương Nghi; Lê Phong Phú; Nguyễn Chí Bảo</t>
  </si>
  <si>
    <t>HH2026-069.png</t>
  </si>
  <si>
    <t>HH2026-070</t>
  </si>
  <si>
    <t>Nano silver (AgNPs): động hợp quá trình tổng hợp xanh với dịch chiết hoa đu đủ đực, đặc trưng và một số tiềm năng ứng dụng.</t>
  </si>
  <si>
    <t>Hoàng Ngọc Ánh; Đinh Thị Thúy Hà</t>
  </si>
  <si>
    <t>HH2026-070.png</t>
  </si>
  <si>
    <t>HH2026-071</t>
  </si>
  <si>
    <t>Nghiên cứu ứng dụng xỉ nhôm chế tạo cốt liệu chịu lửa</t>
  </si>
  <si>
    <t>Nguyễn Đức Khoa; Kim Yến Chi; Chu Thị Minh Chi; Trần Quốc Đạt</t>
  </si>
  <si>
    <t>HH2026-071.png</t>
  </si>
  <si>
    <t>HH2026-072</t>
  </si>
  <si>
    <t>Nghiên cứu nâng cao khả năng chống nứt cho vữa trát sử dụng trong các công trình xây dựng dân dụng và công nghiệp tại Việt Nam.</t>
  </si>
  <si>
    <t>Nguyễn Thu Thủy; Vương Tiến Đạt; Nguyễn Văn Đức Hiếu; Nguyễn Phương Thảo; Vũ Thu Nga</t>
  </si>
  <si>
    <t>HH2026-072.png</t>
  </si>
  <si>
    <t>HH2026-073</t>
  </si>
  <si>
    <t>Nghiên cứu ảnh hưởng của vật liệu chức năng đến tính chất của bê tông nhẹ tự bảo dưỡng, tự làm mát</t>
  </si>
  <si>
    <t>Nguyễn Thục Chi; Nguyễn Thu Hiền; Nguyễn Ngọc Linh; Mai Bảo Ngọc; Nguyễn Trọng Đức</t>
  </si>
  <si>
    <t>HH2026-073.png</t>
  </si>
  <si>
    <t>HH2026-074</t>
  </si>
  <si>
    <t>NGHIÊN CỨU ỨNG DỤNG VỎ HẠT MACCA LÀM VẬT LIỆU TIỀM NĂNG XỬ LÝ DẦU TRÀN TRÊN BIỂN</t>
  </si>
  <si>
    <t>NGUYỄN THỊ THÚY HÒA; NGUYỄN VĂN ĐỨC; NGUYỄN THÚY MAI; LÊ THỊ THU UYÊN</t>
  </si>
  <si>
    <t>HH2026-074.png</t>
  </si>
  <si>
    <t>HH2026-075</t>
  </si>
  <si>
    <t>Chế tạo micelle chứa curcumin từ carboxymethyl cellulose biến tính octenyl succinic anhydride</t>
  </si>
  <si>
    <t>Lý Trung Hiếu; Thái Bửu Uyên; Lê Nguyễn Phương Thảo; Lê Minh Hoàng Lân; Trần Quốc Duy</t>
  </si>
  <si>
    <t>HH2026-075.png</t>
  </si>
  <si>
    <t>HH2026-076</t>
  </si>
  <si>
    <t>CHẾ TẠO BÊ TÔNG NHẸ TỪ NHỰA XỐP PHẾ THẢI</t>
  </si>
  <si>
    <t>Trần Trung Hiếu; Nguyễn Chí Công; Nguyễn Ngọc Trúc My; Thái Thị Kim Ngân</t>
  </si>
  <si>
    <t>HH2026-076.png</t>
  </si>
  <si>
    <t>HH2026-077</t>
  </si>
  <si>
    <t>Thiết kế và phát triển màng Biopolymer kháng khuẩn đa chức năng từ Ficus racemosa định hướng ứng dụng vật liệu y sinh</t>
  </si>
  <si>
    <t>Phạm Lương Chí Bình; Phạm Phương Linh; Nguyễn Thế Hoàng Bảo; Nguyễn Khánh Vi</t>
  </si>
  <si>
    <t>HH2026-077.png</t>
  </si>
  <si>
    <t>HH2026-078</t>
  </si>
  <si>
    <t>Tổng hợp vật liệu ZnO/rGO bằng phương pháp xanh và ứng dụng làm phụ gia cho sơn epoxy chống ăn mòn</t>
  </si>
  <si>
    <t>Bùi Trọng Thảo; Nguyễn Chí Trung; Nguyễn Trúc Diệp</t>
  </si>
  <si>
    <t>HH2026-078.png</t>
  </si>
  <si>
    <t>HH2026-079</t>
  </si>
  <si>
    <t>Nghiên cứu ảnh hưởng của ion pha tạp dysprosium đến một số đặc trưng về cấu trúc, tính chất quang và từ của hệ hạt nano spinel nickel ferrite</t>
  </si>
  <si>
    <t>Phạm Thị Minh Ngọc; Trần Diệp Phương Quỳnh; Trần Vương Minh Huyền</t>
  </si>
  <si>
    <t>HH2026-079.png</t>
  </si>
  <si>
    <t>HH2026-080</t>
  </si>
  <si>
    <t>NGHIÊN CỨU PHÁT TRIỂN HYDROGEL AXIT HYALURONIC GHÉP DOPAMIN TÍCH HỢP HUYẾT THANH NGƯỜI CÓ KHẢ NĂNG TIÊM HƯỚNG ĐẾN ỨNG DỤNG TRONG TÁI TẠO MÔ MỀM</t>
  </si>
  <si>
    <t>Nguyễn Ngọc Bảo Hân; Nguyễn Thiện Tôn; Nguyễn Thị Diễm Ngọc</t>
  </si>
  <si>
    <t>HH2026-080.png</t>
  </si>
  <si>
    <t>HH2026-081</t>
  </si>
  <si>
    <t>NGHIÊN CỨU VÀ ĐÁNH GIÁ ĐẶC TÍNH CỦA BỌT HYDROGEL CMC/OXG TÍCH HỢP ACID TRANEXAMIC HƯỚNG ĐẾN ỨNG DỤNG CẦM MÁU</t>
  </si>
  <si>
    <t>Nguyễn Ngọc Uyên Nhi; Lê Nguyễn Bảo Anh; Trịnh Thủy Tiên; Lê Gia Hân</t>
  </si>
  <si>
    <t>HH2026-081.png</t>
  </si>
  <si>
    <t>HH2026-082</t>
  </si>
  <si>
    <t>Tổng hợp và đánh giá hoạt tính xúc tác phân hủy chất ô nhiễm của composite CoFe2O4/SiO2 trên nền silica từ trấu</t>
  </si>
  <si>
    <t>Khu Trần Nhật Minh; Hà Tuấn Anh Tú; Phạm Minh Bằng; Nguyễn Văn Huy; Lê Mạnh Quyền</t>
  </si>
  <si>
    <t>HH2026-082.png</t>
  </si>
  <si>
    <t>HH2026-083</t>
  </si>
  <si>
    <t>Floating MoS2/TiO2-Embedded PVA Hydrogel: An Advanced Interface-Photocatalytic Platform With High Visible-Light Activity and Easy Reusability</t>
  </si>
  <si>
    <t>Phan Văn Phước; Trần Tôn Thành; Lâm Thi Thắng; Phạm Duy An</t>
  </si>
  <si>
    <t>HH2026-083.png</t>
  </si>
  <si>
    <t>HH2026-084</t>
  </si>
  <si>
    <t>NGHIÊN CỨU TỔNG HỢP VÀ CHỨC NĂNG HÓA BỀ MẶT SILICA XỐP TRUNG GIAN m-SiO2 TỪ VỎ TRẤU HƯỚNG TỚI ỨNG DỤNG MÀNG PHỦ NANO BẢO VỆ KỴ NƯỚC</t>
  </si>
  <si>
    <t>Lý Nhã Uyên; Nguyễn Đình Nguyên</t>
  </si>
  <si>
    <t>HH2026-084.png</t>
  </si>
  <si>
    <t>HH2026-085</t>
  </si>
  <si>
    <t>NGHIÊN CỨU CHẾ TẠO VẢI CHỨC NĂNG TRÊN CƠ SỞ VẬT LIỆU CHUYỂN HÓA QUANG NHIỆT CsxWO3 ỨNG DỤNG ĐIỀU HÒA NHIỆT ĐỘ</t>
  </si>
  <si>
    <t>Nguyễn Trần Quốc Khánh; Lê Hoàng Bách; Nguyễn Phú Thịnh</t>
  </si>
  <si>
    <t>HH2026-085.png</t>
  </si>
  <si>
    <t>HH2026-086</t>
  </si>
  <si>
    <t>NGHIÊN CỨU KHẢ NĂNG XÚC TÁC QUÁ TRÌNH PHÂN HỦY FENTON CHẤT MÀU HỮU CƠ DƯỚI ÁNH SÁNG KHẢ KIẾN CỦA VẬT LIỆU NANOCOMPOSITE CuOx-carbon CÓ NGUỒN GỐC TỪ MOF-199 ĐƯỢC TỔNG HỢP BẰNG PHƯƠNG PHÁP CƠ HỌC</t>
  </si>
  <si>
    <t>Nguyễn Anh Khoa; Văn Nguyễn Anh Khoa</t>
  </si>
  <si>
    <t>HH2026-086.png</t>
  </si>
  <si>
    <t>HH2026-087</t>
  </si>
  <si>
    <t>ĐIỀU KHIỂN PHA VÀ THIẾT KẾ GIAO DIỆN DỊ THỂ MnO2@TMD/GRAPHENE HƯỚNG TỚI ỨNG DỤNG LƯU TRỮ NĂNG LƯỢNG HIỆU SUẤT CAO</t>
  </si>
  <si>
    <t>Huỳnh Quang Vinh; Nguyễn Quốc Thắng; Trần Phương Duy; Trần Anh Vũ; Võ Huỳnh Nhật Long</t>
  </si>
  <si>
    <t>HH2026-087.png</t>
  </si>
  <si>
    <t>HH2026-088</t>
  </si>
  <si>
    <t>DIRECT RECOVERY OF LIGNIN NANOPARTICLES FROM THE ORGANOSOLV LIQUOR OF ROBUSTA COFFEE HUSK (COFFEA CANEPHORA) AND THEIR APPLICATION IN BIO-BASED UV-BLOCKING</t>
  </si>
  <si>
    <t>Nguyễn Đức Hiếu; Nguyễn Đào Thùy Dương; Phạm Nhất Minh</t>
  </si>
  <si>
    <t>HH2026-088.png</t>
  </si>
  <si>
    <t>HH2026-089</t>
  </si>
  <si>
    <t>Tổng hợp hệ vật liệu nanosilica hữu cơ xốp chứa curcumin (E4S-NH2@curcumin) và khảo sát một số ứng dụng sinh học</t>
  </si>
  <si>
    <t>HH2026-089.png</t>
  </si>
  <si>
    <t>HH2026-090</t>
  </si>
  <si>
    <t>Nghiên cứu chế tạo, ứng dụng vật liệu nanocomposite hiệu năng cao ZnO@Ce:GO trong xử lý thuốc nhuộm Disperse red 152 và kháng khuẩn Citrobacter species</t>
  </si>
  <si>
    <t>Dương Thanh Hoa; Chu Ngọc Liễu</t>
  </si>
  <si>
    <t>HH2026-090.png</t>
  </si>
  <si>
    <t>HH2026-091</t>
  </si>
  <si>
    <t>Tổng hợp vật liệu composite ZnO/Mesoporous Silica Nanoparticles (ZnO/MSN) ứng dụng trong phân hủy quang xúc tác Rhodamine B</t>
  </si>
  <si>
    <t>Nguyễn Hoàng An; Phạm Thị Tố Trân; Trần Lê Minh Trúc; Lê Phan Tường Vy</t>
  </si>
  <si>
    <t>HH2026-091.png</t>
  </si>
  <si>
    <t>HH2026-092</t>
  </si>
  <si>
    <t>Development of Nisin Z-Loaded Chitosan-Pectin-Coated Liposomes for Control of Pathogenic Vibrio in Pacific White Shrimp (Litopenaeus vannamei)</t>
  </si>
  <si>
    <t>Đinh Ngọc Nam Sơn; Hồ Minh Quân</t>
  </si>
  <si>
    <t>HH2026-092.png</t>
  </si>
  <si>
    <t>HH2026-093</t>
  </si>
  <si>
    <t>TỔNG HỢP 6,8-DIBROMO-3-CYCLOHEXYL-3-METHYL-2,4-DIHYDRO-1H-QUINAZOLIN-3-IUM (TẠP E CỦA BROMHEXIN HYDROCLORID THEO BP 2025) Ở QUY MÔ PHÒNG THÍ NGHIỆM</t>
  </si>
  <si>
    <t>Lương Thị Hồng Khuyên; Huỳnh Chí Nguyễn; Phạm Sơn Trà; Nguyễn Hợp Bích Lam</t>
  </si>
  <si>
    <t>HH2026-093.png</t>
  </si>
  <si>
    <t>HH2026-094</t>
  </si>
  <si>
    <t>NGHIÊN CỨU THÀNH PHẦN HÓA HỌC PHÂN ĐOẠN CAO N-HEXAN CỦA THÂN XẠ VÀNG PREMNA FULVA CRAIB. VÀ ĐÁNH GIÁ TƯƠNG TÁC VỚI ACETYLCHOLINESTERASE BẰNG DOCKING PHÂN TỬ</t>
  </si>
  <si>
    <t>Trần Phước Thiên Quốc; Trần Hồ Thanh Nghĩa; Lê Mỹ Trang; Lê Huỳnh Trung Nhân</t>
  </si>
  <si>
    <t>HH2026-094.png</t>
  </si>
  <si>
    <t>CNTP2026-001</t>
  </si>
  <si>
    <t>Công nghệ thực phẩm</t>
  </si>
  <si>
    <t>ĐÁNH GIÁ ẢNH HƯỞNG CỦA TỶ LỆ DẦU DỪA THỦY PHÂN ĐẾN HÀM LƯỢNG DINH DƯỠNG VÀ ĐẶC TÍNH HÓA LÝ CỦA SỮA HẠT</t>
  </si>
  <si>
    <t>Nguyễn Ngọc Hân; Trần Vương Vân Anh; Võ Thùy Dương; Lâm Nguyễn Tường Anh; Nguyễn Thị Yến Vi</t>
  </si>
  <si>
    <t>CNTP2026-001.png</t>
  </si>
  <si>
    <t>CNTP2026-002</t>
  </si>
  <si>
    <t>THU NHẬN VÀ ĐÁNH GIÁ CHẤT LƯỢNG BỘT VI BAO SAPONIN TỪ THÂN SÂM NGỌC LINH (PANAX VIETNAMENSIS HA ET GRUSHV.)</t>
  </si>
  <si>
    <t>Nguyễn Thị Thuý Huỳnh; Trần Quốc Anh; Ngô Thị Ngọc Cẩm</t>
  </si>
  <si>
    <t>CNTP2026-002.png</t>
  </si>
  <si>
    <t>CNTP2026-003</t>
  </si>
  <si>
    <t>Nghiên cứu sản xuất nước giải khát từ cao chiết rau sam (Portulaca oleracea L.) kết hợp với chanh leo (Passiflora edulis Sims)</t>
  </si>
  <si>
    <t>Phan Hiền Tâm; Lê Thị Thu Hương</t>
  </si>
  <si>
    <t>CNTP2026-003.png</t>
  </si>
  <si>
    <t>CNTP2026-004</t>
  </si>
  <si>
    <t>Nghiên cứu ứng dụng enzyme để thu dịch quả chanh dây</t>
  </si>
  <si>
    <t>Vũ Thị Khánh Linh; Trần Thu Hương</t>
  </si>
  <si>
    <t>CNTP2026-004.png</t>
  </si>
  <si>
    <t>CNTP2026-005</t>
  </si>
  <si>
    <t>Nghiên cứu chế biến rượu vang từ quả chanh dây (Passiflora edulis Sims) trồng tại Gia Lai</t>
  </si>
  <si>
    <t>Phạm Bùi Nhật Triều; Phạm Thị Ánh Hoa; Huỳnh Thị Mỹ Linh; Nguyễn Thị Như Ý; Phạm Thị Thanh Trà</t>
  </si>
  <si>
    <t>CNTP2026-005.png</t>
  </si>
  <si>
    <t>CNTP2026-006</t>
  </si>
  <si>
    <t>Tối ưu hóa hàm lượng tinh bột kháng từ bột đậu trắng nảy mầm bằng phương pháp xử lý nhiệt - ẩm và ứng dụng bổ sung vào sản phẩm mì sợi</t>
  </si>
  <si>
    <t>Đỗ Thị Hồng Nhung; Phạm Thị Hải Vân; Lê Đức Trọng; Lê Bích Ngọc</t>
  </si>
  <si>
    <t>CNTP2026-006.png</t>
  </si>
  <si>
    <t>CNTP2026-007</t>
  </si>
  <si>
    <t>Tối ưu hóa hàm lượng tinh bột kháng bằng phương pháp siêu âm từ hạt đậu đen nảy mầm và ứng dụng bổ sung vào sản phẩm sandwich</t>
  </si>
  <si>
    <t>CNTP2026-007.png</t>
  </si>
  <si>
    <t>CNTP2026-008</t>
  </si>
  <si>
    <t>Thu nhận bột nhân hạt me (Tamarindus indica L.) và định hướng ứng dụng trong chế biến sản phẩm thực phẩm</t>
  </si>
  <si>
    <t>Nguyễn Mạnh Hào; Phạm Phương Anh; Bùi Nguyễn Ngọc Ánh Hằng</t>
  </si>
  <si>
    <t>CNTP2026-008.png</t>
  </si>
  <si>
    <t>CNTP2026-009</t>
  </si>
  <si>
    <t>Nghiên cứu chế tạo màng thông minh chỉ thị độ tươi của thực phẩm tươi sống dựa trên polymer thân thiện môi trường và các phế phẩm sẵn có tại Việt Nam</t>
  </si>
  <si>
    <t>Phạm Thị Kim Hiên; Võ Văn Chương; Lê Thành Duy</t>
  </si>
  <si>
    <t>CNTP2026-009.png</t>
  </si>
  <si>
    <t>CNTP2026-010</t>
  </si>
  <si>
    <t>MỘT SỐ YẾU TỐ ẢNH HƯỞNG ĐẾN QUÁ TRÌNH SẢN XUẤT GIA VỊ RẮC CƠM TỪ CẢI KALE (BRASSICA OLERACEA VAR. ACEPHALA L.) BẰNG PHƯƠNG PHÁP CHIÊN CHÂN KHÔNG</t>
  </si>
  <si>
    <t>Phạm Bảo Hân; Nguyễn Thị Thu Huyền; Nguyễn Tâm Nguyên; Đinh Nhật Quang</t>
  </si>
  <si>
    <t>CNTP2026-010.png</t>
  </si>
  <si>
    <t>CNTP2026-011</t>
  </si>
  <si>
    <t>KHẢO SÁT MỘT SỐ YẾU TỐ ẢNH HƯỞNG ĐẾN QUÁ TRÌNH SẢN XUẤT TRÀ VIÊN VỎ QUẢ TẮC ( CITRUS JAPONICA ) KẾT HỢP THẢO MỘC</t>
  </si>
  <si>
    <t>Lê Ý Hạ; Nguyễn Duy Hiểu; Ngô Thị Mỹ Thúy</t>
  </si>
  <si>
    <t>CNTP2026-011.png</t>
  </si>
  <si>
    <t>CNTP2026-012</t>
  </si>
  <si>
    <t>NGHIÊN CỨU MỘT SỐ YẾU TỐ ẢNH HƯỞNG ĐẾN QUY TRÌNH SẢN XUẤT GIA VỊ RẮC CƠM TỪ LÁ CHÙM NGÂY</t>
  </si>
  <si>
    <t>Trần Lê Anh Việt; Sơn Hoàng Phú Quí; Trần Quang Vũ; Tôn Nữ Gia Hân; Nguyễn Thị Ngọc Vân</t>
  </si>
  <si>
    <t>CNTP2026-012.png</t>
  </si>
  <si>
    <t>CNTP2026-013</t>
  </si>
  <si>
    <t>NGHIÊN CỨU QUÁ TRÌNH CHẾ BIỂN SẢN PHẨM KẸO DẢI TỪ VỎ CHANH MUỐI NHẰM GIẢM THIỂU THẢI PHỤ PHẨM TRONG NGÀNH CÔNG NGHIỆP NƯỚC CHANH TẠI VIỆT NAM</t>
  </si>
  <si>
    <t>Trần Quốc Ca; Nguyễn Thanh Tuyền; Nguyễn Ngọc Tín; Phan Trọng Phúc; Nguyễn Đặng Kiều Trinh</t>
  </si>
  <si>
    <t>CNTP2026-013.png</t>
  </si>
  <si>
    <t>CNTP2026-014</t>
  </si>
  <si>
    <t>NGHIÊN CỨU SẢN XUẤT NƯỚC LẨU CÔ ĐẶC TỪ PHỤ PHẨM QUÁ TRÌNH LÊN MEN ỚT</t>
  </si>
  <si>
    <t>Nguyễn Thị Minh Oanh; Nguyễn Mai Lan</t>
  </si>
  <si>
    <t>CNTP2026-014.png</t>
  </si>
  <si>
    <t>CNTP2026-015</t>
  </si>
  <si>
    <t>ẢNH HƯỞNG CỦA LACTIPLANTIBACILLUS PLANTARUM VÀ THỜI GIAN LÊN MEN ĐẾN HÀM LƯỢNG PHENOLIC, HOẠT TÍNH CHỐNG OXY HÓA VÀ CHẤT LƯỢNG CẢM QUAN CỦA VỎ CÀ PHÊ ROBUSTA (COFFEA CANEPHORA)</t>
  </si>
  <si>
    <t>Nguyễn Đan Phương; Nguyễn Hoàng Anh Tú; Cao Đoàn Thảo Vân</t>
  </si>
  <si>
    <t>CNTP2026-015.png</t>
  </si>
  <si>
    <t>CNTP2026-016</t>
  </si>
  <si>
    <t>Nghiên cứu thu nhận dịch chiết chứa luteolin từ hoa cúc bằng phương pháp chiết lưỡng pha</t>
  </si>
  <si>
    <t>Đặng Ngọc Xuân; Nguyễn Ngọc Hân; Nguyễn Phú Hào; Đinh Thanh Ngân; Văn Thị Song Ngân</t>
  </si>
  <si>
    <t>CNTP2026-016.png</t>
  </si>
  <si>
    <t>CNTP2026-017</t>
  </si>
  <si>
    <t>Tối ưu hóa trích ly phenolic từ vỏ măng cụt hỗ trợ bằng siêu âm và ứng dụng trong phát triển rượu vang từ phụ phẩm xoài sấy dẻo</t>
  </si>
  <si>
    <t>Đinh Khắc Huy; Nguyễn Hoàng Sơn; Phạm Thị Thùy Dung; Trần Quế Phấn; Nguyễn Vũ Tường Vy</t>
  </si>
  <si>
    <t>CNTP2026-017.png</t>
  </si>
  <si>
    <t>CNTP2026-018</t>
  </si>
  <si>
    <t>ĐÁNH GIÁ SỰ THAY ĐỔI CHẤT LƯỢNG THEO THỜI GIAN Ủ VÀ KHẢ NĂNG KIỂM SOÁT HỆ VI SINH VẬT ĐƯỜNG RUỘT CỦA HẮC ĐẲNG SÂM TRÊN MÔ HÌNH CHUỘT</t>
  </si>
  <si>
    <t>Trần Mỹ Thư; Võ Minh Thiện; Nguyễn Thái Việt Phương; Hồ Vũ Minh Nguyên</t>
  </si>
  <si>
    <t>CNTP2026-018.png</t>
  </si>
  <si>
    <t>CNTP2026-019</t>
  </si>
  <si>
    <t>Hoạt tính sinh học của một số loài nấm dược liệu thuộc họ Linh chi (Ganodermataceae) thu tại vườn quốc gia Yok Đôn và ứng dụng trong sản xuất trà túi lọc</t>
  </si>
  <si>
    <t>Đinh Thị Kim Liên; Trần Thị Quỳnh Mai; Lương Thúy Hòa</t>
  </si>
  <si>
    <t>CNTP2026-019.png</t>
  </si>
  <si>
    <t>CNTP2026-020</t>
  </si>
  <si>
    <t>Phân tích các amin sinh học trong nem chua bằng hệ thống ghép sắc kí khối phổ lần 2 LC-MS/MS</t>
  </si>
  <si>
    <t>Nguyễn Ngọc Minh Anh; Lê Ngọc Diệu; Giang Nhân Quốc; Nguyễn Hương Giang</t>
  </si>
  <si>
    <t>CNTP2026-020.png</t>
  </si>
  <si>
    <t>CNTP2026-021</t>
  </si>
  <si>
    <t>TẬN DỤNG PHỤ PHẨM BÃ RAU MÁ SẢN XUẤT BỘT VI BAO HOẠT CHẤT TRITERPERNOID ĐỊNH HƯỚNG PHÁT TRIỂN THỰC PHẨM BỔ SUNG</t>
  </si>
  <si>
    <t>Đặng Ngân Hoa; Trương Vĩnh Khôi; Đàm Cẩm Đức; Nguyễn Kỳ Danh</t>
  </si>
  <si>
    <t>CNTP2026-021.png</t>
  </si>
  <si>
    <t>CNTP2026-022</t>
  </si>
  <si>
    <t>Nghiên cứu đặc tính lớp phủ kép alginate - chitosan kết hợp nano bạc và ứng dụng bảo quản xoài cát chu (Mangifera indica L.)</t>
  </si>
  <si>
    <t>Nguyễn Hữu Hòa; Huỳnh Ngọc Anh Thư; Hà Phạm Kim Tuyền</t>
  </si>
  <si>
    <t>CNTP2026-022.png</t>
  </si>
  <si>
    <t>CNTP2026-023</t>
  </si>
  <si>
    <t>Ứng dụng kỹ thuật vi sóng và enzyme trong sản xuất tinh bột kháng từ khoai lang tím (Ipomoea batatas L.)</t>
  </si>
  <si>
    <t>Nguyễn Minh Nguyệt; Đỗ Ái Như My</t>
  </si>
  <si>
    <t>CNTP2026-023.png</t>
  </si>
  <si>
    <t>CNTP2026-024</t>
  </si>
  <si>
    <t>Đánh giá khả năng ổn định nhiệt của Folic acid trong hệ phức hợp bao với β-cyclodextrin</t>
  </si>
  <si>
    <t>Tiêu Kim Yến; Cao Trung Đạt; Nguyễn Lê Thiên Nga; Phạm Thị Thanh Ngân; Phạm Hồng Cẩm</t>
  </si>
  <si>
    <t>CNTP2026-024.png</t>
  </si>
  <si>
    <t>CNTP2026-025</t>
  </si>
  <si>
    <t>Nghiên cứu nâng cao hoạt tính sinh học của polysacchride từ rong Ceratophyllum submersum bằng các phương pháp khác nhau</t>
  </si>
  <si>
    <t>Trịnh Thị Bích Huyền; Nguyễn Hoàn Phương Thùy; Trần Khánh Linh; Trần Thảo Vân Trọng; Nguyễn Châu Yến Nhi</t>
  </si>
  <si>
    <t>CNTP2026-025.png</t>
  </si>
  <si>
    <t>CNTP2026-026</t>
  </si>
  <si>
    <t>Ứng dụng phương pháp chiết xuất xanh trong trích ly anthocyanins và polyphenol từ vỏ măng cụt</t>
  </si>
  <si>
    <t>Nguyễn Hoàng Anh; Lê Hoàng Huyên; Nguyễn Thị Phương Thảo</t>
  </si>
  <si>
    <t>CNTP2026-026.png</t>
  </si>
  <si>
    <t>CNTP2026-027</t>
  </si>
  <si>
    <t>Nghiên cứu thu nhận, đánh giá đặc tính dầu hạt dổi (Michelia tonkinensis) và khảo sát bước đầu ảnh hưởng của dầu đến một số đặc tính của bánh quy</t>
  </si>
  <si>
    <t>Lê Đỗ Quyên; Hoàng Thị Kim Oanh; Võ Ngọc Yến Oanh; Huỳnh Hà Bảo Ngọc</t>
  </si>
  <si>
    <t>CNTP2026-027.png</t>
  </si>
  <si>
    <t>CNTP2026-028</t>
  </si>
  <si>
    <t>Năng suất, chất lượng thịt gà Lạc Sơn ở các thời điểm giết mổ khác nhau</t>
  </si>
  <si>
    <t>Nguyễn Phan Thùy Dương; Nguyễn Minh Hiếu; Lê Ngọc Ánh</t>
  </si>
  <si>
    <t>CNTP2026-028.png</t>
  </si>
  <si>
    <t>CNTP2026-029</t>
  </si>
  <si>
    <t>KHẢO SÁT ĐỘC TÍNH CẤP, ĐỘC TÍNH BÁN TRƯỜNG DIỄN VÀ TÁC DỤNG HẠ ĐƯỜNG HUYẾT CỦA TRÀ TÚI LỌC TỪ LÁ TRÀ HOA VÀNG CAMELLIA FLAVA</t>
  </si>
  <si>
    <t>Bạch Hưng Thái Sơn; Võ Như Ý; Trần Minh Vàng; Phạm Hồng Ngọc Hân; Lê Hoàng Yến Nhung</t>
  </si>
  <si>
    <t>CNTP2026-029.png</t>
  </si>
  <si>
    <t>CNTP2026-030</t>
  </si>
  <si>
    <t>Nghiên cứu vi bao tinh dầu lá cây bon bo (Alpinia blepharocalyx) bằng công nghệ sấy phun và ứng dụng trong sản xuất trà hòa tan thảo dược</t>
  </si>
  <si>
    <t>Phạm Linh Chi, Nguyễn Thị Giang, Mai Văn Khánh, Nguyễn Quốc Cường</t>
  </si>
  <si>
    <t>CNTP2026-030.png</t>
  </si>
  <si>
    <t>CNTP2026-031</t>
  </si>
  <si>
    <t>Nghiên cứu quy trình trích ly flavonoid từ vỏ và hạt bơ bằng phương pháp dung môi</t>
  </si>
  <si>
    <t>Trần Huỳnh Bảo Trân; Lê Ngọc Như Tâm; Nguyễn Thị Cẩm Vân; Võ Hoàng Nhật Yến; Dương Thị Cẩm Ly</t>
  </si>
  <si>
    <t>CNTP2026-031.png</t>
  </si>
  <si>
    <t>CNTP2026-032</t>
  </si>
  <si>
    <t>Nghiên cứu quy trình tạo chả chay bổ sung bột xơ mít từ giống mít Thái Chiangrai</t>
  </si>
  <si>
    <t>Phan Nhựt Huy; Nguyễn Thị Anh Thư</t>
  </si>
  <si>
    <t>CNTP2026-032.png</t>
  </si>
  <si>
    <t>CNTP2026-033</t>
  </si>
  <si>
    <t>Nghiên cứu đặc điểm sinh học, xác định hàm lượng polysaccharide của nấm Thượng hoàng (Tropicoporus sp.) và nấm Sữa hổ (Pleurotus tuber-regium)</t>
  </si>
  <si>
    <t>Phan Thị Tú Uyên; Lê Ngọc Khánh; Âu Thị Trà My; Nguyễn Thị Hà Vy</t>
  </si>
  <si>
    <t>CNTP2026-033.png</t>
  </si>
  <si>
    <t>CNTP2026-034</t>
  </si>
  <si>
    <t>Optimization of co-extraction of phycocyanin and polysaccharides from Spirulina platensis using ultrasound-assisted techniques</t>
  </si>
  <si>
    <t>Nguyễn Phan Tuấn Anh</t>
  </si>
  <si>
    <t>CNTP2026-034.png</t>
  </si>
  <si>
    <t>CNTP2026-035</t>
  </si>
  <si>
    <t>Physicochemical and mechanical characterization of biodegradable film prepared from starch and mucilage co-extracted from purple yam (Dioscorea alata)</t>
  </si>
  <si>
    <t>Bùi Hải Khương</t>
  </si>
  <si>
    <t>CNTP2026-035.png</t>
  </si>
  <si>
    <t>CNTP2026-036</t>
  </si>
  <si>
    <t>Nghiên cứu sản xuất dịch chiết protein từ đậu xanh</t>
  </si>
  <si>
    <t>Phan Thế Dâng; Nguyễn Thị Mỹ Huyền; Nguyễn Nhật Yến Vy; Trần Thị Thuỳ Linh; Phạm Huỳnh Thiên Lý</t>
  </si>
  <si>
    <t>CNTP2026-036.png</t>
  </si>
  <si>
    <t>CNTP2026-037</t>
  </si>
  <si>
    <t>NGHIÊN CỨU LỚP PHỦ BẢO QUẢN SINH HỌC TỪ NGUỒN NGUYÊN LIỆU TỰ NHIÊN NHẰM KÉO DÀI THỜI GIAN BẢO QUẢN TRÁI CÂY</t>
  </si>
  <si>
    <t>Trần Mỹ Duyên; Diệp Quế Phương; Huỳnh Ngọc Tân; Huỳnh Mai Gia Linh; Võ Ngọc Ngân</t>
  </si>
  <si>
    <t>CNTP2026-037.png</t>
  </si>
  <si>
    <t>CNTP2026-038</t>
  </si>
  <si>
    <t>Nghiên cứu ảnh hưởng của điều kiện xử lý, trích ly và sấy đến chất lượng cao khô từ cỏ mực (Eclipta prostrata L.)</t>
  </si>
  <si>
    <t>Nguyễn Thị Như Quỳnh; Thòng Trúc Phương; Phạm Văn Tuấn Anh; Nguyễn Thị Ngọc Trâm; Nguyễn Thị Thùy Trâm</t>
  </si>
  <si>
    <t>CNTP2026-038.png</t>
  </si>
  <si>
    <t>CNTP2026-039</t>
  </si>
  <si>
    <t>ẢNH HƯỞNG CỦA LÊN MEN ĐƠN CHỦNG VÀ HỖN HỢP CHỦNG HANSENIASPORA SPP. VỚI SACCHAROMYCES CEREVISIAE LÊN CHẤT LƯỢNG CỦA RƯỢU XOÀI</t>
  </si>
  <si>
    <t>Bùi Đức Minh Kha; Ngô Thị Thùy Trang</t>
  </si>
  <si>
    <t>CNTP2026-039.png</t>
  </si>
  <si>
    <t>CNTP2026-040</t>
  </si>
  <si>
    <t>Nghiên cứu ứng dụng vi khuẩn Lactic trong sản xuất chế phẩm men sống phục vụ lên men nem chua</t>
  </si>
  <si>
    <t>Mai Hoàng Hiệp</t>
  </si>
  <si>
    <t>CNTP2026-040.png</t>
  </si>
  <si>
    <t>CNTP2026-041</t>
  </si>
  <si>
    <t>Phát triển Starter-kit trong sản xuất thực phẩm</t>
  </si>
  <si>
    <t>Nguyễn Thị Hải Anh; Đỗ Nguyễn Khánh Linh; Đỗ Ngọc Anh</t>
  </si>
  <si>
    <t>CNTP2026-041.png</t>
  </si>
  <si>
    <t>CNTP2026-042</t>
  </si>
  <si>
    <t>Nghiên cứu, tuyển chọn và đánh giá đặc tính các chủng vi sinh vật tiềm năng trong quá trình lên men rau cải bẹ xanh (BRASSICA JUNCEA)</t>
  </si>
  <si>
    <t>Trần Thanh Thư; Nguyễn Đào Hạnh Nguyên; K Uân; Phạm Kiên</t>
  </si>
  <si>
    <t>CNTP2026-042.png</t>
  </si>
  <si>
    <t>CNTP2026-043</t>
  </si>
  <si>
    <t>Evaluation of the potential probiotic yeast strains isolated from Kefir milk</t>
  </si>
  <si>
    <t>Lý Ngọc Yến Vy; Nguyễn Hữu Thiện</t>
  </si>
  <si>
    <t>CNTP2026-043.png</t>
  </si>
  <si>
    <t>CNTP2026-044</t>
  </si>
  <si>
    <t>Ảnh hưởng của hàm lượng hỗn hợp nấm ăn nuôi trồng tại Thái Nguyên đến quá trình lên men và chất lượng bia,cider và kombucha</t>
  </si>
  <si>
    <t>Đỗ Minh Phương; Vũ Hồng Ngọc; Đặng Hồng Anh; Nguyễn Quang Trung</t>
  </si>
  <si>
    <t>CNTP2026-044.png</t>
  </si>
  <si>
    <t>CNTP2026-045</t>
  </si>
  <si>
    <t>Nghiên cứu ảnh hưởng của điều kiện lên men và chế biến đến hàm lượng flavonoid và chất lượng trà túi lọc từ khổ qua (Momordica charantia L.)</t>
  </si>
  <si>
    <t>Thòng Trúc Phương; Nguyễn Thị Như Quỳnh; Phạm Văn Tuấn Anh; Lê Minh Quân; Trần Phạm Khánh Vy</t>
  </si>
  <si>
    <t>CNTP2026-045.png</t>
  </si>
  <si>
    <t>CNTP2026-046</t>
  </si>
  <si>
    <t>TỐI ƯU HÓA ĐIỀU KIỆN QUY TRÌNH CHIẾT XUẤT CAO VỎ QUẢ TIÊU (Piper nigrum L., Piperaceae) GIÀU POLYPHENOL VÀ PIPERIN BẰNG PHƯƠNG PHÁP BỀ MẶT ĐÁP ỨNG</t>
  </si>
  <si>
    <t>Đặng Nguyễn Trúc Vy; Nguyễn Kim Ngọc; Lương Thị Kim Anh; Ngô Thị Thu Hà; Nguyễn Hồng Thái</t>
  </si>
  <si>
    <t>CNTP2026-046.png</t>
  </si>
  <si>
    <t>CNTP2026-047</t>
  </si>
  <si>
    <t>Nghiên cứu chế tạo hạt vi nang alginate chứa dịch chiết hoa đậu biếc làm chất chỉ thị màu theo dõi độ tươi sống của thịt tôm thẻ chân trắng</t>
  </si>
  <si>
    <t>Đinh Thị Trinh; Trương Đoan Trang; Trần Yến Nhi; Võ Thị Trúc Quỳnh</t>
  </si>
  <si>
    <t>CNTP2026-047.png</t>
  </si>
  <si>
    <t>CNTP2026-048</t>
  </si>
  <si>
    <t>NGHIÊN CỨU ỨNG DỤNG MÀNG BAO ĂN ĐƯỢC CARBOXYMETHYL CELLULOSE/ALGINATE BỔ SUNG DỊCH CHIẾT LÊN MEN LACTIC (CFS) ĐỂ KÉO DÀI THỜI GIAN BẢO QUẢN CÀ CHUA BI</t>
  </si>
  <si>
    <t>Võ Lan Anh; Trần Thị Cẩm Nhung; Đỗ Thị Minh Thư; Võ Thị Kim Ngân</t>
  </si>
  <si>
    <t>CNTP2026-048.png</t>
  </si>
  <si>
    <t>CNTP2026-049</t>
  </si>
  <si>
    <t>Development of gum arabic–gelatin composite films incorporating astaxanthin from Rhodosporidium toruloides G17 and lemongrass essential oil for cherry tomato preservation</t>
  </si>
  <si>
    <t>Tô Thành Đạt; Đỗ Thanh Như; Lê Thùy Mỹ Duyên</t>
  </si>
  <si>
    <t>CNTP2026-049.png</t>
  </si>
  <si>
    <t>CNTP2026-050</t>
  </si>
  <si>
    <t>Nghiên cứu chế tạo màng nanocomposite sinh học từ konjac glucomannan kết hợp nanolignin và cao chiết lá ổi ứng dụng trong bảo quản cà chua bi</t>
  </si>
  <si>
    <t>Phạm Thị Ngọc Linh; Lê Nguyễn Tuệ Vy; Trần Minh Mẫn; Phan Thanh Trâm; Nguyễn Thị Linh Nhã</t>
  </si>
  <si>
    <t>CNTP2026-050.png</t>
  </si>
  <si>
    <t>CNTP2026-051</t>
  </si>
  <si>
    <t>Nghiên cứu thu hồi silica từ vỏ trấu và chế tạo vật liệu xerogel mang tinh dầu quế (Cinnamomum aromaticum) ứng dụng bảo quản gạo chống mọt và nấm mốc sinh độc tố Aflatoxin</t>
  </si>
  <si>
    <t>Lê Thanh Thảo; Nguyễn Huyền Trâm; Phan Ngô Thuận</t>
  </si>
  <si>
    <t>CNTP2026-051.png</t>
  </si>
  <si>
    <t>CNTP2026-052</t>
  </si>
  <si>
    <t>Khảo sát hiệu quả của lớp phủ CaCO3 hình thành tự nhiên lên chất lượng và thời gian bảo quản tỏi (Allium sativum L.)</t>
  </si>
  <si>
    <t>Lê Đức Triều; Trương Huỳnh Thu Thảo; Phạm Thị Thủy Tiên</t>
  </si>
  <si>
    <t>CNTP2026-052.png</t>
  </si>
  <si>
    <t>CNTP2026-053</t>
  </si>
  <si>
    <t>Nghiên cứu tách chiết và đánh giá hoạt tính sinh học từ cây phặc phà (Pluchea Indica).</t>
  </si>
  <si>
    <t>Nguyễn Mai Anh; Đỗ Như Quỳnh; Bùi Nguyễn Thu Hà; Dương Bích Thuỳ; Đỗ Tuệ Nhi</t>
  </si>
  <si>
    <t>CNTP2026-053.png</t>
  </si>
  <si>
    <t>CNTP2026-054</t>
  </si>
  <si>
    <t>Nghiên cứu ảnh hưởng của bột đậu ngự (Phaseolus lunatus) nảy mầm hồ hóa và maltitol đến đặc tính hóa lý, vi cấu trúc và cảm quan của chocolate</t>
  </si>
  <si>
    <t>Nguyễn Phước Đức; Nguyễn Đặng Nguyên Chương; Võ Ngọc Linh; Mai Đại Hải</t>
  </si>
  <si>
    <t>CNTP2026-054.png</t>
  </si>
  <si>
    <t>CNTP2026-055</t>
  </si>
  <si>
    <t>Đánh giá khả năng bảo quản cà chua bi (Solanum lycopersicum var. Cerasiforme) của màng PVA kết hợp nanocellulose tách từ vỏ trấu</t>
  </si>
  <si>
    <t>Nguyễn Thị Huyền Trang; Đoàn Thị Thu Trang; Phạm Minh Ngọc</t>
  </si>
  <si>
    <t>CNTP2026-055.png</t>
  </si>
  <si>
    <t>CNTP2026-056</t>
  </si>
  <si>
    <t>NGHIÊN CỨU ẢNH HƯỞNG CÁC PHƯƠNG PHÁP SẤY ĐẾN THÀNH PHẦN HÓA HỌC VÀ HOẠT TÍNH SINH HỌC CỦA BỘT VỎ TRẮNG SẦU RIÊNG (DURIO ZIBETHINUS)</t>
  </si>
  <si>
    <t>Nguyễn Hồ Tá; Lê Quốc Anh</t>
  </si>
  <si>
    <t>CNTP2026-056.png</t>
  </si>
  <si>
    <t>CNTP2026-057</t>
  </si>
  <si>
    <t>Nghiên cứu tách chiết, xác định thành phần hóa học và đánh giá một số hoạt tính sinh học có lợi và thử nghiệm bảo quản thịt lợn tươi của tinh dầu màng tang (litsea cubeba (lour.) Pers.) Tại Phường Sa Pa, Tỉnh Lào Cai.</t>
  </si>
  <si>
    <t>Nguyễn Ngọc Mai; Nguyễn Đình Mạnh; Phạm Hồng Hạnh; Bùi Thùy Linh; Đỗ Tuệ Nhi</t>
  </si>
  <si>
    <t>CNTP2026-057.png</t>
  </si>
  <si>
    <t>CNTP2026-058</t>
  </si>
  <si>
    <t>Nghiên cứu chế tạo và đánh giá đặc tính của lớp màng sinh học từ keratin và tinh bột sắn, ứng dụng trong bảo quản xoài sau thu hoạch</t>
  </si>
  <si>
    <t>Trân Minh Khuê; Lê Viết Anh Khoa; Nguyễn Huỳnh Thông; Cao Thị Hương Thi</t>
  </si>
  <si>
    <t>Trường Đại học Sư phạm Kỹ thuật, Đại học Đà Nẵng</t>
  </si>
  <si>
    <t>CNTP2026-058.png</t>
  </si>
  <si>
    <t>CNTP2026-059</t>
  </si>
  <si>
    <t>Nghiên cứu phát triển vật liệu bao gói thông minh BioHydrogel ứng dụng trong bảo quản trái cây tươi từ phụ phẩm thân cây chuối</t>
  </si>
  <si>
    <t>Đình Mai Linh</t>
  </si>
  <si>
    <t>Trường Hóa và Khoa học Sự sống, Đại học Bách Khoa Hà Nội</t>
  </si>
  <si>
    <t>CNTP2026-059.png</t>
  </si>
  <si>
    <t>CNTP2026-060</t>
  </si>
  <si>
    <t>BAP-induced enhancement of saponin biosynthesis in Antrodia cinnamomea G0.3-2 and development of a smart saponin-loaded hydrogel for colitis therapy</t>
  </si>
  <si>
    <t>Nguyễn Thị Cẩm Uyên; Trần Huỳnh Ánh Mai; Cung Vũ Uyên Nhi</t>
  </si>
  <si>
    <t>CNTP2026-060.png</t>
  </si>
  <si>
    <t>CNTP2026-061</t>
  </si>
  <si>
    <t>Tỷ lệ thừa cân béo phì và mối liên quan đến mức độ tiêu thụ thực phẩm siêu chế biến ở sinh viên khoa Y tế Công cộng, Đại học Y Dược Thành phố Hồ Chí Minh năm 2026.</t>
  </si>
  <si>
    <t>Đoàn Quốc Huy; Nguyễn Ngọc Mai Anh</t>
  </si>
  <si>
    <t>CNTP2026-061.png</t>
  </si>
  <si>
    <t>CNTP2026-062</t>
  </si>
  <si>
    <t>Tối ưu công thức sữa hạt điều kết hợp gạo lứt và cải thiện hương vị bằng enzyme tự nhiên từ nước ép dứa</t>
  </si>
  <si>
    <t>Nguyễn Ngọc Minh Thư; Huỳnh Kim Phụng; Võ Minh Phú; Lê Hoàng Lam</t>
  </si>
  <si>
    <t>CNTP2026-062.png</t>
  </si>
  <si>
    <t>CNTP2026-063</t>
  </si>
  <si>
    <t>Nghiên cứu quy trình thu nhận chất xơ thực phẩm và tạo tinh bột kháng từ khoai lang dùng cho chế biến thực phẩm bảo vệ sức khỏe</t>
  </si>
  <si>
    <t>Trần Văn Được; Hoàng Khánh Duyên</t>
  </si>
  <si>
    <t>CNTP2026-063.png</t>
  </si>
  <si>
    <t>CNTP2026-064</t>
  </si>
  <si>
    <t>EXTRACTION AND OPTIMIZATION OF POLYPHENOLS FROM BLACK SESAME CAKE USING ULTRASOUND-ASSISTED METHOD AND ETHANOL SOLVENT</t>
  </si>
  <si>
    <t>Nguyễn Khanh Nhi</t>
  </si>
  <si>
    <t>CNTP2026-064.png</t>
  </si>
  <si>
    <t>CNTP2026-065</t>
  </si>
  <si>
    <t>Nghiên cứu thu nhận, xác định hoạt tính sinh học và bước đầu nâng cao hoạt tính kháng viêm của glucosinolate từ cải bẹ xanh Brassica juncea</t>
  </si>
  <si>
    <t>Nguyễn Thu Minh; Trương Nguyễn Việt Ngân; Võ Thị Kiều Tiên; Nguyễn Thị Thùy Trang; Nguyễn Thị Thế Ngọc Oanh</t>
  </si>
  <si>
    <t>CNTP2026-065.png</t>
  </si>
  <si>
    <t>KHNN2026-001</t>
  </si>
  <si>
    <t>Khoa học nông nghiệp</t>
  </si>
  <si>
    <t>Nghiên cứu phát triển phần mềm Forestry Watch System (FWS).</t>
  </si>
  <si>
    <t>Nguyễn Thế Trọng; Hà Duy Nghĩa</t>
  </si>
  <si>
    <t>KHNN2026-001.png</t>
  </si>
  <si>
    <t>KHNN2026-002</t>
  </si>
  <si>
    <t>Ứng dụng AI trong chẩn đoán bệnh hại cây con trong giai đoạn vườn ươm</t>
  </si>
  <si>
    <t>Phạm Nguyễn Nhật Thành; Lê Tuấn Anh</t>
  </si>
  <si>
    <t>KHNN2026-002.png</t>
  </si>
  <si>
    <t>KHNN2026-003</t>
  </si>
  <si>
    <t>Tạo chế phẩm dinh dưỡng cho ếch (Hoplobatrachus rugulosus) từ phụ phẩm nuôi đông trùng hạ thảo (Cordyceps militaris) và tỏi lên men Lactic</t>
  </si>
  <si>
    <t>Nguyễn Lâm Thành Long; Trần Thị Thu Diễn</t>
  </si>
  <si>
    <t>KHNN2026-003.png</t>
  </si>
  <si>
    <t>KHNN2026-004</t>
  </si>
  <si>
    <t>Nghiên cứu ảnh hưởng của các loại thức ăn khác nhau lên tăng trưởng, khả năng thích nghi của cua biển (Scylla paramamosain) nuôi vỗ trong hộp nhựa bằng hệ thống tuần hoàn RAS</t>
  </si>
  <si>
    <t>Lê Tuấn Kiệt; Nguyễn Hồng Mỵ</t>
  </si>
  <si>
    <t>KHNN2026-004.png</t>
  </si>
  <si>
    <t>KHNN2026-005</t>
  </si>
  <si>
    <t>Nghiên cứu bổ sung dịch ruồi lính đen (Hermetia illucens) và dịch trùn quế (Perionyx excavatus) vào thức ăn công nghiệp nuôi cá chình bông (Anguilla marmorata) trong hệ thống bể tuần hoàn</t>
  </si>
  <si>
    <t>Nguyễn Duy Đoan; Lê Tuấn Kiệt</t>
  </si>
  <si>
    <t>KHNN2026-005.png</t>
  </si>
  <si>
    <t>KHNN2026-006</t>
  </si>
  <si>
    <t>Nghiên cứu bổ sung nano astaxanthin lên tăng trưởng, màu sắc, chất lượng thịt và khả năng chống oxy hóa của tôm thẻ chân trắng (Litopenaeus vannamei)</t>
  </si>
  <si>
    <t>Nguyễn Hồng Mỵ; Lê Tuấn Kiệt</t>
  </si>
  <si>
    <t>KHNN2026-006.png</t>
  </si>
  <si>
    <t>KHNN2026-007</t>
  </si>
  <si>
    <t>Nghiên cứu hệ gen và đặc tính sinh học của các thực khuẩn thể mới hướng tới kiểm soát bệnh gan thận mủ do Edwardsiella ictaluri đa kháng kháng sinh</t>
  </si>
  <si>
    <t>Nguyễn Huỳnh Anh Thư; Huỳnh Phương Nhã; Trần Minh Thiên Bảo; Lê Trần Khánh Băng; Phạm Minh Phú</t>
  </si>
  <si>
    <t>KHNN2026-007.png</t>
  </si>
  <si>
    <t>KHNN2026-008</t>
  </si>
  <si>
    <t>Đánh giá mức độ đáp ứng miễn dịch với vaccine đa giá phòng bệnh do streptococcus agalactiae và aeromonas veronii trên cá rô phi (oreochromis niloticus)</t>
  </si>
  <si>
    <t>Nguyễn Ngọc Thảo My</t>
  </si>
  <si>
    <t>KHNN2026-008.png</t>
  </si>
  <si>
    <t>KHNN2026-009</t>
  </si>
  <si>
    <t>Khảo sát đặc điểm hình thái, phân biệt giới tính và sinh học sinh sản của cá lìm kìm bên Hyporhamphus limbatus (Valenciennes, 1847) tại bán đảo Cà Mau</t>
  </si>
  <si>
    <t>Nguyễn Quốc Vinh; Lý Văn Vương; Nguyễn Lê Hoàng Phúc; Nguyễn Lê Quyết; Trần Thị Cẩm Ly</t>
  </si>
  <si>
    <t>KHNN2026-009.png</t>
  </si>
  <si>
    <t>KHNN2026-010</t>
  </si>
  <si>
    <t>Nghiên cứu chế tạo Hydrogel siêu trương nở phân hủy sinh học phục vụ giữ ẩm đất và giải phóng chậm phân bón trong nông nghiệp.</t>
  </si>
  <si>
    <t>Trần Nguyễn Thùy Trang; Trần Kiều Tiên; Lê Võ Trâm Anh</t>
  </si>
  <si>
    <t>KHNN2026-010.png</t>
  </si>
  <si>
    <t>KHNN2026-011</t>
  </si>
  <si>
    <t>Nghiên cứu sản xuất vật liệu cải tạo đất phèn nặng từ sinh khối cỏ năn kim (Eleocharis ochrostachys) nhằm nâng cao năng suất và chất lượng lúa (Oryza sativa L.)</t>
  </si>
  <si>
    <t>Nguyễn Minh Phú; La Nguyễn Nhật Minh; Cao Đức Duy</t>
  </si>
  <si>
    <t>KHNN2026-011.png</t>
  </si>
  <si>
    <t>KHNN2026-012</t>
  </si>
  <si>
    <t>Nghiên cứu chế tạo hạt nén Trichoderma siêu hấp thụ nước (SAP) từ bã rau củ và polyacrylic acid</t>
  </si>
  <si>
    <t>Trương Phúc Hậu; Trịnh Quang Minh Hiếu; Trần Tiến Đạt; Trần Bảo Khải</t>
  </si>
  <si>
    <t>KHNN2026-012.png</t>
  </si>
  <si>
    <t>KHNN2026-013</t>
  </si>
  <si>
    <t>Chiết xuất acid humic từ bã thải nấm hương lên men đến hiệu quả nông học của cây cải xanh và cây xà lách giai đoạn cây con và giai đoạn kinh doanh trong điều kiện nhà có mái che tại Lâm Đồng</t>
  </si>
  <si>
    <t>Huỳnh Khánh Đoan; Nguyễn Quốc Hiếu; Vũ Thảo Thanh Khuyên; Hoàng Kim Thanh; Phan Thục Vy</t>
  </si>
  <si>
    <t>KHNN2026-013.png</t>
  </si>
  <si>
    <t>KHNN2026-014</t>
  </si>
  <si>
    <t>Endophytic bacteria from Portulaca oleracea L.: secondary metabolite profiling and antifungal activity against Fusarium oxysporum f. sp. cubense TR4</t>
  </si>
  <si>
    <t>Hàng Ngọc Anh; Phạm Minh Anh; Nguyễn Thảo Vy</t>
  </si>
  <si>
    <t>KHNN2026-014.png</t>
  </si>
  <si>
    <t>KHNN2026-015</t>
  </si>
  <si>
    <t>Tăng cường khả năng chịu mặn của cây ớt (Capsicum frutescens L.) nhờ Bacillus amyloliquefaciens sinh exopolysaccharide và hình thành màng sinh học</t>
  </si>
  <si>
    <t>HUỲNH THÀNH ĐẠT; HỒ THỊ THANH TRÚC</t>
  </si>
  <si>
    <t>KHNN2026-015.png</t>
  </si>
  <si>
    <t>KHNN2026-016</t>
  </si>
  <si>
    <t>TUYỂN CHỌN VI SINH VẬT ĐA CHỨC NĂNG ĐỐI KHÁNG NẤM BỆNH VÀ ĐÁNH GIÁ KHẢ NĂNG LÊN MEN PHỤ PHẨM CÁ ĐỊNH HƯỚNG ỨNG DỤNG TRONG CANH TÁC SẦU RIÊNG</t>
  </si>
  <si>
    <t>Đinh Thị Thảo Linh; Võ Thanh Hương; Nguyễn Trần Tường Vy; Nguyễn Bảo Nghi</t>
  </si>
  <si>
    <t>KHNN2026-016.png</t>
  </si>
  <si>
    <t>KHNN2026-017</t>
  </si>
  <si>
    <t>Phát triển cao chiết lá ổi (Psidium guajava L.) và củ tỏi (Allium sativum L.) hướng đến chăn nuôi gia cầm bền vững: Từ trích ly đến kiểm soát vi khuẩn đường ruột và nâng cao năng suất</t>
  </si>
  <si>
    <t>Huỳnh Thị Thanh Trà; Nguyễn Khánh Vy; Phạm Ngọc Nhã Vy; Mạc Võ Gia Huy; Nguyễn Võ Hải Duy</t>
  </si>
  <si>
    <t>KHNN2026-017.png</t>
  </si>
  <si>
    <t>KHNN2026-018</t>
  </si>
  <si>
    <t>Nghiên cứu đặc tính hóa thực vật, hoạt tính kháng khuẩn và tiềm năng ứng dụng cao chiết lá trầu không (Piper betle) và lá chè xanh (Camellia sinensis) trong chăn nuôi gia cầm</t>
  </si>
  <si>
    <t>Lê Hoàng Long; Nguyễn Phúc Luân; Nguyễn Hoàng Minh Tâm; Nguyễn Ngọc Thanh Tâm; Thân Trọng Đức</t>
  </si>
  <si>
    <t>KHNN2026-018.png</t>
  </si>
  <si>
    <t>KHNN2026-019</t>
  </si>
  <si>
    <t>Xây dựng bản đồ mẫn cảm IgE đặc hiệu với 64 dị nguyên ở chó nghi viêm da dị ứng tại Hà Nội</t>
  </si>
  <si>
    <t>Đào Vũ Thanh Mai; Hà Anh; Nguyễn Tất Đạt; Nguyễn Khánh Ly; Ngô Phương Anh</t>
  </si>
  <si>
    <t>KHNN2026-019.png</t>
  </si>
  <si>
    <t>KHNN2026-020</t>
  </si>
  <si>
    <t>PETSAFE-ABCB1: BỘ KIT PCR SÀNG LỌC NGUY CƠ NHẠY CẢM IVERMECTIN Ở CHÓ VÀ MÈO</t>
  </si>
  <si>
    <t>Phan Nhật Huỳnh; Nguyễn Văn Quí; Lê Hoàng Đăng Khoa</t>
  </si>
  <si>
    <t>KHNN2026-020.png</t>
  </si>
  <si>
    <t>KHNN2026-021</t>
  </si>
  <si>
    <t>Phát triển quy trình xét nghiệm virus dịch tả heo Châu Phi trong nguồn nước bằng hệ thống siêu lọc</t>
  </si>
  <si>
    <t>Nguyễn Thị Thanh Huyền; Nguyễn Thị Hồng Ngọc; Nguyễn Thị Thùy Trang; Trần Hà Nhật Tân; Trần Tấn Phát</t>
  </si>
  <si>
    <t>KHNN2026-021.png</t>
  </si>
  <si>
    <t>KHNN2026-022</t>
  </si>
  <si>
    <t>So sánh hiệu quả của Real-time PCR và PCR vi giọt kĩ thuật số p72 (B646L) và p30 (CP204L) trong phát hiện sớm dịch tả heo Châu Phi</t>
  </si>
  <si>
    <t>Trần Hà Nhật Tân; Nguyễn Thị Hồng Ngọc; Nguyễn Thị Thùy Trang; Trần Tấn Phát; Nguyễn Thị Thanh Huyền</t>
  </si>
  <si>
    <t>KHNN2026-022.png</t>
  </si>
  <si>
    <t>KHNN2026-023</t>
  </si>
  <si>
    <t>Nghiên cứu tiềm năng ly giải của thực khuẩn thể đối với Escherichia coli phân lập từ chó viêm đường tiết niệu</t>
  </si>
  <si>
    <t>Lương Ngọc Bảo Châu; Trần Huỳnh Đông Nghi; Lê Lâm Hải Triều</t>
  </si>
  <si>
    <t>KHNN2026-023.png</t>
  </si>
  <si>
    <t>KHNN2026-024</t>
  </si>
  <si>
    <t>Một số đặc điểm của bệnh do Parvovirus gây ra ở chó đến khám và điều trị tại phòng khám thú y King pet - tỉnh Thái Nguyên</t>
  </si>
  <si>
    <t>Bùi Phương Hoa</t>
  </si>
  <si>
    <t>KHNN2026-024.png</t>
  </si>
  <si>
    <t>KHNN2026-025</t>
  </si>
  <si>
    <t>Sản xuất bộ kit PCR sàng lọc sớm dòng gà vịt có khả năng tạo trứng vỏ xanh</t>
  </si>
  <si>
    <t>Nguyễn Văn Quí; Nguyễn Văn Đại; Phan Nhật Huỳnh; Lê Hoàng Đăng Khoa; Nguyễn Đào Thái Bảo</t>
  </si>
  <si>
    <t>KHNN2026-025.png</t>
  </si>
  <si>
    <t>KHNN2026-026</t>
  </si>
  <si>
    <t>Nghiên cứu giá trị hóa phụ phẩm vỏ táo (Malus domestica Borkh.) thông qua xác định hàm lượng polyphenol, flavonoid và đánh giá một số hoạt tính sinh học</t>
  </si>
  <si>
    <t>Nguyễn Thị Kim Toàn; Nguyễn Thị Việt Anh; Phạm Nguyễn Trà Giang; Lê Thị Lan Anh; Hồ Thị Thuận Ánh</t>
  </si>
  <si>
    <t>KHNN2026-026.png</t>
  </si>
  <si>
    <t>KHNN2026-027</t>
  </si>
  <si>
    <t>Nghiên cứu tối ưu hóa sinh tổng hợp trên phụ phẩm nông nghiệp, tinh sạch laccase từ Penicillium citrinum M5 và đánh giá khả năng phân hủy thuốc nhuộm công nghiệp</t>
  </si>
  <si>
    <t>Nguyễn Bằng Gia Bảo; Huỳnh Bảo Trân; Nguyễn Ngọc Trường Giang</t>
  </si>
  <si>
    <t>KHNN2026-027.png</t>
  </si>
  <si>
    <t>KHNN2026-028</t>
  </si>
  <si>
    <t>NGHIÊN CỨU NHÂN NUÔI CÀ CUỐNG (LETHOCERUS INDICUS) TRONG ĐIỀU KIỆN NHÂN TẠO</t>
  </si>
  <si>
    <t>Nguyễn Thị Ánh Ngọc; Bùi Thanh Kiệt; Lợi Tấn Lộc</t>
  </si>
  <si>
    <t>KHNN2026-028.png</t>
  </si>
  <si>
    <t>KHNN2026-029</t>
  </si>
  <si>
    <t>PHÂN TÍCH GENOME LỤC LẠP VÀ PHÁT TRIỂN CHỈ THỊ PHÂN TỬ PHỤC VỤ NHẬN DẠNG, BẢO TỒN NGUỒN GEN CÂY DƯỢC LIỆU LƯỠI RẮN (Oldenlandia corymbosa) TẠI VIỆT NAM</t>
  </si>
  <si>
    <t>Dương Hiền Thảo Hân</t>
  </si>
  <si>
    <t>KHNN2026-029.png</t>
  </si>
  <si>
    <t>KHNN2026-030</t>
  </si>
  <si>
    <t>Nghiên cứu tác động của môi trường khoáng, chất điều hòa sinh trưởng đến sinh trưởng và phát triển của cây Sâm Bố Chính (Hibiscus sagittifolius KURZ.) in vitro</t>
  </si>
  <si>
    <t>Nguyễn Ngọc Như Quỳnh</t>
  </si>
  <si>
    <t>KHNN2026-030.png</t>
  </si>
  <si>
    <t>KHNN2026-031</t>
  </si>
  <si>
    <t>Tiềm năng ứng dụng sinh khối vi tảo Chlorella Vulgaris trong sản xuất thức ăn thủy sản</t>
  </si>
  <si>
    <t>Nguyễn Phan Minh An; Nguyễn Minh Thuận</t>
  </si>
  <si>
    <t>KHNN2026-031.png</t>
  </si>
  <si>
    <t>KHNN2026-032</t>
  </si>
  <si>
    <t>Đánh giá hiệu quả đối kháng của một số chủng vi sinh vật với nấm bệnh Fusarium oxysporum f. sp. cubense gây bệnh vàng lá, thối rễ chuối già Nam Mỹ trồng tại Đồng Nai</t>
  </si>
  <si>
    <t>Mai Nhật Hòa</t>
  </si>
  <si>
    <t>KHNN2026-032.png</t>
  </si>
  <si>
    <t>KHNN2026-033</t>
  </si>
  <si>
    <t>Ghi nhận đầu tiên về một số loại nấm gây bệnh sau thu hoạch trên nho mẫu đơn tại Việt Nam và hiệu quả kiểm soát chúng bằng hợp chất bay hơi từ Trichoderma koningiopsis</t>
  </si>
  <si>
    <t>Tăng Viễn Đông; Nguyễn Thị Kiều My; Châu Phạm Thành Phú; Phạm Trần Vân Anh; Trương Bùi Ngọc Minh</t>
  </si>
  <si>
    <t>KHNN2026-033.png</t>
  </si>
  <si>
    <t>KHNN2026-034</t>
  </si>
  <si>
    <t>Nghiên cứu đặc tính sinh học, làm giàu hợp chất có hoạt tính từ xạ khuẩn Amycolatopsis orientalis HC2.7 và đánh giá khả năng kiểm soát một số bệnh hại cây trồng in vivo</t>
  </si>
  <si>
    <t>Nguyễn Đình Văn; Trịnh Thoại Như; Ôn Phát Đạt; Nguyễn Chí Minh</t>
  </si>
  <si>
    <t>KHNN2026-034.png</t>
  </si>
  <si>
    <t>KHNN2026-035</t>
  </si>
  <si>
    <t>TUYỂN CHỌN VI KHUẨN NỘI SINH CÓ HOẠT TÍNH HỖ TRỢ SINH TRƯỞNG THỰC VẬT TRONG RỄ CÂY SÂM BỐ CHÍNH (ABELMOSCHUS SAGITTIFOLIUS (KURZ) MERR.) THU THẬP TẠI VƯỜN QUỐC GIA YOK ĐÔN</t>
  </si>
  <si>
    <t>Lê Ngọc Bảo Châu; Nguyễn Ngọc Bảo Trân; Trần Thị Bích Ngọc</t>
  </si>
  <si>
    <t>KHNN2026-035.png</t>
  </si>
  <si>
    <t>KHNN2026-036</t>
  </si>
  <si>
    <t>SO SÁNH ĐẶC ĐIỂM THỰC VẬT MỘT SỐ LOÀI THUỘC HỌ RAU DỀN (AMARANTHACEAE) PHỤC VỤ PHÂN LOẠI VÀ SẢN XUẤT NÔNG NGHIỆP.</t>
  </si>
  <si>
    <t>KHNN2026-036.png</t>
  </si>
  <si>
    <t>KHNN2026-037</t>
  </si>
  <si>
    <t>NGHIÊN CỨU ĐỊNH HƯỚNG KHAI THÁC VÀ PHÁT TRIỂN CÂY TRÁI NỔ (RUELLIA TUBEROSA L.) MỌC HOANG TẠI VIỆT NAM LÀM NGUỒN DƯỢC LIỆU CÓ TÁC DỤNG GIẢM ĐAU</t>
  </si>
  <si>
    <t>Nguyễn Việt Trung; Lê Nguyễn Hoàng Phát; Nguyễn Công Toại; Huỳnh Ngọc Huyền Trang; Đặng Thị Quỳnh Duyên</t>
  </si>
  <si>
    <t>KHNN2026-037.png</t>
  </si>
  <si>
    <t>KHNN2026-038</t>
  </si>
  <si>
    <t>Ứng dụng siêu âm trong chẩn đoán bệnh viêm tử cung tích mủ trên chó và theo dõi hiệu quả điều trị tại một số phòng khám thú y Phường/ Xã Tỉnh Nghệ An</t>
  </si>
  <si>
    <t>Võ Thị Tú; Nguyễn Trọng Tú; Trương Thị Hải Yến; Phùng Hương Giang</t>
  </si>
  <si>
    <t>KHNN2026-038.png</t>
  </si>
  <si>
    <t>KHNN2026-039</t>
  </si>
  <si>
    <t>Nghiên cứu quá trình vi bao astaxanthin từ vỏ tôm và bước đầu ứng dụng chế phẩm astaxanthin trong thực phẩm</t>
  </si>
  <si>
    <t>Lê Văn Hiếu; Trương Công Nhật Tùng; Huỳnh Đặng Quỳnh Trâm; Trần Thùy Phúc</t>
  </si>
  <si>
    <t>KHNN2026-039.png</t>
  </si>
  <si>
    <t>KHNN2026-040</t>
  </si>
  <si>
    <t>Đánh giá ảnh hưởng của tỷ lệ phối trộn bã hèm bia kết hợp rau thải và bổ sung Trichoderma đến chất lượng và khối lượng phân hữu cơ thành phẩm</t>
  </si>
  <si>
    <t>Phạm Trung Kiên</t>
  </si>
  <si>
    <t>KHNN2026-040.png</t>
  </si>
  <si>
    <t>KHNN2026-041</t>
  </si>
  <si>
    <t>Tổng hợp vật liệu Hydrogel dùng trong sơn phủ nhà kính dựa trên PVA và GQDs tăng cường khả năng chống nóng và giảm bức xạ UV cho cây trồng</t>
  </si>
  <si>
    <t>Lê Phạm Lan Hà; Hà Hải Đăng; Huỳnh Lê Nhựt Thủy</t>
  </si>
  <si>
    <t>KHNN2026-041.png</t>
  </si>
  <si>
    <t>KHNN2026-042</t>
  </si>
  <si>
    <t>BATS-AGRIGUARD: HỆ THỐNG PHÁT HIỆN VÀ CẢNH BÁO NGUY CƠ LẠM DỤNG MÃ SỐ VÙNG TRỒNG TRONG TRUY XUẤT NGUỒN GỐC CHUỖI NÔNG SẢN</t>
  </si>
  <si>
    <t>Nguyễn Đình Khang; Võ Minh An</t>
  </si>
  <si>
    <t>KHNN2026-042.png</t>
  </si>
  <si>
    <t>KHNN2026-043</t>
  </si>
  <si>
    <t>TỔNG HỢP PMD TỪ TINH DẦU SẢ JAVA ỨNG DỤNG TRONG VIỆC XUA DIỆT MUỖI</t>
  </si>
  <si>
    <t>Ngô Nguyễn Minh Thư; Phạm Ngọc Trinh; Trần Thị Trang; Đinh Trọng Hoàng; Nguyễn Hữu Anh Tuấn</t>
  </si>
  <si>
    <t>KHNN2026-043.png</t>
  </si>
  <si>
    <t>KHNN2026-044</t>
  </si>
  <si>
    <t>Ảnh hưởng của stress nacl kết hợp bổ sung phytohormone đến quá trình sinh tổng hợp phycocyanin ở tảo xoắn Arthrospira platensis</t>
  </si>
  <si>
    <t>Cao Thị Uyển Nhi; Phạm Thị Thục Quyên; Nguyễn Tấn Tiến; Nguyễn Viễn Chí</t>
  </si>
  <si>
    <t>KHNN2026-044.png</t>
  </si>
  <si>
    <t>KHNN2026-045</t>
  </si>
  <si>
    <t>Antifungal properties of Chromolaena odorata extracts and nano-emulsion formulations</t>
  </si>
  <si>
    <t>Trần Văn Trọng; Trần Quốc Thịnh; Phạm Công Thắng; Mai Hoa Hương; Nguyễn Đỗ Thiên Triều</t>
  </si>
  <si>
    <t>KHNN2026-045.png</t>
  </si>
  <si>
    <t>KHNN2026-046</t>
  </si>
  <si>
    <t>NGHIÊN CỨU PHÁT TRIỂN VẬT LIỆU GIÁ TRỊ CAO TỪ SẢN PHẨM NÔNG NGHIỆP VIỆT NAM: CHUYỂN HÓA NƯỚC DỪA THÀNH CARBON AEROGEL BA CHIỀU ĐỊNH HƯỚNG ỨNG DỤNG XỬ LÝ SỰ CỐ TRÀN DẦU</t>
  </si>
  <si>
    <t>Phạm Nam Anh; Trần Huỳnh Mai Khanh</t>
  </si>
  <si>
    <t>KHNN2026-046.png</t>
  </si>
  <si>
    <t>KHNN2026-047</t>
  </si>
  <si>
    <t>Nghiên cứu quy trình sản xuất bột hạt mít (Artocarpus heterophyllus Lam.) lên men probiotic xử lý bằng enzyme ứng dụng vào thức ăn chăn nuôi</t>
  </si>
  <si>
    <t>Nguyễn Thị Minh Thư; Trần Lê Phương Thùy</t>
  </si>
  <si>
    <t>KHNN2026-047.png</t>
  </si>
  <si>
    <t>KHNN2026-048</t>
  </si>
  <si>
    <t>Đánh giá hiệu quả sử dụng lá húng chanh (plectranthus amboinicus) và mơ lông (paederia tomentosa) làm phụ gia sinh học trong chăn nuôi gà ác</t>
  </si>
  <si>
    <t>Hồ Quốc Truyện; Đồng Tuấn Duy; Huỳnh Hữu Nhã; Trần Tiến Đạt; Huỳnh Nguyễn Đức Duy</t>
  </si>
  <si>
    <t>KHNN2026-048.png</t>
  </si>
  <si>
    <t>KHNN2026-049</t>
  </si>
  <si>
    <t>Nghiên cứu tình trạng chậm động dục sau khi đẻ và hiệu quả sử dụng hormone trên đàn bò cái Lai Sind sinh sản tại một số xã của tỉnh Nghệ An.</t>
  </si>
  <si>
    <t>Nguyễn Thị Huệ; Lê Văn Hoàng; Nguyễn Thị Lam; Cao Tiến Văn</t>
  </si>
  <si>
    <t>KHNN2026-049.png</t>
  </si>
  <si>
    <t>KHNN2026-050</t>
  </si>
  <si>
    <t>Nghiên cứu quy trình chiết xuất Pectin từ phụ phẩm nông nghiệp</t>
  </si>
  <si>
    <t>Trần Nguyễn Anh Chi; Đặng Vân Anh; Hoàng Quốc Toản; Bùi Bích Ngọc Nguyên; Nguyễn Bảo Thanh Ngọc</t>
  </si>
  <si>
    <t>KHNN2026-050.png</t>
  </si>
  <si>
    <t>KHNN2026-051</t>
  </si>
  <si>
    <t>Ứng dụng multiplex PCR phát hiện nhanh và đồng thời các loài tảo lam (Cyanobacteria) tại khu vực Rừng Sác, Cần Giờ, Thành phố Hồ Chí Minh</t>
  </si>
  <si>
    <t>Nguyễn Hương Giang; Cao Ngọc Lê Huy; Huỳnh Ngọc Băng; Nguyễn Thành Phát; Hồ Đặng Minh Trâm</t>
  </si>
  <si>
    <t>KHNN2026-051.png</t>
  </si>
  <si>
    <t>KHNN2026-052</t>
  </si>
  <si>
    <t>Nghiên cứu khả năng tận dụng cám lúa mì làm môi trường nuôi cấy Bacillus megaterium nhằm thu nhận sinh khối ứng dụng trong công nghiệp sản xuất thức ăn chăn nuôi</t>
  </si>
  <si>
    <t>Trần Thanh Giàu; Nguyễn Thị Ngọc Hiếu; Hồ Xuân Hương; Trần Thanh Phúc</t>
  </si>
  <si>
    <t>KHNN2026-052.png</t>
  </si>
  <si>
    <t>KHNN2026-053</t>
  </si>
  <si>
    <t>CHẾ TẠO CẢM BIẾN SIÊU NHẠY TỪ GIẤY ĐỂ NHẬN DIỆN CHẤT HỮU CƠ ĐỘC HẠI TRÊN NÔNG PHẨM VÀ NGUỒN NƯỚC</t>
  </si>
  <si>
    <t>Nguyễn Tấn Đạt; Trần Anh Khoa; Ông Hoàng Phúc; Nguyễn Tấn Thống</t>
  </si>
  <si>
    <t>KHNN2026-053.png</t>
  </si>
  <si>
    <t>KHNN2026-054</t>
  </si>
  <si>
    <t>Phân tích các chất chuyển hóa của Sâm cau Curculigo orchioides Gaertn theo các vùng canh tác ở Việt Nam và biến đổi các chất sinh học trong củ Sâm cau đen dựa trên phương pháp tiếp cận Untargeted Metabolomics</t>
  </si>
  <si>
    <t>Nguyễn Văn Bửu; Phạm Thành Nhân</t>
  </si>
  <si>
    <t>KHNN2026-054.png</t>
  </si>
  <si>
    <t>KHNN2026-055</t>
  </si>
  <si>
    <t>Bệnh đỏ chân và melanin hóa trên tôm thẻ chân trắng (Penaeus vannamei): Xác định tác nhân, nghiên cứu đặc điểm và kiểm chứng thực nghiệm</t>
  </si>
  <si>
    <t>Phạm Hồng Sơn; Nguyễn Việt Hoàng; Đặng Hữu Huy; Nguyễn Đắc Đạt; Lê Ngọc Uyên Thy</t>
  </si>
  <si>
    <t>KHNN2026-055.png</t>
  </si>
  <si>
    <t>KHNN2026-056</t>
  </si>
  <si>
    <t>Khảo sát kiến thức, thái độ và hành vi của người dân sinh sống tại thành phố hà nội đối với việc sử dụng các sản phẩm từ động vật hoang dã</t>
  </si>
  <si>
    <t>Nguyễn Thị Thanh Thúy; Đỗ Lan Anh; Nguyễn Minh Phương; Bùi Minh Trí</t>
  </si>
  <si>
    <t>KHNN2026-056.png</t>
  </si>
  <si>
    <t>KHNN2026-057</t>
  </si>
  <si>
    <t>Tìm hiểu kiến thức, thái độ và hành vi của người dân nuôi mèo tại xã Gia Lâm trong phòng bệnh do Toxoplasma gondii trên người</t>
  </si>
  <si>
    <t>Trần Thị Mỹ Linh; Nông Thị Lan Hương; Nguyễn Trần Diệu Linh; Hà Khánh Linh</t>
  </si>
  <si>
    <t>KHNN2026-057.png</t>
  </si>
  <si>
    <t>KHNN2026-058</t>
  </si>
  <si>
    <t>Phân lập, tuyển chọn một số chủng Bacillus sp. có hoạt tính sinh học và đánh giá ảnh hưởng đến sinh trưởng cây cà chua (Solanum lycopersicum)</t>
  </si>
  <si>
    <t>Nguyễn Ngọc Bảo Đăng; Nguyễn Lê Thanh Hương; Trần Anh Thư; Nguyễn Thị Kiều My; Nguyễn Ngọc Quỳnh Như</t>
  </si>
  <si>
    <t>KHNN2026-058.png</t>
  </si>
  <si>
    <t>KHNN2026-059</t>
  </si>
  <si>
    <t>Nghiên cứu ứng dụng thị giác máy tính trong phân loại độ chín và đánh giá tự động chất lượng quả chanh dây RP9</t>
  </si>
  <si>
    <t>Phạm Thị Ngọc Hằng; Nguyễn Minh Chí</t>
  </si>
  <si>
    <t>KHNN2026-059.png</t>
  </si>
  <si>
    <t>KHNN2026-060</t>
  </si>
  <si>
    <t>Tận dụng phụ phẩm chuối sản xuất compost bằng chế phẩm vi sinh và đánh giá hiệu quả trên cây cải xanh (Brassic a juncea L.)</t>
  </si>
  <si>
    <t>Lâm Tuấn Sang</t>
  </si>
  <si>
    <t>Trường Đại học Kiên Giang</t>
  </si>
  <si>
    <t>KHNN2026-060.png</t>
  </si>
  <si>
    <t>KHNN2026-061</t>
  </si>
  <si>
    <t>Phân lập và khảo sát khả năng kháng kháng sinh trên các chủng Bacillus không gây bệnh trong môi trường sinh hoạt của chó</t>
  </si>
  <si>
    <t>Nguyễn Huỳnh Như Tâm; Lê Thị Cẩm Huyền; Trương Ngọc Phương Linh</t>
  </si>
  <si>
    <t>KHNN2026-061.png</t>
  </si>
  <si>
    <t>KHNN2026-062</t>
  </si>
  <si>
    <t>Tìm hiểu kiến thức, thái độ và hành vi của người dân khu vực 4 xã ở Hà Nội: Thuận An, Bát Tràng, Gia Lâm và Phù Đổng trong việc phòng chống bệnh liên cầu khuẩn lợn trên người</t>
  </si>
  <si>
    <t>Đinh Mỹ Duyên; Nguyễn Thị Kiều Anh; Vũ Quang Công</t>
  </si>
  <si>
    <t>KHNN2026-062.png</t>
  </si>
  <si>
    <t>KHNN2026-063</t>
  </si>
  <si>
    <t>NGHIÊN CỨU TUYỂN CHỌN CÁC CHỦNG LACTOBACILLUS SPP. CÓ NGUỒN GỐC TỪ SỮA KEFIR ĐỐI KHÁNG VỚI VIBRIO PARAHAEMOLYTICUS GÂY BỆNH GAN TỤY CẤP TRÊN TÔM THẺ CHÂN TRẮNG TẠI ĐỒNG BẰNG SÔNG CỬU LONG</t>
  </si>
  <si>
    <t>Võ A Tỷ; Lê Khánh Băng; Nguyễn Hoàng An; Nguyễn Phi Phùng</t>
  </si>
  <si>
    <t>KHNN2026-063.png</t>
  </si>
  <si>
    <t>VL2026-001</t>
  </si>
  <si>
    <t>Vật lý</t>
  </si>
  <si>
    <t>Nghiên cứu chế tạo vật liệu phát quang CaAl4O7 pha tạp Mn4+ phát xạ đỏ mạnh ứng dụng trong đèn LED trắng ấm và LED đỏ chuyên dụng cho cây trồng.</t>
  </si>
  <si>
    <t>Vũ Hồng Đăng; Dương Thị Hảo Dung; Nguyễn Khắc Quyết; Mai Ảnh; Trần Việt Hùng</t>
  </si>
  <si>
    <t>VL2026-001.png</t>
  </si>
  <si>
    <t>VL2026-002</t>
  </si>
  <si>
    <t>NGHIÊN CỨU CHẾ TẠO MÀNG PLASMONIC PVA/Csx WO3/ZnO GỐC NƯỚC ỨNG DỤNG TRÊN KÍNH CÁCH NHIỆT TIẾT KIỆM NĂNG LƯỢNG</t>
  </si>
  <si>
    <t>Phùng Đức Cường; Trương Công Đạt; Đặng Thị Thanh Mai</t>
  </si>
  <si>
    <t>VL2026-002.png</t>
  </si>
  <si>
    <t>VL2026-003</t>
  </si>
  <si>
    <t>Nghiên cứu ảnh hưởng của hệ số phân bố rắn - lỏng và tính chất của đất lên sự vận chuyển các đồng vị phóng xạ tự nhiên từ đất lên cây rau muống</t>
  </si>
  <si>
    <t>Nguyễn Đăng Khoa; Phan Đình Huy; Nguyễn Hoàng Nhật</t>
  </si>
  <si>
    <t>VL2026-003.png</t>
  </si>
  <si>
    <t>VL2026-004</t>
  </si>
  <si>
    <t>Xác định bề dày lớp chết của hệ HPGe bằng phương pháp truyền thống và phương pháp học máy</t>
  </si>
  <si>
    <t>Lê Nhật Duy Uyên; Nguyễn Văn Thiêm</t>
  </si>
  <si>
    <t>VL2026-004.png</t>
  </si>
  <si>
    <t>VL2026-005</t>
  </si>
  <si>
    <t>ROLE OF HEATING RATE IN CONTROLLING THE STRUCTURE AND MECHANICAL PROPERTIES OF TI55 POROUS MATERIALS FOR POTENTIAL IMPLANT APPLICATIONS</t>
  </si>
  <si>
    <t>Lê Phạm Quỳnh Mai; Trần Ngọc Thư; Ngô Minh Ngọc; Phạm Thùy Dung; Nguyễn Công Hiếu</t>
  </si>
  <si>
    <t>VL2026-005.png</t>
  </si>
  <si>
    <t>VL2026-006</t>
  </si>
  <si>
    <t>FABRICATION AND CHARACTERIZATION OF POROUS TI55 BY SPARK PLASMA SINTERING AT 40 MPA FOR MARINE APPLICATIONS</t>
  </si>
  <si>
    <t>Khương Khánh Linh; Nguyễn Thị Thuý Hiền; Nguyễn Phương Anh; Vũ Thành Khoa; Lưu Thị Nhật Ánh</t>
  </si>
  <si>
    <t>VL2026-006.png</t>
  </si>
  <si>
    <t>VL2026-007</t>
  </si>
  <si>
    <t>Tích hợp mô phỏng động lực học và AI để dự đoán động lực học phân tử của polymer</t>
  </si>
  <si>
    <t>Nguyễn Thị Thảo Duyên</t>
  </si>
  <si>
    <t>VL2026-007.png</t>
  </si>
  <si>
    <t>VL2026-008</t>
  </si>
  <si>
    <t>CẤU TRÚC CẢM BIẾN Y SINH VỚI HÌNH DẠNG ĐIỆN CỰC ĐƯỢC TỐI ƯU HÓA CHO CÁC ỨNG DỤNG AN TOÀN THỰC PHẨM</t>
  </si>
  <si>
    <t>Phan Thị Khánh Thuận</t>
  </si>
  <si>
    <t>VL2026-008.png</t>
  </si>
  <si>
    <t>VL2026-009</t>
  </si>
  <si>
    <t>MÔ PHỎNG SỐ TRỰC TIẾP SỰ MẤT ỔN ĐỊNH TRONG TƯƠNG TÁC GIỮA CẶP XOÁY QUAY NGƯỢC CHIỀU VÀ BỀ MẶT TƯỜNG PHẲNG</t>
  </si>
  <si>
    <t>Võ Văn Quang Anh</t>
  </si>
  <si>
    <t>VL2026-009.png</t>
  </si>
  <si>
    <t>VL2026-010</t>
  </si>
  <si>
    <t>Giải tích lồi và ứng dụng vào một số bài toán sơ cấp</t>
  </si>
  <si>
    <t>Phạm Thị Hương Giang; Thái Huỳnh Trân</t>
  </si>
  <si>
    <t>Trường Đại học Phú Yên</t>
  </si>
  <si>
    <t>VL2026-010.png</t>
  </si>
  <si>
    <t>VL2026-011</t>
  </si>
  <si>
    <t>Nghiên cứu phương pháp lọc lai miền tần số - không gian nâng cao chất lượng ảnh siêu âm DBIM trong chẩn đoán sớm ung thư vú</t>
  </si>
  <si>
    <t>Tạ Bích Hồng; Lê Công Anh; Phạm Văn Kiên; Vũ Thị Nguyện; Nguyễn Trung Chiến</t>
  </si>
  <si>
    <t>VL2026-011.png</t>
  </si>
  <si>
    <t>VL2026-012</t>
  </si>
  <si>
    <t>Nghiên cứu mối tương quan giữa thành phần hóa học, cấu trúc và tính chất của hợp kim bằng mô phỏng và AI</t>
  </si>
  <si>
    <t>Vũ Bích Hạnh</t>
  </si>
  <si>
    <t>VL2026-012.png</t>
  </si>
  <si>
    <t>VL2026-013</t>
  </si>
  <si>
    <t>STUDY OF NONLINEAR TRANSPORT PROPERTIES OF SUPERCONDUCTING MATERIALS IN THE MIXED STATE</t>
  </si>
  <si>
    <t>Ngô Quang Đức</t>
  </si>
  <si>
    <t>VL2026-013.png</t>
  </si>
  <si>
    <t>VL2026-014</t>
  </si>
  <si>
    <t>Mô phỏng vật liệu theo mô hình Fermi-Hubbard bằng thuật toán biến phân lai lượng tử</t>
  </si>
  <si>
    <t>Phạm Văn Anh; Hồ Xuân Nhật ; Trần Minh Đức ; Phạm Đăng Quang</t>
  </si>
  <si>
    <t>VL2026-014.png</t>
  </si>
  <si>
    <t>VL2026-015</t>
  </si>
  <si>
    <t>Conditional Josephson coupling toward an analog classical CNOT operation in a magnon Bose–Einstein condensate</t>
  </si>
  <si>
    <t>Lê Bảo Duy</t>
  </si>
  <si>
    <t>VL2026-015.png</t>
  </si>
  <si>
    <t>VL2026-016</t>
  </si>
  <si>
    <t>Nghiên cứu tổng hợp và khảo sát tính chất nhiệt sắc của vật liệu VO2</t>
  </si>
  <si>
    <t>Nguyễn Thị Thanh Nhàn; Hồ Nguyễn Hồng Thắm; Nguyễn Thị Tường Vy; Lê Phương Thảo</t>
  </si>
  <si>
    <t>VL2026-016.png</t>
  </si>
  <si>
    <t>VL2026-017</t>
  </si>
  <si>
    <t>Nghiên cứu phát triển một số phương pháp lọc thích nghi dựa trên giải thuật bầy đàn nhằm nâng cao chất lượng tái tạo ảnh cắt lớp quang học bằng phương pháp lặp Born</t>
  </si>
  <si>
    <t>Nguyễn Viết Đức Anh; Trần Tuấn Anh; Nguyễn Minh Tiến; Phạm Thùy Trang; Nguyễn Nhật Linh</t>
  </si>
  <si>
    <t>VL2026-017.png</t>
  </si>
  <si>
    <t>VL2026-018</t>
  </si>
  <si>
    <t>Tổng hợp và khảo sát tính chất SERS của hệ vật liệu WO3/Au nhằm nhận biết chất độc hại trong thực phẩm ở nồng độ thấp</t>
  </si>
  <si>
    <t>Nguyễn Hải Đăng; Lê Phước Lộc; Đỗ Nhật Duy</t>
  </si>
  <si>
    <t>VL2026-018.png</t>
  </si>
  <si>
    <t>VL2026-019</t>
  </si>
  <si>
    <t>Nghiên cứu độ dẫn spin Hall nội của vật liệu α-W bằng phương pháp tight binding kết hợp phương pháp nguyên lý thứ nhất</t>
  </si>
  <si>
    <t>Trần Thái Trọng Đức</t>
  </si>
  <si>
    <t>VL2026-019.png</t>
  </si>
  <si>
    <t>VL2026-020</t>
  </si>
  <si>
    <t>THIẾT KẾ VÀ XÂY DỰNG HỆ ĐO XÁC ĐỊNH ĐỘ DẪN NHIỆT CỦA VẬT LIỆU ZnO PHA TẠP DỰA TRÊN PHƯƠNG PHÁP 3 – OMEGA</t>
  </si>
  <si>
    <t>Nguyễn Thị Khánh Nhi</t>
  </si>
  <si>
    <t>VL2026-020.png</t>
  </si>
  <si>
    <t>VL2026-021</t>
  </si>
  <si>
    <t>FABRICATION of Sn-DOPED GaOOH UVC PHOTODETECTORS USING A MODIFIED SILAR METHOD</t>
  </si>
  <si>
    <t>Đoàn Lê Trung Hậu; Nguyễn Huy Thái; Nguyễn Minh Đức</t>
  </si>
  <si>
    <t>VL2026-021.png</t>
  </si>
  <si>
    <t>VL2026-022</t>
  </si>
  <si>
    <t>Chế tạo cảm biến quang học UVC GaOOH hoạt động ở hiệu điện thế thấp</t>
  </si>
  <si>
    <t>Phạm Quang Đạt; Nguyễn Đại Phục; Nguyễn Đặng Minh Huy; Trịnh Nguyên Nhật; Đặng Tô Thúy Huyền</t>
  </si>
  <si>
    <t>VL2026-022.png</t>
  </si>
  <si>
    <t>VL2026-023</t>
  </si>
  <si>
    <t>NGHIÊN CỨU VÀ TỐI ƯU HIỆU SUẤT CỦA CẢM BIẾN UVC GaOOH CHẾ TẠO BẰNG PHƯƠNG PHÁP THỦY NHIỆT</t>
  </si>
  <si>
    <t>Lê Thị Kim Thanh; Nguyễn Thị Thanh Thảo; Trần Đức Thanh Khoa; Nguyễn Ngọc Anh</t>
  </si>
  <si>
    <t>VL2026-023.png</t>
  </si>
  <si>
    <t>VL2026-024</t>
  </si>
  <si>
    <t>ĐÁNH GIÁ VỀ TÁC ĐỘNG CỦA ÁNH SÁNG PHÂN CỰC TRONG VIỆC PHÂN TÍCH MÔ UNG THƯ ĐẠI TRỰC TRÀNG DỰA TRÊN KỸ THUẬT MA TRẬN MUELLER</t>
  </si>
  <si>
    <t>Văn Trọng Vinh; Lê Thanh Trúc; Nguyễn Quốc Đạt; Nguyễn Kim Ngân; Nguyễn Tiến Hưng</t>
  </si>
  <si>
    <t>VL2026-024.png</t>
  </si>
  <si>
    <t>VL2026-025</t>
  </si>
  <si>
    <t>CHẾ TẠO VÀ KHẢO SÁT TÍNH NĂNG SERS CỦA HỆ NANO Ag/WOx/SiNWs CHẾ TẠO BẰNG PHƯƠNG PHÁP KẾT HỢP ĂN MÒN ƯỚT CÓ HỖ TRỢ KIM LOẠI VÀ PHÚN XẠ</t>
  </si>
  <si>
    <t>Võ Thiện Văn; Chế Gia Phong; Nguyễn Minh Truyết; Phạm Thị Ánh Linh</t>
  </si>
  <si>
    <t>VL2026-025.png</t>
  </si>
  <si>
    <t>VL2026-026</t>
  </si>
  <si>
    <t>Nghiên cứu tính chất cấu trúc, điện và quang của ZnO khối pha tạp đất hiếm (La, Y) và nguyên tố hóa trị cao (Ta) hướng đến ứng dụng chuyển đổi năng lượng.</t>
  </si>
  <si>
    <t>Nguyễn Văn Trường</t>
  </si>
  <si>
    <t>VL2026-026.png</t>
  </si>
  <si>
    <t>VL2026-027</t>
  </si>
  <si>
    <t>Khảo sát tính chất nhiệt điện của vật liệu khối ZnO pha tạp Nb với nồng độ khác nhau cho ứng dụng chuyển đổi năng lượng</t>
  </si>
  <si>
    <t>Nguyễn Nhật An</t>
  </si>
  <si>
    <t>VL2026-027.png</t>
  </si>
  <si>
    <t>VL2026-028</t>
  </si>
  <si>
    <t>NGHIÊN CỨU CHẾ TẠO VẬT LIỆU TỔ HỢP GRAPHENE/SPINEL FERRITE CHO ĐỊNH HƯỚNG ỨNG DỤNG CHO SIÊU TỤ ĐIỆN</t>
  </si>
  <si>
    <t>Phạm Thuỳ Giang; Nguyễn Nhật Linh; Phạm Đức Anh</t>
  </si>
  <si>
    <t>Trường Đại học Kỹ thuật Công nghiệp - Đại học Thái Nguyên</t>
  </si>
  <si>
    <t>VL2026-028.png</t>
  </si>
  <si>
    <t>VL2026-029</t>
  </si>
  <si>
    <t>NGHIÊN CỨU VÀ PHÁT TRIỂN GIẢI PHÁP ĐIỀU KHIỂN ĐỘNG CƠ ĐỒNG BỘ NAM CHÂM VĨNH CỬU KHÔNG CẢM BIẾN DỰA TRÊN BỘ QUAN SÁT TRƯỢT NHẰM NÂNG CAO ĐỘ TIN CẬY CỦA HỆ TRUYỀN ĐỘNG XE ĐIỆN.</t>
  </si>
  <si>
    <t>Trần Minh Hoàng; Trương Thanh Vĩ; Nguyễn Minh Châu; Hoàng Nguyễn Tiến Long; Nguyễn Trần Quốc Bảo</t>
  </si>
  <si>
    <t>VL2026-029.png</t>
  </si>
  <si>
    <t>VL2026-030</t>
  </si>
  <si>
    <t>NGHIÊN CỨU ỨNG DỤNG CẢM BIẾN CỘNG HƯỞNG LC BÁN TẬP TRUNG TRONG PHÂN LOẠI TRẠNG THÁI ĐỘ ẨM DA</t>
  </si>
  <si>
    <t>Trịnh Võ Đăng Khoa; Nguyễn Thị Hải Anh; Lê Thanh Nhàn; Nguyễn Hoàng Huy Vũ; Nguyễn Ja Lam</t>
  </si>
  <si>
    <t>VL2026-030.png</t>
  </si>
  <si>
    <t>VL2026-031</t>
  </si>
  <si>
    <t>HỆ ĐO TRÙNG PHÙNG GEIGER–MÜLLER CHI PHÍ THẤP CHO MUON TIA VŨ TRỤ VỚI ĐẶC TRƯNG HÓA ĐẦU DÒ VÀ ĐÁNH GIÁ KHẢ NĂNG NHẬN DIỆN ẢNH HƯỞNG KHÍ TƯỢNG TRÊN CHUỖI SỐ LIỆU LIÊN TỤC</t>
  </si>
  <si>
    <t>Lư Tuấn Khang; Liêu Lin Đan; Phạm Thùy Duyên; Vũ Thị Hồng Thơm; Nguyễn Thị Phương Thảo</t>
  </si>
  <si>
    <t>VL2026-031.png</t>
  </si>
  <si>
    <t>VL2026-032</t>
  </si>
  <si>
    <t>NGHIÊN CỨU CHẾ TẠO VÀ KHẢO SÁT ĐẶC TÍNH UỐN CỦA TAY GẮP MỀM KHÍ NÉN</t>
  </si>
  <si>
    <t>Phan Xuân Vũ Kha; Trần Ngọc An Tâm; Lê Hoàng Quân</t>
  </si>
  <si>
    <t>VL2026-032.png</t>
  </si>
  <si>
    <t>VL2026-033</t>
  </si>
  <si>
    <t>NGHIÊN CỨU CƠ CHẾ GHÉP CÁC MODE ĐIỆN TỪ TRỰC GIAO TRONG ANTEN ĐA LỚP HAI BĂNG TẦN CHO HỆ THỐNG 5G SUB-6 GHZ</t>
  </si>
  <si>
    <t>Phạm Hoàng Huy; Trần Lê Phúc Khang; Lê Phạm Tiến Đạt</t>
  </si>
  <si>
    <t>VL2026-033.png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</si>
</sst>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Calibri"/>
      <scheme val="minor"/>
    </font>
    <font>
      <color theme="1"/>
      <name val="Calibri"/>
      <scheme val="minor"/>
    </font>
  </fonts>
  <fills count="4">
    <fill>
      <patternFill patternType="none"/>
    </fill>
    <fill>
      <patternFill patternType="lightGray"/>
    </fill>
    <fill>
      <patternFill patternType="solid">
        <fgColor rgb="FF1F4E78"/>
        <bgColor rgb="FF1F4E78"/>
      </patternFill>
    </fill>
    <fill>
      <patternFill patternType="solid">
        <fgColor rgb="FFDDEBF7"/>
        <bgColor rgb="FFDDEBF7"/>
      </patternFill>
    </fill>
  </fills>
  <borders count="2">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0" numFmtId="0" xfId="0" applyAlignment="1" applyBorder="1" applyFill="1" applyFont="1">
      <alignment shrinkToFit="0" vertical="center" wrapText="1"/>
    </xf>
    <xf borderId="1" fillId="0" fontId="0" numFmtId="0" xfId="0" applyAlignment="1" applyBorder="1" applyFont="1">
      <alignment shrinkToFit="0" vertical="center"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8.0"/>
    <col customWidth="1" min="3" max="3" width="70.0"/>
    <col customWidth="1" min="4" max="4" width="45.0"/>
    <col customWidth="1" min="5" max="5" width="40.0"/>
    <col customWidth="1" min="6" max="6" width="22.0"/>
    <col customWidth="1" min="7" max="26" width="8.71"/>
  </cols>
  <sheetData>
    <row r="1" ht="27.75" customHeight="1">
      <c r="A1" s="1" t="s">
        <v>0</v>
      </c>
      <c r="B1" s="1" t="s">
        <v>1</v>
      </c>
      <c r="C1" s="1" t="s">
        <v>2</v>
      </c>
      <c r="D1" s="1" t="s">
        <v>3</v>
      </c>
      <c r="E1" s="1" t="s">
        <v>4</v>
      </c>
      <c r="F1" s="1" t="s">
        <v>5</v>
      </c>
    </row>
    <row r="2" ht="36.0" customHeight="1">
      <c r="A2" s="2" t="s">
        <v>6</v>
      </c>
      <c r="B2" s="2" t="s">
        <v>7</v>
      </c>
      <c r="C2" s="2" t="s">
        <v>8</v>
      </c>
      <c r="D2" s="2" t="s">
        <v>9</v>
      </c>
      <c r="E2" s="2" t="s">
        <v>10</v>
      </c>
      <c r="F2" s="2" t="s">
        <v>11</v>
      </c>
    </row>
    <row r="3" ht="36.0" customHeight="1">
      <c r="A3" s="3" t="s">
        <v>12</v>
      </c>
      <c r="B3" s="3" t="s">
        <v>7</v>
      </c>
      <c r="C3" s="3" t="s">
        <v>13</v>
      </c>
      <c r="D3" s="3" t="s">
        <v>14</v>
      </c>
      <c r="E3" s="3" t="s">
        <v>10</v>
      </c>
      <c r="F3" s="3" t="s">
        <v>15</v>
      </c>
    </row>
    <row r="4" ht="36.0" customHeight="1">
      <c r="A4" s="2" t="s">
        <v>16</v>
      </c>
      <c r="B4" s="2" t="s">
        <v>7</v>
      </c>
      <c r="C4" s="2" t="s">
        <v>17</v>
      </c>
      <c r="D4" s="2" t="s">
        <v>18</v>
      </c>
      <c r="E4" s="2" t="s">
        <v>19</v>
      </c>
      <c r="F4" s="2" t="s">
        <v>20</v>
      </c>
    </row>
    <row r="5" ht="36.0" customHeight="1">
      <c r="A5" s="3" t="s">
        <v>21</v>
      </c>
      <c r="B5" s="3" t="s">
        <v>7</v>
      </c>
      <c r="C5" s="3" t="s">
        <v>22</v>
      </c>
      <c r="D5" s="3" t="s">
        <v>23</v>
      </c>
      <c r="E5" s="3" t="s">
        <v>24</v>
      </c>
      <c r="F5" s="3" t="s">
        <v>25</v>
      </c>
    </row>
    <row r="6" ht="36.0" customHeight="1">
      <c r="A6" s="2" t="s">
        <v>26</v>
      </c>
      <c r="B6" s="2" t="s">
        <v>7</v>
      </c>
      <c r="C6" s="2" t="s">
        <v>27</v>
      </c>
      <c r="D6" s="2" t="s">
        <v>28</v>
      </c>
      <c r="E6" s="2" t="s">
        <v>24</v>
      </c>
      <c r="F6" s="2" t="s">
        <v>29</v>
      </c>
    </row>
    <row r="7" ht="36.0" customHeight="1">
      <c r="A7" s="3" t="s">
        <v>30</v>
      </c>
      <c r="B7" s="3" t="s">
        <v>7</v>
      </c>
      <c r="C7" s="3" t="s">
        <v>31</v>
      </c>
      <c r="D7" s="3" t="s">
        <v>32</v>
      </c>
      <c r="E7" s="3" t="s">
        <v>24</v>
      </c>
      <c r="F7" s="3" t="s">
        <v>33</v>
      </c>
    </row>
    <row r="8" ht="36.0" customHeight="1">
      <c r="A8" s="2" t="s">
        <v>34</v>
      </c>
      <c r="B8" s="2" t="s">
        <v>7</v>
      </c>
      <c r="C8" s="2" t="s">
        <v>35</v>
      </c>
      <c r="D8" s="2" t="s">
        <v>36</v>
      </c>
      <c r="E8" s="2" t="s">
        <v>37</v>
      </c>
      <c r="F8" s="2" t="s">
        <v>38</v>
      </c>
    </row>
    <row r="9" ht="36.0" customHeight="1">
      <c r="A9" s="3" t="s">
        <v>39</v>
      </c>
      <c r="B9" s="3" t="s">
        <v>7</v>
      </c>
      <c r="C9" s="3" t="s">
        <v>40</v>
      </c>
      <c r="D9" s="3" t="s">
        <v>41</v>
      </c>
      <c r="E9" s="3" t="s">
        <v>42</v>
      </c>
      <c r="F9" s="3" t="s">
        <v>43</v>
      </c>
    </row>
    <row r="10" ht="36.0" customHeight="1">
      <c r="A10" s="2" t="s">
        <v>44</v>
      </c>
      <c r="B10" s="2" t="s">
        <v>7</v>
      </c>
      <c r="C10" s="2" t="s">
        <v>45</v>
      </c>
      <c r="D10" s="2" t="s">
        <v>46</v>
      </c>
      <c r="E10" s="2" t="s">
        <v>47</v>
      </c>
      <c r="F10" s="2" t="s">
        <v>48</v>
      </c>
    </row>
    <row r="11" ht="36.0" customHeight="1">
      <c r="A11" s="3" t="s">
        <v>49</v>
      </c>
      <c r="B11" s="3" t="s">
        <v>7</v>
      </c>
      <c r="C11" s="3" t="s">
        <v>50</v>
      </c>
      <c r="D11" s="3" t="s">
        <v>51</v>
      </c>
      <c r="E11" s="3" t="s">
        <v>52</v>
      </c>
      <c r="F11" s="3" t="s">
        <v>53</v>
      </c>
    </row>
    <row r="12" ht="36.0" customHeight="1">
      <c r="A12" s="2" t="s">
        <v>54</v>
      </c>
      <c r="B12" s="2" t="s">
        <v>7</v>
      </c>
      <c r="C12" s="2" t="s">
        <v>55</v>
      </c>
      <c r="D12" s="2" t="s">
        <v>56</v>
      </c>
      <c r="E12" s="2" t="s">
        <v>57</v>
      </c>
      <c r="F12" s="2" t="s">
        <v>58</v>
      </c>
    </row>
    <row r="13" ht="36.0" customHeight="1">
      <c r="A13" s="3" t="s">
        <v>59</v>
      </c>
      <c r="B13" s="3" t="s">
        <v>7</v>
      </c>
      <c r="C13" s="3" t="s">
        <v>60</v>
      </c>
      <c r="D13" s="3" t="s">
        <v>61</v>
      </c>
      <c r="E13" s="3" t="s">
        <v>62</v>
      </c>
      <c r="F13" s="3" t="s">
        <v>63</v>
      </c>
    </row>
    <row r="14" ht="36.0" customHeight="1">
      <c r="A14" s="2" t="s">
        <v>64</v>
      </c>
      <c r="B14" s="2" t="s">
        <v>7</v>
      </c>
      <c r="C14" s="2" t="s">
        <v>65</v>
      </c>
      <c r="D14" s="2" t="s">
        <v>66</v>
      </c>
      <c r="E14" s="2" t="s">
        <v>57</v>
      </c>
      <c r="F14" s="2" t="s">
        <v>67</v>
      </c>
    </row>
    <row r="15" ht="36.0" customHeight="1">
      <c r="A15" s="3" t="s">
        <v>68</v>
      </c>
      <c r="B15" s="3" t="s">
        <v>7</v>
      </c>
      <c r="C15" s="3" t="s">
        <v>69</v>
      </c>
      <c r="D15" s="3" t="s">
        <v>70</v>
      </c>
      <c r="E15" s="3" t="s">
        <v>71</v>
      </c>
      <c r="F15" s="3" t="s">
        <v>72</v>
      </c>
    </row>
    <row r="16" ht="36.0" customHeight="1">
      <c r="A16" s="2" t="s">
        <v>73</v>
      </c>
      <c r="B16" s="2" t="s">
        <v>7</v>
      </c>
      <c r="C16" s="2" t="s">
        <v>74</v>
      </c>
      <c r="D16" s="2" t="s">
        <v>75</v>
      </c>
      <c r="E16" s="2" t="s">
        <v>76</v>
      </c>
      <c r="F16" s="2" t="s">
        <v>77</v>
      </c>
    </row>
    <row r="17" ht="36.0" customHeight="1">
      <c r="A17" s="3" t="s">
        <v>78</v>
      </c>
      <c r="B17" s="3" t="s">
        <v>7</v>
      </c>
      <c r="C17" s="3" t="s">
        <v>79</v>
      </c>
      <c r="D17" s="3" t="s">
        <v>80</v>
      </c>
      <c r="E17" s="3" t="s">
        <v>81</v>
      </c>
      <c r="F17" s="3" t="s">
        <v>82</v>
      </c>
    </row>
    <row r="18" ht="36.0" customHeight="1">
      <c r="A18" s="2" t="s">
        <v>83</v>
      </c>
      <c r="B18" s="2" t="s">
        <v>7</v>
      </c>
      <c r="C18" s="2" t="s">
        <v>84</v>
      </c>
      <c r="D18" s="2" t="s">
        <v>85</v>
      </c>
      <c r="E18" s="2" t="s">
        <v>86</v>
      </c>
      <c r="F18" s="2" t="s">
        <v>87</v>
      </c>
    </row>
    <row r="19" ht="36.0" customHeight="1">
      <c r="A19" s="3" t="s">
        <v>88</v>
      </c>
      <c r="B19" s="3" t="s">
        <v>7</v>
      </c>
      <c r="C19" s="3" t="s">
        <v>89</v>
      </c>
      <c r="D19" s="3" t="s">
        <v>90</v>
      </c>
      <c r="E19" s="3" t="s">
        <v>91</v>
      </c>
      <c r="F19" s="3" t="s">
        <v>92</v>
      </c>
    </row>
    <row r="20" ht="36.0" customHeight="1">
      <c r="A20" s="2" t="s">
        <v>93</v>
      </c>
      <c r="B20" s="2" t="s">
        <v>7</v>
      </c>
      <c r="C20" s="2" t="s">
        <v>94</v>
      </c>
      <c r="D20" s="2" t="s">
        <v>95</v>
      </c>
      <c r="E20" s="2" t="s">
        <v>96</v>
      </c>
      <c r="F20" s="2" t="s">
        <v>97</v>
      </c>
    </row>
    <row r="21" ht="36.0" customHeight="1">
      <c r="A21" s="3" t="s">
        <v>98</v>
      </c>
      <c r="B21" s="3" t="s">
        <v>7</v>
      </c>
      <c r="C21" s="3" t="s">
        <v>99</v>
      </c>
      <c r="D21" s="3" t="s">
        <v>100</v>
      </c>
      <c r="E21" s="3" t="s">
        <v>101</v>
      </c>
      <c r="F21" s="3" t="s">
        <v>102</v>
      </c>
    </row>
    <row r="22" ht="36.0" customHeight="1">
      <c r="A22" s="2" t="s">
        <v>103</v>
      </c>
      <c r="B22" s="2" t="s">
        <v>7</v>
      </c>
      <c r="C22" s="2" t="s">
        <v>104</v>
      </c>
      <c r="D22" s="2" t="s">
        <v>105</v>
      </c>
      <c r="E22" s="2" t="s">
        <v>101</v>
      </c>
      <c r="F22" s="2" t="s">
        <v>106</v>
      </c>
    </row>
    <row r="23" ht="36.0" customHeight="1">
      <c r="A23" s="3" t="s">
        <v>107</v>
      </c>
      <c r="B23" s="3" t="s">
        <v>7</v>
      </c>
      <c r="C23" s="3" t="s">
        <v>108</v>
      </c>
      <c r="D23" s="3" t="s">
        <v>109</v>
      </c>
      <c r="E23" s="3" t="s">
        <v>110</v>
      </c>
      <c r="F23" s="3" t="s">
        <v>111</v>
      </c>
    </row>
    <row r="24" ht="36.0" customHeight="1">
      <c r="A24" s="2" t="s">
        <v>112</v>
      </c>
      <c r="B24" s="2" t="s">
        <v>7</v>
      </c>
      <c r="C24" s="2" t="s">
        <v>113</v>
      </c>
      <c r="D24" s="2" t="s">
        <v>114</v>
      </c>
      <c r="E24" s="2" t="s">
        <v>110</v>
      </c>
      <c r="F24" s="2" t="s">
        <v>115</v>
      </c>
    </row>
    <row r="25" ht="36.0" customHeight="1">
      <c r="A25" s="3" t="s">
        <v>116</v>
      </c>
      <c r="B25" s="3" t="s">
        <v>7</v>
      </c>
      <c r="C25" s="3" t="s">
        <v>117</v>
      </c>
      <c r="D25" s="3" t="s">
        <v>118</v>
      </c>
      <c r="E25" s="3" t="s">
        <v>110</v>
      </c>
      <c r="F25" s="3" t="s">
        <v>119</v>
      </c>
    </row>
    <row r="26" ht="36.0" customHeight="1">
      <c r="A26" s="2" t="s">
        <v>120</v>
      </c>
      <c r="B26" s="2" t="s">
        <v>7</v>
      </c>
      <c r="C26" s="2" t="s">
        <v>121</v>
      </c>
      <c r="D26" s="2" t="s">
        <v>122</v>
      </c>
      <c r="E26" s="2" t="s">
        <v>110</v>
      </c>
      <c r="F26" s="2" t="s">
        <v>123</v>
      </c>
    </row>
    <row r="27" ht="36.0" customHeight="1">
      <c r="A27" s="3" t="s">
        <v>124</v>
      </c>
      <c r="B27" s="3" t="s">
        <v>7</v>
      </c>
      <c r="C27" s="3" t="s">
        <v>125</v>
      </c>
      <c r="D27" s="3" t="s">
        <v>126</v>
      </c>
      <c r="E27" s="3" t="s">
        <v>110</v>
      </c>
      <c r="F27" s="3" t="s">
        <v>127</v>
      </c>
    </row>
    <row r="28" ht="36.0" customHeight="1">
      <c r="A28" s="2" t="s">
        <v>128</v>
      </c>
      <c r="B28" s="2" t="s">
        <v>7</v>
      </c>
      <c r="C28" s="2" t="s">
        <v>129</v>
      </c>
      <c r="D28" s="2" t="s">
        <v>130</v>
      </c>
      <c r="E28" s="2" t="s">
        <v>110</v>
      </c>
      <c r="F28" s="2" t="s">
        <v>131</v>
      </c>
    </row>
    <row r="29" ht="36.0" customHeight="1">
      <c r="A29" s="3" t="s">
        <v>132</v>
      </c>
      <c r="B29" s="3" t="s">
        <v>7</v>
      </c>
      <c r="C29" s="3" t="s">
        <v>133</v>
      </c>
      <c r="D29" s="3" t="s">
        <v>134</v>
      </c>
      <c r="E29" s="3" t="s">
        <v>101</v>
      </c>
      <c r="F29" s="3" t="s">
        <v>135</v>
      </c>
    </row>
    <row r="30" ht="36.0" customHeight="1">
      <c r="A30" s="2" t="s">
        <v>136</v>
      </c>
      <c r="B30" s="2" t="s">
        <v>7</v>
      </c>
      <c r="C30" s="2" t="s">
        <v>137</v>
      </c>
      <c r="D30" s="2" t="s">
        <v>138</v>
      </c>
      <c r="E30" s="2" t="s">
        <v>139</v>
      </c>
      <c r="F30" s="2" t="s">
        <v>140</v>
      </c>
    </row>
    <row r="31" ht="36.0" customHeight="1">
      <c r="A31" s="3" t="s">
        <v>141</v>
      </c>
      <c r="B31" s="3" t="s">
        <v>7</v>
      </c>
      <c r="C31" s="3" t="s">
        <v>142</v>
      </c>
      <c r="D31" s="3" t="s">
        <v>143</v>
      </c>
      <c r="E31" s="3" t="s">
        <v>139</v>
      </c>
      <c r="F31" s="3" t="s">
        <v>144</v>
      </c>
    </row>
    <row r="32" ht="36.0" customHeight="1">
      <c r="A32" s="2" t="s">
        <v>145</v>
      </c>
      <c r="B32" s="2" t="s">
        <v>7</v>
      </c>
      <c r="C32" s="2" t="s">
        <v>146</v>
      </c>
      <c r="D32" s="2" t="s">
        <v>147</v>
      </c>
      <c r="E32" s="2" t="s">
        <v>148</v>
      </c>
      <c r="F32" s="2" t="s">
        <v>149</v>
      </c>
    </row>
    <row r="33" ht="36.0" customHeight="1">
      <c r="A33" s="3" t="s">
        <v>150</v>
      </c>
      <c r="B33" s="3" t="s">
        <v>7</v>
      </c>
      <c r="C33" s="3" t="s">
        <v>151</v>
      </c>
      <c r="D33" s="3" t="s">
        <v>152</v>
      </c>
      <c r="E33" s="3" t="s">
        <v>153</v>
      </c>
      <c r="F33" s="3" t="s">
        <v>154</v>
      </c>
    </row>
    <row r="34" ht="36.0" customHeight="1">
      <c r="A34" s="2" t="s">
        <v>155</v>
      </c>
      <c r="B34" s="2" t="s">
        <v>7</v>
      </c>
      <c r="C34" s="2" t="s">
        <v>156</v>
      </c>
      <c r="D34" s="2" t="s">
        <v>157</v>
      </c>
      <c r="E34" s="2" t="s">
        <v>153</v>
      </c>
      <c r="F34" s="2" t="s">
        <v>158</v>
      </c>
    </row>
    <row r="35" ht="36.0" customHeight="1">
      <c r="A35" s="3" t="s">
        <v>159</v>
      </c>
      <c r="B35" s="3" t="s">
        <v>7</v>
      </c>
      <c r="C35" s="3" t="s">
        <v>160</v>
      </c>
      <c r="D35" s="3" t="s">
        <v>161</v>
      </c>
      <c r="E35" s="3" t="s">
        <v>153</v>
      </c>
      <c r="F35" s="3" t="s">
        <v>162</v>
      </c>
    </row>
    <row r="36" ht="36.0" customHeight="1">
      <c r="A36" s="2" t="s">
        <v>163</v>
      </c>
      <c r="B36" s="2" t="s">
        <v>7</v>
      </c>
      <c r="C36" s="2" t="s">
        <v>164</v>
      </c>
      <c r="D36" s="2" t="s">
        <v>165</v>
      </c>
      <c r="E36" s="2" t="s">
        <v>166</v>
      </c>
      <c r="F36" s="2" t="s">
        <v>167</v>
      </c>
    </row>
    <row r="37" ht="36.0" customHeight="1">
      <c r="A37" s="3" t="s">
        <v>168</v>
      </c>
      <c r="B37" s="3" t="s">
        <v>7</v>
      </c>
      <c r="C37" s="3" t="s">
        <v>169</v>
      </c>
      <c r="D37" s="3" t="s">
        <v>170</v>
      </c>
      <c r="E37" s="3" t="s">
        <v>166</v>
      </c>
      <c r="F37" s="3" t="s">
        <v>171</v>
      </c>
    </row>
    <row r="38" ht="36.0" customHeight="1">
      <c r="A38" s="2" t="s">
        <v>172</v>
      </c>
      <c r="B38" s="2" t="s">
        <v>7</v>
      </c>
      <c r="C38" s="2" t="s">
        <v>173</v>
      </c>
      <c r="D38" s="2" t="s">
        <v>174</v>
      </c>
      <c r="E38" s="2"/>
      <c r="F38" s="2" t="s">
        <v>175</v>
      </c>
    </row>
    <row r="39" ht="36.0" customHeight="1">
      <c r="A39" s="3" t="s">
        <v>176</v>
      </c>
      <c r="B39" s="3" t="s">
        <v>7</v>
      </c>
      <c r="C39" s="3" t="s">
        <v>177</v>
      </c>
      <c r="D39" s="3" t="s">
        <v>178</v>
      </c>
      <c r="E39" s="3" t="s">
        <v>10</v>
      </c>
      <c r="F39" s="3" t="s">
        <v>179</v>
      </c>
    </row>
    <row r="40" ht="36.0" customHeight="1">
      <c r="A40" s="2" t="s">
        <v>180</v>
      </c>
      <c r="B40" s="2" t="s">
        <v>7</v>
      </c>
      <c r="C40" s="2" t="s">
        <v>181</v>
      </c>
      <c r="D40" s="2" t="s">
        <v>182</v>
      </c>
      <c r="E40" s="2" t="s">
        <v>10</v>
      </c>
      <c r="F40" s="2" t="s">
        <v>183</v>
      </c>
    </row>
    <row r="41" ht="36.0" customHeight="1">
      <c r="A41" s="3" t="s">
        <v>184</v>
      </c>
      <c r="B41" s="3" t="s">
        <v>7</v>
      </c>
      <c r="C41" s="3" t="s">
        <v>185</v>
      </c>
      <c r="D41" s="3" t="s">
        <v>186</v>
      </c>
      <c r="E41" s="3" t="s">
        <v>10</v>
      </c>
      <c r="F41" s="3" t="s">
        <v>187</v>
      </c>
    </row>
    <row r="42" ht="36.0" customHeight="1">
      <c r="A42" s="2" t="s">
        <v>188</v>
      </c>
      <c r="B42" s="2" t="s">
        <v>7</v>
      </c>
      <c r="C42" s="2" t="s">
        <v>189</v>
      </c>
      <c r="D42" s="2" t="s">
        <v>190</v>
      </c>
      <c r="E42" s="2" t="s">
        <v>10</v>
      </c>
      <c r="F42" s="2" t="s">
        <v>191</v>
      </c>
    </row>
    <row r="43" ht="36.0" customHeight="1">
      <c r="A43" s="3" t="s">
        <v>192</v>
      </c>
      <c r="B43" s="3" t="s">
        <v>7</v>
      </c>
      <c r="C43" s="3" t="s">
        <v>193</v>
      </c>
      <c r="D43" s="3" t="s">
        <v>194</v>
      </c>
      <c r="E43" s="3" t="s">
        <v>10</v>
      </c>
      <c r="F43" s="3" t="s">
        <v>195</v>
      </c>
    </row>
    <row r="44" ht="36.0" customHeight="1">
      <c r="A44" s="2" t="s">
        <v>196</v>
      </c>
      <c r="B44" s="2" t="s">
        <v>7</v>
      </c>
      <c r="C44" s="2" t="s">
        <v>197</v>
      </c>
      <c r="D44" s="2" t="s">
        <v>198</v>
      </c>
      <c r="E44" s="2" t="s">
        <v>47</v>
      </c>
      <c r="F44" s="2" t="s">
        <v>199</v>
      </c>
    </row>
    <row r="45" ht="36.0" customHeight="1">
      <c r="A45" s="3" t="s">
        <v>200</v>
      </c>
      <c r="B45" s="3" t="s">
        <v>7</v>
      </c>
      <c r="C45" s="3" t="s">
        <v>201</v>
      </c>
      <c r="D45" s="3" t="s">
        <v>202</v>
      </c>
      <c r="E45" s="3" t="s">
        <v>57</v>
      </c>
      <c r="F45" s="3" t="s">
        <v>203</v>
      </c>
    </row>
    <row r="46" ht="36.0" customHeight="1">
      <c r="A46" s="2" t="s">
        <v>204</v>
      </c>
      <c r="B46" s="2" t="s">
        <v>7</v>
      </c>
      <c r="C46" s="2" t="s">
        <v>205</v>
      </c>
      <c r="D46" s="2" t="s">
        <v>206</v>
      </c>
      <c r="E46" s="2" t="s">
        <v>207</v>
      </c>
      <c r="F46" s="2" t="s">
        <v>208</v>
      </c>
    </row>
    <row r="47" ht="36.0" customHeight="1">
      <c r="A47" s="3" t="s">
        <v>209</v>
      </c>
      <c r="B47" s="3" t="s">
        <v>7</v>
      </c>
      <c r="C47" s="3" t="s">
        <v>210</v>
      </c>
      <c r="D47" s="3" t="s">
        <v>211</v>
      </c>
      <c r="E47" s="3" t="s">
        <v>42</v>
      </c>
      <c r="F47" s="3" t="s">
        <v>212</v>
      </c>
    </row>
    <row r="48" ht="36.0" customHeight="1">
      <c r="A48" s="2" t="s">
        <v>213</v>
      </c>
      <c r="B48" s="2" t="s">
        <v>7</v>
      </c>
      <c r="C48" s="2" t="s">
        <v>214</v>
      </c>
      <c r="D48" s="2" t="s">
        <v>215</v>
      </c>
      <c r="E48" s="2" t="s">
        <v>42</v>
      </c>
      <c r="F48" s="2" t="s">
        <v>216</v>
      </c>
    </row>
    <row r="49" ht="36.0" customHeight="1">
      <c r="A49" s="3" t="s">
        <v>217</v>
      </c>
      <c r="B49" s="3" t="s">
        <v>7</v>
      </c>
      <c r="C49" s="3" t="s">
        <v>218</v>
      </c>
      <c r="D49" s="3" t="s">
        <v>219</v>
      </c>
      <c r="E49" s="3" t="s">
        <v>42</v>
      </c>
      <c r="F49" s="3" t="s">
        <v>220</v>
      </c>
    </row>
    <row r="50" ht="36.0" customHeight="1">
      <c r="A50" s="2" t="s">
        <v>221</v>
      </c>
      <c r="B50" s="2" t="s">
        <v>7</v>
      </c>
      <c r="C50" s="2" t="s">
        <v>222</v>
      </c>
      <c r="D50" s="2" t="s">
        <v>223</v>
      </c>
      <c r="E50" s="2" t="s">
        <v>224</v>
      </c>
      <c r="F50" s="2" t="s">
        <v>225</v>
      </c>
    </row>
    <row r="51" ht="36.0" customHeight="1">
      <c r="A51" s="3" t="s">
        <v>226</v>
      </c>
      <c r="B51" s="3" t="s">
        <v>7</v>
      </c>
      <c r="C51" s="3" t="s">
        <v>227</v>
      </c>
      <c r="D51" s="3" t="s">
        <v>228</v>
      </c>
      <c r="E51" s="3" t="s">
        <v>229</v>
      </c>
      <c r="F51" s="3" t="s">
        <v>230</v>
      </c>
    </row>
    <row r="52" ht="36.0" customHeight="1">
      <c r="A52" s="2" t="s">
        <v>231</v>
      </c>
      <c r="B52" s="2" t="s">
        <v>7</v>
      </c>
      <c r="C52" s="2" t="s">
        <v>232</v>
      </c>
      <c r="D52" s="2" t="s">
        <v>233</v>
      </c>
      <c r="E52" s="2" t="s">
        <v>224</v>
      </c>
      <c r="F52" s="2" t="s">
        <v>234</v>
      </c>
    </row>
    <row r="53" ht="36.0" customHeight="1">
      <c r="A53" s="3" t="s">
        <v>235</v>
      </c>
      <c r="B53" s="3" t="s">
        <v>7</v>
      </c>
      <c r="C53" s="3" t="s">
        <v>236</v>
      </c>
      <c r="D53" s="3" t="s">
        <v>237</v>
      </c>
      <c r="E53" s="3" t="s">
        <v>224</v>
      </c>
      <c r="F53" s="3" t="s">
        <v>238</v>
      </c>
    </row>
    <row r="54" ht="36.0" customHeight="1">
      <c r="A54" s="2" t="s">
        <v>239</v>
      </c>
      <c r="B54" s="2" t="s">
        <v>7</v>
      </c>
      <c r="C54" s="2" t="s">
        <v>240</v>
      </c>
      <c r="D54" s="2" t="s">
        <v>241</v>
      </c>
      <c r="E54" s="2" t="s">
        <v>81</v>
      </c>
      <c r="F54" s="2" t="s">
        <v>242</v>
      </c>
    </row>
    <row r="55" ht="36.0" customHeight="1">
      <c r="A55" s="3" t="s">
        <v>243</v>
      </c>
      <c r="B55" s="3" t="s">
        <v>7</v>
      </c>
      <c r="C55" s="3" t="s">
        <v>244</v>
      </c>
      <c r="D55" s="3" t="s">
        <v>245</v>
      </c>
      <c r="E55" s="3" t="s">
        <v>86</v>
      </c>
      <c r="F55" s="3" t="s">
        <v>246</v>
      </c>
    </row>
    <row r="56" ht="36.0" customHeight="1">
      <c r="A56" s="2" t="s">
        <v>247</v>
      </c>
      <c r="B56" s="2" t="s">
        <v>7</v>
      </c>
      <c r="C56" s="2" t="s">
        <v>248</v>
      </c>
      <c r="D56" s="2" t="s">
        <v>249</v>
      </c>
      <c r="E56" s="2" t="s">
        <v>81</v>
      </c>
      <c r="F56" s="2" t="s">
        <v>250</v>
      </c>
    </row>
    <row r="57" ht="36.0" customHeight="1">
      <c r="A57" s="3" t="s">
        <v>251</v>
      </c>
      <c r="B57" s="3" t="s">
        <v>7</v>
      </c>
      <c r="C57" s="3" t="s">
        <v>252</v>
      </c>
      <c r="D57" s="3" t="s">
        <v>253</v>
      </c>
      <c r="E57" s="3" t="s">
        <v>254</v>
      </c>
      <c r="F57" s="3" t="s">
        <v>255</v>
      </c>
    </row>
    <row r="58" ht="36.0" customHeight="1">
      <c r="A58" s="2" t="s">
        <v>256</v>
      </c>
      <c r="B58" s="2" t="s">
        <v>7</v>
      </c>
      <c r="C58" s="2" t="s">
        <v>257</v>
      </c>
      <c r="D58" s="2" t="s">
        <v>258</v>
      </c>
      <c r="E58" s="2" t="s">
        <v>254</v>
      </c>
      <c r="F58" s="2" t="s">
        <v>259</v>
      </c>
    </row>
    <row r="59" ht="36.0" customHeight="1">
      <c r="A59" s="3" t="s">
        <v>260</v>
      </c>
      <c r="B59" s="3" t="s">
        <v>7</v>
      </c>
      <c r="C59" s="3" t="s">
        <v>261</v>
      </c>
      <c r="D59" s="3" t="s">
        <v>262</v>
      </c>
      <c r="E59" s="3" t="s">
        <v>254</v>
      </c>
      <c r="F59" s="3" t="s">
        <v>263</v>
      </c>
    </row>
    <row r="60" ht="36.0" customHeight="1">
      <c r="A60" s="2" t="s">
        <v>264</v>
      </c>
      <c r="B60" s="2" t="s">
        <v>7</v>
      </c>
      <c r="C60" s="2" t="s">
        <v>265</v>
      </c>
      <c r="D60" s="2" t="s">
        <v>266</v>
      </c>
      <c r="E60" s="2" t="s">
        <v>267</v>
      </c>
      <c r="F60" s="2" t="s">
        <v>268</v>
      </c>
    </row>
    <row r="61" ht="36.0" customHeight="1">
      <c r="A61" s="3" t="s">
        <v>269</v>
      </c>
      <c r="B61" s="3" t="s">
        <v>7</v>
      </c>
      <c r="C61" s="3" t="s">
        <v>270</v>
      </c>
      <c r="D61" s="3" t="s">
        <v>271</v>
      </c>
      <c r="E61" s="3" t="s">
        <v>267</v>
      </c>
      <c r="F61" s="3" t="s">
        <v>272</v>
      </c>
    </row>
    <row r="62" ht="36.0" customHeight="1">
      <c r="A62" s="2" t="s">
        <v>273</v>
      </c>
      <c r="B62" s="2" t="s">
        <v>7</v>
      </c>
      <c r="C62" s="2" t="s">
        <v>274</v>
      </c>
      <c r="D62" s="2" t="s">
        <v>275</v>
      </c>
      <c r="E62" s="2" t="s">
        <v>139</v>
      </c>
      <c r="F62" s="2" t="s">
        <v>276</v>
      </c>
    </row>
    <row r="63" ht="36.0" customHeight="1">
      <c r="A63" s="3" t="s">
        <v>277</v>
      </c>
      <c r="B63" s="3" t="s">
        <v>7</v>
      </c>
      <c r="C63" s="3" t="s">
        <v>278</v>
      </c>
      <c r="D63" s="3" t="s">
        <v>279</v>
      </c>
      <c r="E63" s="3" t="s">
        <v>139</v>
      </c>
      <c r="F63" s="3" t="s">
        <v>280</v>
      </c>
    </row>
    <row r="64" ht="36.0" customHeight="1">
      <c r="A64" s="2" t="s">
        <v>281</v>
      </c>
      <c r="B64" s="2" t="s">
        <v>7</v>
      </c>
      <c r="C64" s="2" t="s">
        <v>282</v>
      </c>
      <c r="D64" s="2" t="s">
        <v>283</v>
      </c>
      <c r="E64" s="2" t="s">
        <v>284</v>
      </c>
      <c r="F64" s="2" t="s">
        <v>285</v>
      </c>
    </row>
    <row r="65" ht="36.0" customHeight="1">
      <c r="A65" s="3" t="s">
        <v>286</v>
      </c>
      <c r="B65" s="3" t="s">
        <v>7</v>
      </c>
      <c r="C65" s="3" t="s">
        <v>287</v>
      </c>
      <c r="D65" s="3" t="s">
        <v>288</v>
      </c>
      <c r="E65" s="3" t="s">
        <v>284</v>
      </c>
      <c r="F65" s="3" t="s">
        <v>289</v>
      </c>
    </row>
    <row r="66" ht="36.0" customHeight="1">
      <c r="A66" s="2" t="s">
        <v>290</v>
      </c>
      <c r="B66" s="2" t="s">
        <v>7</v>
      </c>
      <c r="C66" s="2" t="s">
        <v>291</v>
      </c>
      <c r="D66" s="2" t="s">
        <v>292</v>
      </c>
      <c r="E66" s="2" t="s">
        <v>284</v>
      </c>
      <c r="F66" s="2" t="s">
        <v>293</v>
      </c>
    </row>
    <row r="67" ht="36.0" customHeight="1">
      <c r="A67" s="3" t="s">
        <v>294</v>
      </c>
      <c r="B67" s="3" t="s">
        <v>7</v>
      </c>
      <c r="C67" s="3" t="s">
        <v>295</v>
      </c>
      <c r="D67" s="3" t="s">
        <v>296</v>
      </c>
      <c r="E67" s="3" t="s">
        <v>139</v>
      </c>
      <c r="F67" s="3" t="s">
        <v>297</v>
      </c>
    </row>
    <row r="68" ht="36.0" customHeight="1">
      <c r="A68" s="2" t="s">
        <v>298</v>
      </c>
      <c r="B68" s="2" t="s">
        <v>7</v>
      </c>
      <c r="C68" s="2" t="s">
        <v>299</v>
      </c>
      <c r="D68" s="2" t="s">
        <v>300</v>
      </c>
      <c r="E68" s="2" t="s">
        <v>101</v>
      </c>
      <c r="F68" s="2" t="s">
        <v>301</v>
      </c>
    </row>
    <row r="69" ht="36.0" customHeight="1">
      <c r="A69" s="3" t="s">
        <v>302</v>
      </c>
      <c r="B69" s="3" t="s">
        <v>7</v>
      </c>
      <c r="C69" s="3" t="s">
        <v>303</v>
      </c>
      <c r="D69" s="3" t="s">
        <v>304</v>
      </c>
      <c r="E69" s="3" t="s">
        <v>305</v>
      </c>
      <c r="F69" s="3" t="s">
        <v>306</v>
      </c>
    </row>
    <row r="70" ht="36.0" customHeight="1">
      <c r="A70" s="2" t="s">
        <v>307</v>
      </c>
      <c r="B70" s="2" t="s">
        <v>7</v>
      </c>
      <c r="C70" s="2" t="s">
        <v>308</v>
      </c>
      <c r="D70" s="2" t="s">
        <v>309</v>
      </c>
      <c r="E70" s="2" t="s">
        <v>101</v>
      </c>
      <c r="F70" s="2" t="s">
        <v>310</v>
      </c>
    </row>
    <row r="71" ht="36.0" customHeight="1">
      <c r="A71" s="3" t="s">
        <v>311</v>
      </c>
      <c r="B71" s="3" t="s">
        <v>7</v>
      </c>
      <c r="C71" s="3" t="s">
        <v>312</v>
      </c>
      <c r="D71" s="3" t="s">
        <v>313</v>
      </c>
      <c r="E71" s="3" t="s">
        <v>101</v>
      </c>
      <c r="F71" s="3" t="s">
        <v>314</v>
      </c>
    </row>
    <row r="72" ht="36.0" customHeight="1">
      <c r="A72" s="2" t="s">
        <v>315</v>
      </c>
      <c r="B72" s="2" t="s">
        <v>7</v>
      </c>
      <c r="C72" s="2" t="s">
        <v>316</v>
      </c>
      <c r="D72" s="2" t="s">
        <v>317</v>
      </c>
      <c r="E72" s="2" t="s">
        <v>318</v>
      </c>
      <c r="F72" s="2" t="s">
        <v>319</v>
      </c>
    </row>
    <row r="73" ht="36.0" customHeight="1">
      <c r="A73" s="3" t="s">
        <v>320</v>
      </c>
      <c r="B73" s="3" t="s">
        <v>7</v>
      </c>
      <c r="C73" s="3" t="s">
        <v>321</v>
      </c>
      <c r="D73" s="3" t="s">
        <v>322</v>
      </c>
      <c r="E73" s="3" t="s">
        <v>323</v>
      </c>
      <c r="F73" s="3" t="s">
        <v>324</v>
      </c>
    </row>
    <row r="74" ht="36.0" customHeight="1">
      <c r="A74" s="2" t="s">
        <v>325</v>
      </c>
      <c r="B74" s="2" t="s">
        <v>7</v>
      </c>
      <c r="C74" s="2" t="s">
        <v>326</v>
      </c>
      <c r="D74" s="2" t="s">
        <v>327</v>
      </c>
      <c r="E74" s="2" t="s">
        <v>323</v>
      </c>
      <c r="F74" s="2" t="s">
        <v>328</v>
      </c>
    </row>
    <row r="75" ht="36.0" customHeight="1">
      <c r="A75" s="3" t="s">
        <v>329</v>
      </c>
      <c r="B75" s="3" t="s">
        <v>7</v>
      </c>
      <c r="C75" s="3" t="s">
        <v>330</v>
      </c>
      <c r="D75" s="3" t="s">
        <v>331</v>
      </c>
      <c r="E75" s="3" t="s">
        <v>323</v>
      </c>
      <c r="F75" s="3" t="s">
        <v>332</v>
      </c>
    </row>
    <row r="76" ht="36.0" customHeight="1">
      <c r="A76" s="2" t="s">
        <v>333</v>
      </c>
      <c r="B76" s="2" t="s">
        <v>7</v>
      </c>
      <c r="C76" s="2" t="s">
        <v>334</v>
      </c>
      <c r="D76" s="2" t="s">
        <v>335</v>
      </c>
      <c r="E76" s="2" t="s">
        <v>318</v>
      </c>
      <c r="F76" s="2" t="s">
        <v>336</v>
      </c>
    </row>
    <row r="77" ht="36.0" customHeight="1">
      <c r="A77" s="3" t="s">
        <v>337</v>
      </c>
      <c r="B77" s="3" t="s">
        <v>7</v>
      </c>
      <c r="C77" s="3" t="s">
        <v>338</v>
      </c>
      <c r="D77" s="3" t="s">
        <v>339</v>
      </c>
      <c r="E77" s="3" t="s">
        <v>340</v>
      </c>
      <c r="F77" s="3" t="s">
        <v>341</v>
      </c>
    </row>
    <row r="78" ht="36.0" customHeight="1">
      <c r="A78" s="2" t="s">
        <v>342</v>
      </c>
      <c r="B78" s="2" t="s">
        <v>7</v>
      </c>
      <c r="C78" s="2" t="s">
        <v>343</v>
      </c>
      <c r="D78" s="2" t="s">
        <v>344</v>
      </c>
      <c r="E78" s="2" t="s">
        <v>345</v>
      </c>
      <c r="F78" s="2" t="s">
        <v>346</v>
      </c>
    </row>
    <row r="79" ht="36.0" customHeight="1">
      <c r="A79" s="3" t="s">
        <v>347</v>
      </c>
      <c r="B79" s="3" t="s">
        <v>7</v>
      </c>
      <c r="C79" s="3" t="s">
        <v>348</v>
      </c>
      <c r="D79" s="3" t="s">
        <v>349</v>
      </c>
      <c r="E79" s="3" t="s">
        <v>345</v>
      </c>
      <c r="F79" s="3" t="s">
        <v>350</v>
      </c>
    </row>
    <row r="80" ht="36.0" customHeight="1">
      <c r="A80" s="2" t="s">
        <v>351</v>
      </c>
      <c r="B80" s="2" t="s">
        <v>7</v>
      </c>
      <c r="C80" s="2" t="s">
        <v>352</v>
      </c>
      <c r="D80" s="2" t="s">
        <v>353</v>
      </c>
      <c r="E80" s="2" t="s">
        <v>318</v>
      </c>
      <c r="F80" s="2" t="s">
        <v>354</v>
      </c>
    </row>
    <row r="81" ht="36.0" customHeight="1">
      <c r="A81" s="3" t="s">
        <v>355</v>
      </c>
      <c r="B81" s="3" t="s">
        <v>7</v>
      </c>
      <c r="C81" s="3" t="s">
        <v>356</v>
      </c>
      <c r="D81" s="3" t="s">
        <v>357</v>
      </c>
      <c r="E81" s="3" t="s">
        <v>318</v>
      </c>
      <c r="F81" s="3" t="s">
        <v>358</v>
      </c>
    </row>
    <row r="82" ht="36.0" customHeight="1">
      <c r="A82" s="2" t="s">
        <v>359</v>
      </c>
      <c r="B82" s="2" t="s">
        <v>7</v>
      </c>
      <c r="C82" s="2" t="s">
        <v>360</v>
      </c>
      <c r="D82" s="2" t="s">
        <v>361</v>
      </c>
      <c r="E82" s="2" t="s">
        <v>362</v>
      </c>
      <c r="F82" s="2" t="s">
        <v>363</v>
      </c>
    </row>
    <row r="83" ht="36.0" customHeight="1">
      <c r="A83" s="3" t="s">
        <v>364</v>
      </c>
      <c r="B83" s="3" t="s">
        <v>7</v>
      </c>
      <c r="C83" s="3" t="s">
        <v>365</v>
      </c>
      <c r="D83" s="3" t="s">
        <v>366</v>
      </c>
      <c r="E83" s="3" t="s">
        <v>362</v>
      </c>
      <c r="F83" s="3" t="s">
        <v>367</v>
      </c>
    </row>
    <row r="84" ht="36.0" customHeight="1">
      <c r="A84" s="2" t="s">
        <v>368</v>
      </c>
      <c r="B84" s="2" t="s">
        <v>7</v>
      </c>
      <c r="C84" s="2" t="s">
        <v>369</v>
      </c>
      <c r="D84" s="2" t="s">
        <v>370</v>
      </c>
      <c r="E84" s="2" t="s">
        <v>318</v>
      </c>
      <c r="F84" s="2" t="s">
        <v>371</v>
      </c>
    </row>
    <row r="85" ht="36.0" customHeight="1">
      <c r="A85" s="3" t="s">
        <v>372</v>
      </c>
      <c r="B85" s="3" t="s">
        <v>7</v>
      </c>
      <c r="C85" s="3" t="s">
        <v>373</v>
      </c>
      <c r="D85" s="3" t="s">
        <v>374</v>
      </c>
      <c r="E85" s="3" t="s">
        <v>318</v>
      </c>
      <c r="F85" s="3" t="s">
        <v>375</v>
      </c>
    </row>
    <row r="86" ht="36.0" customHeight="1">
      <c r="A86" s="2" t="s">
        <v>376</v>
      </c>
      <c r="B86" s="2" t="s">
        <v>7</v>
      </c>
      <c r="C86" s="2" t="s">
        <v>377</v>
      </c>
      <c r="D86" s="2" t="s">
        <v>378</v>
      </c>
      <c r="E86" s="2" t="s">
        <v>318</v>
      </c>
      <c r="F86" s="2" t="s">
        <v>379</v>
      </c>
    </row>
    <row r="87" ht="36.0" customHeight="1">
      <c r="A87" s="3" t="s">
        <v>380</v>
      </c>
      <c r="B87" s="3" t="s">
        <v>7</v>
      </c>
      <c r="C87" s="3" t="s">
        <v>381</v>
      </c>
      <c r="D87" s="3" t="s">
        <v>382</v>
      </c>
      <c r="E87" s="3" t="s">
        <v>318</v>
      </c>
      <c r="F87" s="3" t="s">
        <v>383</v>
      </c>
    </row>
    <row r="88" ht="36.0" customHeight="1">
      <c r="A88" s="2" t="s">
        <v>384</v>
      </c>
      <c r="B88" s="2" t="s">
        <v>7</v>
      </c>
      <c r="C88" s="2" t="s">
        <v>385</v>
      </c>
      <c r="D88" s="2" t="s">
        <v>386</v>
      </c>
      <c r="E88" s="2" t="s">
        <v>387</v>
      </c>
      <c r="F88" s="2" t="s">
        <v>388</v>
      </c>
    </row>
    <row r="89" ht="36.0" customHeight="1">
      <c r="A89" s="3" t="s">
        <v>389</v>
      </c>
      <c r="B89" s="3" t="s">
        <v>7</v>
      </c>
      <c r="C89" s="3" t="s">
        <v>390</v>
      </c>
      <c r="D89" s="3" t="s">
        <v>391</v>
      </c>
      <c r="E89" s="3" t="s">
        <v>392</v>
      </c>
      <c r="F89" s="3" t="s">
        <v>393</v>
      </c>
    </row>
    <row r="90" ht="36.0" customHeight="1">
      <c r="A90" s="2" t="s">
        <v>394</v>
      </c>
      <c r="B90" s="2" t="s">
        <v>7</v>
      </c>
      <c r="C90" s="2" t="s">
        <v>395</v>
      </c>
      <c r="D90" s="2" t="s">
        <v>396</v>
      </c>
      <c r="E90" s="2" t="s">
        <v>267</v>
      </c>
      <c r="F90" s="2" t="s">
        <v>397</v>
      </c>
    </row>
    <row r="91" ht="36.0" customHeight="1">
      <c r="A91" s="3" t="s">
        <v>398</v>
      </c>
      <c r="B91" s="3" t="s">
        <v>7</v>
      </c>
      <c r="C91" s="3" t="s">
        <v>399</v>
      </c>
      <c r="D91" s="3" t="s">
        <v>400</v>
      </c>
      <c r="E91" s="3" t="s">
        <v>267</v>
      </c>
      <c r="F91" s="3" t="s">
        <v>401</v>
      </c>
    </row>
    <row r="92" ht="36.0" customHeight="1">
      <c r="A92" s="2" t="s">
        <v>402</v>
      </c>
      <c r="B92" s="2" t="s">
        <v>7</v>
      </c>
      <c r="C92" s="2" t="s">
        <v>403</v>
      </c>
      <c r="D92" s="2" t="s">
        <v>404</v>
      </c>
      <c r="E92" s="2" t="s">
        <v>224</v>
      </c>
      <c r="F92" s="2" t="s">
        <v>405</v>
      </c>
    </row>
    <row r="93" ht="36.0" customHeight="1">
      <c r="A93" s="3" t="s">
        <v>406</v>
      </c>
      <c r="B93" s="3" t="s">
        <v>7</v>
      </c>
      <c r="C93" s="3" t="s">
        <v>407</v>
      </c>
      <c r="D93" s="3" t="s">
        <v>408</v>
      </c>
      <c r="E93" s="3" t="s">
        <v>19</v>
      </c>
      <c r="F93" s="3" t="s">
        <v>409</v>
      </c>
    </row>
    <row r="94" ht="36.0" customHeight="1">
      <c r="A94" s="2" t="s">
        <v>410</v>
      </c>
      <c r="B94" s="2" t="s">
        <v>7</v>
      </c>
      <c r="C94" s="2" t="s">
        <v>411</v>
      </c>
      <c r="D94" s="2" t="s">
        <v>412</v>
      </c>
      <c r="E94" s="2" t="s">
        <v>19</v>
      </c>
      <c r="F94" s="2" t="s">
        <v>413</v>
      </c>
    </row>
    <row r="95" ht="36.0" customHeight="1">
      <c r="A95" s="3" t="s">
        <v>414</v>
      </c>
      <c r="B95" s="3" t="s">
        <v>7</v>
      </c>
      <c r="C95" s="3" t="s">
        <v>415</v>
      </c>
      <c r="D95" s="3" t="s">
        <v>416</v>
      </c>
      <c r="E95" s="3" t="s">
        <v>19</v>
      </c>
      <c r="F95" s="3" t="s">
        <v>417</v>
      </c>
    </row>
    <row r="96" ht="36.0" customHeight="1">
      <c r="A96" s="2" t="s">
        <v>418</v>
      </c>
      <c r="B96" s="2" t="s">
        <v>7</v>
      </c>
      <c r="C96" s="2" t="s">
        <v>419</v>
      </c>
      <c r="D96" s="2" t="s">
        <v>420</v>
      </c>
      <c r="E96" s="2" t="s">
        <v>19</v>
      </c>
      <c r="F96" s="2" t="s">
        <v>421</v>
      </c>
    </row>
    <row r="97" ht="36.0" customHeight="1">
      <c r="A97" s="3" t="s">
        <v>422</v>
      </c>
      <c r="B97" s="3" t="s">
        <v>7</v>
      </c>
      <c r="C97" s="3" t="s">
        <v>423</v>
      </c>
      <c r="D97" s="3" t="s">
        <v>424</v>
      </c>
      <c r="E97" s="3" t="s">
        <v>425</v>
      </c>
      <c r="F97" s="3" t="s">
        <v>426</v>
      </c>
    </row>
    <row r="98" ht="36.0" customHeight="1">
      <c r="A98" s="2" t="s">
        <v>427</v>
      </c>
      <c r="B98" s="2" t="s">
        <v>7</v>
      </c>
      <c r="C98" s="2" t="s">
        <v>428</v>
      </c>
      <c r="D98" s="2" t="s">
        <v>429</v>
      </c>
      <c r="E98" s="2" t="s">
        <v>430</v>
      </c>
      <c r="F98" s="2" t="s">
        <v>431</v>
      </c>
    </row>
    <row r="99" ht="36.0" customHeight="1">
      <c r="A99" s="3" t="s">
        <v>432</v>
      </c>
      <c r="B99" s="3" t="s">
        <v>7</v>
      </c>
      <c r="C99" s="3" t="s">
        <v>433</v>
      </c>
      <c r="D99" s="3" t="s">
        <v>434</v>
      </c>
      <c r="E99" s="3" t="s">
        <v>435</v>
      </c>
      <c r="F99" s="3" t="s">
        <v>436</v>
      </c>
    </row>
    <row r="100" ht="36.0" customHeight="1">
      <c r="A100" s="2" t="s">
        <v>437</v>
      </c>
      <c r="B100" s="2" t="s">
        <v>7</v>
      </c>
      <c r="C100" s="2" t="s">
        <v>438</v>
      </c>
      <c r="D100" s="2" t="s">
        <v>439</v>
      </c>
      <c r="E100" s="2" t="s">
        <v>435</v>
      </c>
      <c r="F100" s="2" t="s">
        <v>440</v>
      </c>
    </row>
    <row r="101" ht="36.0" customHeight="1">
      <c r="A101" s="3" t="s">
        <v>441</v>
      </c>
      <c r="B101" s="3" t="s">
        <v>7</v>
      </c>
      <c r="C101" s="3" t="s">
        <v>442</v>
      </c>
      <c r="D101" s="3" t="s">
        <v>443</v>
      </c>
      <c r="E101" s="3" t="s">
        <v>435</v>
      </c>
      <c r="F101" s="3" t="s">
        <v>444</v>
      </c>
    </row>
    <row r="102" ht="36.0" customHeight="1">
      <c r="A102" s="2" t="s">
        <v>445</v>
      </c>
      <c r="B102" s="2" t="s">
        <v>7</v>
      </c>
      <c r="C102" s="2" t="s">
        <v>446</v>
      </c>
      <c r="D102" s="2" t="s">
        <v>447</v>
      </c>
      <c r="E102" s="2" t="s">
        <v>448</v>
      </c>
      <c r="F102" s="2" t="s">
        <v>449</v>
      </c>
    </row>
    <row r="103" ht="36.0" customHeight="1">
      <c r="A103" s="3" t="s">
        <v>450</v>
      </c>
      <c r="B103" s="3" t="s">
        <v>7</v>
      </c>
      <c r="C103" s="3" t="s">
        <v>451</v>
      </c>
      <c r="D103" s="3" t="s">
        <v>452</v>
      </c>
      <c r="E103" s="3" t="s">
        <v>448</v>
      </c>
      <c r="F103" s="3" t="s">
        <v>453</v>
      </c>
    </row>
    <row r="104" ht="36.0" customHeight="1">
      <c r="A104" s="2" t="s">
        <v>454</v>
      </c>
      <c r="B104" s="2" t="s">
        <v>7</v>
      </c>
      <c r="C104" s="2" t="s">
        <v>455</v>
      </c>
      <c r="D104" s="2" t="s">
        <v>456</v>
      </c>
      <c r="E104" s="2" t="s">
        <v>19</v>
      </c>
      <c r="F104" s="2" t="s">
        <v>457</v>
      </c>
    </row>
    <row r="105" ht="36.0" customHeight="1">
      <c r="A105" s="3" t="s">
        <v>458</v>
      </c>
      <c r="B105" s="3" t="s">
        <v>7</v>
      </c>
      <c r="C105" s="3" t="s">
        <v>459</v>
      </c>
      <c r="D105" s="3" t="s">
        <v>460</v>
      </c>
      <c r="E105" s="3" t="s">
        <v>19</v>
      </c>
      <c r="F105" s="3" t="s">
        <v>461</v>
      </c>
    </row>
    <row r="106" ht="36.0" customHeight="1">
      <c r="A106" s="2" t="s">
        <v>462</v>
      </c>
      <c r="B106" s="2" t="s">
        <v>7</v>
      </c>
      <c r="C106" s="2" t="s">
        <v>463</v>
      </c>
      <c r="D106" s="2" t="s">
        <v>464</v>
      </c>
      <c r="E106" s="2" t="s">
        <v>19</v>
      </c>
      <c r="F106" s="2" t="s">
        <v>465</v>
      </c>
    </row>
    <row r="107" ht="36.0" customHeight="1">
      <c r="A107" s="3" t="s">
        <v>466</v>
      </c>
      <c r="B107" s="3" t="s">
        <v>7</v>
      </c>
      <c r="C107" s="3" t="s">
        <v>467</v>
      </c>
      <c r="D107" s="3" t="s">
        <v>468</v>
      </c>
      <c r="E107" s="3" t="s">
        <v>19</v>
      </c>
      <c r="F107" s="3" t="s">
        <v>469</v>
      </c>
    </row>
    <row r="108" ht="36.0" customHeight="1">
      <c r="A108" s="2" t="s">
        <v>470</v>
      </c>
      <c r="B108" s="2" t="s">
        <v>7</v>
      </c>
      <c r="C108" s="2" t="s">
        <v>471</v>
      </c>
      <c r="D108" s="2" t="s">
        <v>472</v>
      </c>
      <c r="E108" s="2" t="s">
        <v>19</v>
      </c>
      <c r="F108" s="2" t="s">
        <v>473</v>
      </c>
    </row>
    <row r="109" ht="36.0" customHeight="1">
      <c r="A109" s="3" t="s">
        <v>474</v>
      </c>
      <c r="B109" s="3" t="s">
        <v>7</v>
      </c>
      <c r="C109" s="3" t="s">
        <v>475</v>
      </c>
      <c r="D109" s="3" t="s">
        <v>476</v>
      </c>
      <c r="E109" s="3" t="s">
        <v>24</v>
      </c>
      <c r="F109" s="3" t="s">
        <v>477</v>
      </c>
    </row>
    <row r="110" ht="36.0" customHeight="1">
      <c r="A110" s="2" t="s">
        <v>478</v>
      </c>
      <c r="B110" s="2" t="s">
        <v>7</v>
      </c>
      <c r="C110" s="2" t="s">
        <v>479</v>
      </c>
      <c r="D110" s="2" t="s">
        <v>480</v>
      </c>
      <c r="E110" s="2" t="s">
        <v>24</v>
      </c>
      <c r="F110" s="2" t="s">
        <v>481</v>
      </c>
    </row>
    <row r="111" ht="36.0" customHeight="1">
      <c r="A111" s="3" t="s">
        <v>482</v>
      </c>
      <c r="B111" s="3" t="s">
        <v>7</v>
      </c>
      <c r="C111" s="3" t="s">
        <v>483</v>
      </c>
      <c r="D111" s="3" t="s">
        <v>484</v>
      </c>
      <c r="E111" s="3" t="s">
        <v>207</v>
      </c>
      <c r="F111" s="3" t="s">
        <v>485</v>
      </c>
    </row>
    <row r="112" ht="36.0" customHeight="1">
      <c r="A112" s="2" t="s">
        <v>486</v>
      </c>
      <c r="B112" s="2" t="s">
        <v>7</v>
      </c>
      <c r="C112" s="2" t="s">
        <v>487</v>
      </c>
      <c r="D112" s="2" t="s">
        <v>488</v>
      </c>
      <c r="E112" s="2" t="s">
        <v>207</v>
      </c>
      <c r="F112" s="2" t="s">
        <v>489</v>
      </c>
    </row>
    <row r="113" ht="36.0" customHeight="1">
      <c r="A113" s="3" t="s">
        <v>490</v>
      </c>
      <c r="B113" s="3" t="s">
        <v>7</v>
      </c>
      <c r="C113" s="3" t="s">
        <v>491</v>
      </c>
      <c r="D113" s="3" t="s">
        <v>492</v>
      </c>
      <c r="E113" s="3" t="s">
        <v>207</v>
      </c>
      <c r="F113" s="3" t="s">
        <v>493</v>
      </c>
    </row>
    <row r="114" ht="36.0" customHeight="1">
      <c r="A114" s="2" t="s">
        <v>494</v>
      </c>
      <c r="B114" s="2" t="s">
        <v>7</v>
      </c>
      <c r="C114" s="2" t="s">
        <v>495</v>
      </c>
      <c r="D114" s="2" t="s">
        <v>496</v>
      </c>
      <c r="E114" s="2" t="s">
        <v>52</v>
      </c>
      <c r="F114" s="2" t="s">
        <v>497</v>
      </c>
    </row>
    <row r="115" ht="36.0" customHeight="1">
      <c r="A115" s="3" t="s">
        <v>498</v>
      </c>
      <c r="B115" s="3" t="s">
        <v>7</v>
      </c>
      <c r="C115" s="3" t="s">
        <v>499</v>
      </c>
      <c r="D115" s="3" t="s">
        <v>500</v>
      </c>
      <c r="E115" s="3" t="s">
        <v>37</v>
      </c>
      <c r="F115" s="3" t="s">
        <v>501</v>
      </c>
    </row>
    <row r="116" ht="36.0" customHeight="1">
      <c r="A116" s="2" t="s">
        <v>502</v>
      </c>
      <c r="B116" s="2" t="s">
        <v>7</v>
      </c>
      <c r="C116" s="2" t="s">
        <v>503</v>
      </c>
      <c r="D116" s="2" t="s">
        <v>504</v>
      </c>
      <c r="E116" s="2" t="s">
        <v>71</v>
      </c>
      <c r="F116" s="2" t="s">
        <v>505</v>
      </c>
    </row>
    <row r="117" ht="36.0" customHeight="1">
      <c r="A117" s="3" t="s">
        <v>506</v>
      </c>
      <c r="B117" s="3" t="s">
        <v>7</v>
      </c>
      <c r="C117" s="3" t="s">
        <v>507</v>
      </c>
      <c r="D117" s="3" t="s">
        <v>508</v>
      </c>
      <c r="E117" s="3" t="s">
        <v>224</v>
      </c>
      <c r="F117" s="3" t="s">
        <v>509</v>
      </c>
    </row>
    <row r="118" ht="36.0" customHeight="1">
      <c r="A118" s="2" t="s">
        <v>510</v>
      </c>
      <c r="B118" s="2" t="s">
        <v>7</v>
      </c>
      <c r="C118" s="2" t="s">
        <v>511</v>
      </c>
      <c r="D118" s="2" t="s">
        <v>512</v>
      </c>
      <c r="E118" s="2" t="s">
        <v>52</v>
      </c>
      <c r="F118" s="2" t="s">
        <v>513</v>
      </c>
    </row>
    <row r="119" ht="36.0" customHeight="1">
      <c r="A119" s="3" t="s">
        <v>514</v>
      </c>
      <c r="B119" s="3" t="s">
        <v>7</v>
      </c>
      <c r="C119" s="3" t="s">
        <v>515</v>
      </c>
      <c r="D119" s="3" t="s">
        <v>516</v>
      </c>
      <c r="E119" s="3" t="s">
        <v>517</v>
      </c>
      <c r="F119" s="3" t="s">
        <v>518</v>
      </c>
    </row>
    <row r="120" ht="36.0" customHeight="1">
      <c r="A120" s="2" t="s">
        <v>519</v>
      </c>
      <c r="B120" s="2" t="s">
        <v>7</v>
      </c>
      <c r="C120" s="2" t="s">
        <v>520</v>
      </c>
      <c r="D120" s="2" t="s">
        <v>521</v>
      </c>
      <c r="E120" s="2" t="s">
        <v>229</v>
      </c>
      <c r="F120" s="2" t="s">
        <v>522</v>
      </c>
    </row>
    <row r="121" ht="36.0" customHeight="1">
      <c r="A121" s="3" t="s">
        <v>523</v>
      </c>
      <c r="B121" s="3" t="s">
        <v>7</v>
      </c>
      <c r="C121" s="3" t="s">
        <v>524</v>
      </c>
      <c r="D121" s="3" t="s">
        <v>525</v>
      </c>
      <c r="E121" s="3" t="s">
        <v>229</v>
      </c>
      <c r="F121" s="3" t="s">
        <v>526</v>
      </c>
    </row>
    <row r="122" ht="36.0" customHeight="1">
      <c r="A122" s="2" t="s">
        <v>527</v>
      </c>
      <c r="B122" s="2" t="s">
        <v>7</v>
      </c>
      <c r="C122" s="2" t="s">
        <v>528</v>
      </c>
      <c r="D122" s="2" t="s">
        <v>529</v>
      </c>
      <c r="E122" s="2" t="s">
        <v>229</v>
      </c>
      <c r="F122" s="2" t="s">
        <v>530</v>
      </c>
    </row>
    <row r="123" ht="36.0" customHeight="1">
      <c r="A123" s="3" t="s">
        <v>531</v>
      </c>
      <c r="B123" s="3" t="s">
        <v>7</v>
      </c>
      <c r="C123" s="3" t="s">
        <v>532</v>
      </c>
      <c r="D123" s="3" t="s">
        <v>533</v>
      </c>
      <c r="E123" s="3" t="s">
        <v>229</v>
      </c>
      <c r="F123" s="3" t="s">
        <v>534</v>
      </c>
    </row>
    <row r="124" ht="36.0" customHeight="1">
      <c r="A124" s="2" t="s">
        <v>535</v>
      </c>
      <c r="B124" s="2" t="s">
        <v>7</v>
      </c>
      <c r="C124" s="2" t="s">
        <v>536</v>
      </c>
      <c r="D124" s="2" t="s">
        <v>537</v>
      </c>
      <c r="E124" s="2" t="s">
        <v>538</v>
      </c>
      <c r="F124" s="2" t="s">
        <v>539</v>
      </c>
    </row>
    <row r="125" ht="36.0" customHeight="1">
      <c r="A125" s="3" t="s">
        <v>540</v>
      </c>
      <c r="B125" s="3" t="s">
        <v>7</v>
      </c>
      <c r="C125" s="3" t="s">
        <v>541</v>
      </c>
      <c r="D125" s="3" t="s">
        <v>542</v>
      </c>
      <c r="E125" s="3" t="s">
        <v>538</v>
      </c>
      <c r="F125" s="3" t="s">
        <v>543</v>
      </c>
    </row>
    <row r="126" ht="36.0" customHeight="1">
      <c r="A126" s="2" t="s">
        <v>544</v>
      </c>
      <c r="B126" s="2" t="s">
        <v>7</v>
      </c>
      <c r="C126" s="2" t="s">
        <v>545</v>
      </c>
      <c r="D126" s="2" t="s">
        <v>546</v>
      </c>
      <c r="E126" s="2" t="s">
        <v>538</v>
      </c>
      <c r="F126" s="2" t="s">
        <v>547</v>
      </c>
    </row>
    <row r="127" ht="36.0" customHeight="1">
      <c r="A127" s="3" t="s">
        <v>548</v>
      </c>
      <c r="B127" s="3" t="s">
        <v>7</v>
      </c>
      <c r="C127" s="3" t="s">
        <v>549</v>
      </c>
      <c r="D127" s="3" t="s">
        <v>550</v>
      </c>
      <c r="E127" s="3" t="s">
        <v>517</v>
      </c>
      <c r="F127" s="3" t="s">
        <v>551</v>
      </c>
    </row>
    <row r="128" ht="36.0" customHeight="1">
      <c r="A128" s="2" t="s">
        <v>552</v>
      </c>
      <c r="B128" s="2" t="s">
        <v>7</v>
      </c>
      <c r="C128" s="2" t="s">
        <v>553</v>
      </c>
      <c r="D128" s="2" t="s">
        <v>554</v>
      </c>
      <c r="E128" s="2" t="s">
        <v>62</v>
      </c>
      <c r="F128" s="2" t="s">
        <v>555</v>
      </c>
    </row>
    <row r="129" ht="36.0" customHeight="1">
      <c r="A129" s="3" t="s">
        <v>556</v>
      </c>
      <c r="B129" s="3" t="s">
        <v>7</v>
      </c>
      <c r="C129" s="3" t="s">
        <v>557</v>
      </c>
      <c r="D129" s="3" t="s">
        <v>558</v>
      </c>
      <c r="E129" s="3" t="s">
        <v>62</v>
      </c>
      <c r="F129" s="3" t="s">
        <v>559</v>
      </c>
    </row>
    <row r="130" ht="36.0" customHeight="1">
      <c r="A130" s="2" t="s">
        <v>560</v>
      </c>
      <c r="B130" s="2" t="s">
        <v>7</v>
      </c>
      <c r="C130" s="2" t="s">
        <v>561</v>
      </c>
      <c r="D130" s="2" t="s">
        <v>562</v>
      </c>
      <c r="E130" s="2" t="s">
        <v>224</v>
      </c>
      <c r="F130" s="2" t="s">
        <v>563</v>
      </c>
    </row>
    <row r="131" ht="36.0" customHeight="1">
      <c r="A131" s="3" t="s">
        <v>564</v>
      </c>
      <c r="B131" s="3" t="s">
        <v>7</v>
      </c>
      <c r="C131" s="3" t="s">
        <v>565</v>
      </c>
      <c r="D131" s="3" t="s">
        <v>566</v>
      </c>
      <c r="E131" s="3" t="s">
        <v>71</v>
      </c>
      <c r="F131" s="3" t="s">
        <v>567</v>
      </c>
    </row>
    <row r="132" ht="36.0" customHeight="1">
      <c r="A132" s="2" t="s">
        <v>568</v>
      </c>
      <c r="B132" s="2" t="s">
        <v>7</v>
      </c>
      <c r="C132" s="2" t="s">
        <v>569</v>
      </c>
      <c r="D132" s="2" t="s">
        <v>570</v>
      </c>
      <c r="E132" s="2" t="s">
        <v>71</v>
      </c>
      <c r="F132" s="2" t="s">
        <v>571</v>
      </c>
    </row>
    <row r="133" ht="36.0" customHeight="1">
      <c r="A133" s="3" t="s">
        <v>572</v>
      </c>
      <c r="B133" s="3" t="s">
        <v>7</v>
      </c>
      <c r="C133" s="3" t="s">
        <v>573</v>
      </c>
      <c r="D133" s="3" t="s">
        <v>574</v>
      </c>
      <c r="E133" s="3" t="s">
        <v>224</v>
      </c>
      <c r="F133" s="3" t="s">
        <v>575</v>
      </c>
    </row>
    <row r="134" ht="36.0" customHeight="1">
      <c r="A134" s="2" t="s">
        <v>576</v>
      </c>
      <c r="B134" s="2" t="s">
        <v>7</v>
      </c>
      <c r="C134" s="2" t="s">
        <v>577</v>
      </c>
      <c r="D134" s="2" t="s">
        <v>578</v>
      </c>
      <c r="E134" s="2" t="s">
        <v>71</v>
      </c>
      <c r="F134" s="2" t="s">
        <v>579</v>
      </c>
    </row>
    <row r="135" ht="36.0" customHeight="1">
      <c r="A135" s="3" t="s">
        <v>580</v>
      </c>
      <c r="B135" s="3" t="s">
        <v>7</v>
      </c>
      <c r="C135" s="3" t="s">
        <v>581</v>
      </c>
      <c r="D135" s="3" t="s">
        <v>582</v>
      </c>
      <c r="E135" s="3" t="s">
        <v>76</v>
      </c>
      <c r="F135" s="3" t="s">
        <v>583</v>
      </c>
    </row>
    <row r="136" ht="36.0" customHeight="1">
      <c r="A136" s="2" t="s">
        <v>584</v>
      </c>
      <c r="B136" s="2" t="s">
        <v>7</v>
      </c>
      <c r="C136" s="2" t="s">
        <v>585</v>
      </c>
      <c r="D136" s="2" t="s">
        <v>586</v>
      </c>
      <c r="E136" s="2" t="s">
        <v>71</v>
      </c>
      <c r="F136" s="2" t="s">
        <v>587</v>
      </c>
    </row>
    <row r="137" ht="36.0" customHeight="1">
      <c r="A137" s="3" t="s">
        <v>588</v>
      </c>
      <c r="B137" s="3" t="s">
        <v>7</v>
      </c>
      <c r="C137" s="3" t="s">
        <v>589</v>
      </c>
      <c r="D137" s="3" t="s">
        <v>590</v>
      </c>
      <c r="E137" s="3" t="s">
        <v>76</v>
      </c>
      <c r="F137" s="3" t="s">
        <v>591</v>
      </c>
    </row>
    <row r="138" ht="36.0" customHeight="1">
      <c r="A138" s="2" t="s">
        <v>592</v>
      </c>
      <c r="B138" s="2" t="s">
        <v>7</v>
      </c>
      <c r="C138" s="2" t="s">
        <v>593</v>
      </c>
      <c r="D138" s="2" t="s">
        <v>594</v>
      </c>
      <c r="E138" s="2" t="s">
        <v>86</v>
      </c>
      <c r="F138" s="2" t="s">
        <v>595</v>
      </c>
    </row>
    <row r="139" ht="36.0" customHeight="1">
      <c r="A139" s="3" t="s">
        <v>596</v>
      </c>
      <c r="B139" s="3" t="s">
        <v>7</v>
      </c>
      <c r="C139" s="3" t="s">
        <v>597</v>
      </c>
      <c r="D139" s="3" t="s">
        <v>598</v>
      </c>
      <c r="E139" s="3" t="s">
        <v>599</v>
      </c>
      <c r="F139" s="3" t="s">
        <v>600</v>
      </c>
    </row>
    <row r="140" ht="36.0" customHeight="1">
      <c r="A140" s="2" t="s">
        <v>601</v>
      </c>
      <c r="B140" s="2" t="s">
        <v>7</v>
      </c>
      <c r="C140" s="2" t="s">
        <v>602</v>
      </c>
      <c r="D140" s="2" t="s">
        <v>603</v>
      </c>
      <c r="E140" s="2" t="s">
        <v>254</v>
      </c>
      <c r="F140" s="2" t="s">
        <v>604</v>
      </c>
    </row>
    <row r="141" ht="36.0" customHeight="1">
      <c r="A141" s="3" t="s">
        <v>605</v>
      </c>
      <c r="B141" s="3" t="s">
        <v>7</v>
      </c>
      <c r="C141" s="3" t="s">
        <v>606</v>
      </c>
      <c r="D141" s="3" t="s">
        <v>607</v>
      </c>
      <c r="E141" s="3" t="s">
        <v>608</v>
      </c>
      <c r="F141" s="3" t="s">
        <v>609</v>
      </c>
    </row>
    <row r="142" ht="36.0" customHeight="1">
      <c r="A142" s="2" t="s">
        <v>610</v>
      </c>
      <c r="B142" s="2" t="s">
        <v>7</v>
      </c>
      <c r="C142" s="2" t="s">
        <v>611</v>
      </c>
      <c r="D142" s="2" t="s">
        <v>612</v>
      </c>
      <c r="E142" s="2" t="s">
        <v>81</v>
      </c>
      <c r="F142" s="2" t="s">
        <v>613</v>
      </c>
    </row>
    <row r="143" ht="36.0" customHeight="1">
      <c r="A143" s="3" t="s">
        <v>614</v>
      </c>
      <c r="B143" s="3" t="s">
        <v>7</v>
      </c>
      <c r="C143" s="3" t="s">
        <v>615</v>
      </c>
      <c r="D143" s="3" t="s">
        <v>616</v>
      </c>
      <c r="E143" s="3" t="s">
        <v>86</v>
      </c>
      <c r="F143" s="3" t="s">
        <v>617</v>
      </c>
    </row>
    <row r="144" ht="36.0" customHeight="1">
      <c r="A144" s="2" t="s">
        <v>618</v>
      </c>
      <c r="B144" s="2" t="s">
        <v>7</v>
      </c>
      <c r="C144" s="2" t="s">
        <v>619</v>
      </c>
      <c r="D144" s="2" t="s">
        <v>620</v>
      </c>
      <c r="E144" s="2" t="s">
        <v>86</v>
      </c>
      <c r="F144" s="2" t="s">
        <v>621</v>
      </c>
    </row>
    <row r="145" ht="36.0" customHeight="1">
      <c r="A145" s="3" t="s">
        <v>622</v>
      </c>
      <c r="B145" s="3" t="s">
        <v>7</v>
      </c>
      <c r="C145" s="3" t="s">
        <v>623</v>
      </c>
      <c r="D145" s="3" t="s">
        <v>624</v>
      </c>
      <c r="E145" s="3" t="s">
        <v>81</v>
      </c>
      <c r="F145" s="3" t="s">
        <v>625</v>
      </c>
    </row>
    <row r="146" ht="36.0" customHeight="1">
      <c r="A146" s="2" t="s">
        <v>626</v>
      </c>
      <c r="B146" s="2" t="s">
        <v>7</v>
      </c>
      <c r="C146" s="2" t="s">
        <v>627</v>
      </c>
      <c r="D146" s="2" t="s">
        <v>628</v>
      </c>
      <c r="E146" s="2" t="s">
        <v>86</v>
      </c>
      <c r="F146" s="2" t="s">
        <v>629</v>
      </c>
    </row>
    <row r="147" ht="36.0" customHeight="1">
      <c r="A147" s="3" t="s">
        <v>630</v>
      </c>
      <c r="B147" s="3" t="s">
        <v>7</v>
      </c>
      <c r="C147" s="3" t="s">
        <v>631</v>
      </c>
      <c r="D147" s="3" t="s">
        <v>632</v>
      </c>
      <c r="E147" s="3" t="s">
        <v>86</v>
      </c>
      <c r="F147" s="3" t="s">
        <v>633</v>
      </c>
    </row>
    <row r="148" ht="36.0" customHeight="1">
      <c r="A148" s="2" t="s">
        <v>634</v>
      </c>
      <c r="B148" s="2" t="s">
        <v>7</v>
      </c>
      <c r="C148" s="2" t="s">
        <v>635</v>
      </c>
      <c r="D148" s="2" t="s">
        <v>636</v>
      </c>
      <c r="E148" s="2" t="s">
        <v>81</v>
      </c>
      <c r="F148" s="2" t="s">
        <v>637</v>
      </c>
    </row>
    <row r="149" ht="36.0" customHeight="1">
      <c r="A149" s="3" t="s">
        <v>638</v>
      </c>
      <c r="B149" s="3" t="s">
        <v>7</v>
      </c>
      <c r="C149" s="3" t="s">
        <v>639</v>
      </c>
      <c r="D149" s="3" t="s">
        <v>640</v>
      </c>
      <c r="E149" s="3" t="s">
        <v>254</v>
      </c>
      <c r="F149" s="3" t="s">
        <v>641</v>
      </c>
    </row>
    <row r="150" ht="36.0" customHeight="1">
      <c r="A150" s="2" t="s">
        <v>642</v>
      </c>
      <c r="B150" s="2" t="s">
        <v>7</v>
      </c>
      <c r="C150" s="2" t="s">
        <v>643</v>
      </c>
      <c r="D150" s="2" t="s">
        <v>644</v>
      </c>
      <c r="E150" s="2" t="s">
        <v>81</v>
      </c>
      <c r="F150" s="2" t="s">
        <v>645</v>
      </c>
    </row>
    <row r="151" ht="36.0" customHeight="1">
      <c r="A151" s="3" t="s">
        <v>646</v>
      </c>
      <c r="B151" s="3" t="s">
        <v>7</v>
      </c>
      <c r="C151" s="3" t="s">
        <v>647</v>
      </c>
      <c r="D151" s="3" t="s">
        <v>648</v>
      </c>
      <c r="E151" s="3" t="s">
        <v>267</v>
      </c>
      <c r="F151" s="3" t="s">
        <v>649</v>
      </c>
    </row>
    <row r="152" ht="36.0" customHeight="1">
      <c r="A152" s="2" t="s">
        <v>650</v>
      </c>
      <c r="B152" s="2" t="s">
        <v>7</v>
      </c>
      <c r="C152" s="2" t="s">
        <v>651</v>
      </c>
      <c r="D152" s="2" t="s">
        <v>652</v>
      </c>
      <c r="E152" s="2" t="s">
        <v>267</v>
      </c>
      <c r="F152" s="2" t="s">
        <v>653</v>
      </c>
    </row>
    <row r="153" ht="36.0" customHeight="1">
      <c r="A153" s="3" t="s">
        <v>654</v>
      </c>
      <c r="B153" s="3" t="s">
        <v>7</v>
      </c>
      <c r="C153" s="3" t="s">
        <v>655</v>
      </c>
      <c r="D153" s="3" t="s">
        <v>656</v>
      </c>
      <c r="E153" s="3" t="s">
        <v>267</v>
      </c>
      <c r="F153" s="3" t="s">
        <v>657</v>
      </c>
    </row>
    <row r="154" ht="36.0" customHeight="1">
      <c r="A154" s="2" t="s">
        <v>658</v>
      </c>
      <c r="B154" s="2" t="s">
        <v>7</v>
      </c>
      <c r="C154" s="2" t="s">
        <v>659</v>
      </c>
      <c r="D154" s="2" t="s">
        <v>660</v>
      </c>
      <c r="E154" s="2" t="s">
        <v>267</v>
      </c>
      <c r="F154" s="2" t="s">
        <v>661</v>
      </c>
    </row>
    <row r="155" ht="36.0" customHeight="1">
      <c r="A155" s="3" t="s">
        <v>662</v>
      </c>
      <c r="B155" s="3" t="s">
        <v>7</v>
      </c>
      <c r="C155" s="3" t="s">
        <v>663</v>
      </c>
      <c r="D155" s="3" t="s">
        <v>664</v>
      </c>
      <c r="E155" s="3" t="s">
        <v>267</v>
      </c>
      <c r="F155" s="3" t="s">
        <v>665</v>
      </c>
    </row>
    <row r="156" ht="36.0" customHeight="1">
      <c r="A156" s="2" t="s">
        <v>666</v>
      </c>
      <c r="B156" s="2" t="s">
        <v>7</v>
      </c>
      <c r="C156" s="2" t="s">
        <v>667</v>
      </c>
      <c r="D156" s="2" t="s">
        <v>668</v>
      </c>
      <c r="E156" s="2" t="s">
        <v>669</v>
      </c>
      <c r="F156" s="2" t="s">
        <v>670</v>
      </c>
    </row>
    <row r="157" ht="36.0" customHeight="1">
      <c r="A157" s="3" t="s">
        <v>671</v>
      </c>
      <c r="B157" s="3" t="s">
        <v>7</v>
      </c>
      <c r="C157" s="3" t="s">
        <v>672</v>
      </c>
      <c r="D157" s="3" t="s">
        <v>673</v>
      </c>
      <c r="E157" s="3" t="s">
        <v>674</v>
      </c>
      <c r="F157" s="3" t="s">
        <v>675</v>
      </c>
    </row>
    <row r="158" ht="36.0" customHeight="1">
      <c r="A158" s="2" t="s">
        <v>676</v>
      </c>
      <c r="B158" s="2" t="s">
        <v>7</v>
      </c>
      <c r="C158" s="2" t="s">
        <v>677</v>
      </c>
      <c r="D158" s="2" t="s">
        <v>678</v>
      </c>
      <c r="E158" s="2" t="s">
        <v>669</v>
      </c>
      <c r="F158" s="2" t="s">
        <v>679</v>
      </c>
    </row>
    <row r="159" ht="36.0" customHeight="1">
      <c r="A159" s="3" t="s">
        <v>680</v>
      </c>
      <c r="B159" s="3" t="s">
        <v>7</v>
      </c>
      <c r="C159" s="3" t="s">
        <v>681</v>
      </c>
      <c r="D159" s="3" t="s">
        <v>682</v>
      </c>
      <c r="E159" s="3" t="s">
        <v>96</v>
      </c>
      <c r="F159" s="3" t="s">
        <v>683</v>
      </c>
    </row>
    <row r="160" ht="36.0" customHeight="1">
      <c r="A160" s="2" t="s">
        <v>684</v>
      </c>
      <c r="B160" s="2" t="s">
        <v>7</v>
      </c>
      <c r="C160" s="2" t="s">
        <v>685</v>
      </c>
      <c r="D160" s="2" t="s">
        <v>686</v>
      </c>
      <c r="E160" s="2" t="s">
        <v>96</v>
      </c>
      <c r="F160" s="2" t="s">
        <v>687</v>
      </c>
    </row>
    <row r="161" ht="36.0" customHeight="1">
      <c r="A161" s="3" t="s">
        <v>688</v>
      </c>
      <c r="B161" s="3" t="s">
        <v>7</v>
      </c>
      <c r="C161" s="3" t="s">
        <v>689</v>
      </c>
      <c r="D161" s="3" t="s">
        <v>690</v>
      </c>
      <c r="E161" s="3" t="s">
        <v>284</v>
      </c>
      <c r="F161" s="3" t="s">
        <v>691</v>
      </c>
    </row>
    <row r="162" ht="36.0" customHeight="1">
      <c r="A162" s="2" t="s">
        <v>692</v>
      </c>
      <c r="B162" s="2" t="s">
        <v>7</v>
      </c>
      <c r="C162" s="2" t="s">
        <v>693</v>
      </c>
      <c r="D162" s="2" t="s">
        <v>694</v>
      </c>
      <c r="E162" s="2" t="s">
        <v>695</v>
      </c>
      <c r="F162" s="2" t="s">
        <v>696</v>
      </c>
    </row>
    <row r="163" ht="36.0" customHeight="1">
      <c r="A163" s="3" t="s">
        <v>697</v>
      </c>
      <c r="B163" s="3" t="s">
        <v>7</v>
      </c>
      <c r="C163" s="3" t="s">
        <v>698</v>
      </c>
      <c r="D163" s="3" t="s">
        <v>699</v>
      </c>
      <c r="E163" s="3" t="s">
        <v>695</v>
      </c>
      <c r="F163" s="3" t="s">
        <v>700</v>
      </c>
    </row>
    <row r="164" ht="36.0" customHeight="1">
      <c r="A164" s="2" t="s">
        <v>701</v>
      </c>
      <c r="B164" s="2" t="s">
        <v>7</v>
      </c>
      <c r="C164" s="2" t="s">
        <v>702</v>
      </c>
      <c r="D164" s="2" t="s">
        <v>703</v>
      </c>
      <c r="E164" s="2" t="s">
        <v>695</v>
      </c>
      <c r="F164" s="2" t="s">
        <v>704</v>
      </c>
    </row>
    <row r="165" ht="36.0" customHeight="1">
      <c r="A165" s="3" t="s">
        <v>705</v>
      </c>
      <c r="B165" s="3" t="s">
        <v>7</v>
      </c>
      <c r="C165" s="3" t="s">
        <v>706</v>
      </c>
      <c r="D165" s="3" t="s">
        <v>707</v>
      </c>
      <c r="E165" s="3" t="s">
        <v>695</v>
      </c>
      <c r="F165" s="3" t="s">
        <v>708</v>
      </c>
    </row>
    <row r="166" ht="36.0" customHeight="1">
      <c r="A166" s="2" t="s">
        <v>709</v>
      </c>
      <c r="B166" s="2" t="s">
        <v>7</v>
      </c>
      <c r="C166" s="2" t="s">
        <v>710</v>
      </c>
      <c r="D166" s="2" t="s">
        <v>711</v>
      </c>
      <c r="E166" s="2" t="s">
        <v>695</v>
      </c>
      <c r="F166" s="2" t="s">
        <v>712</v>
      </c>
    </row>
    <row r="167" ht="36.0" customHeight="1">
      <c r="A167" s="3" t="s">
        <v>713</v>
      </c>
      <c r="B167" s="3" t="s">
        <v>7</v>
      </c>
      <c r="C167" s="3" t="s">
        <v>714</v>
      </c>
      <c r="D167" s="3" t="s">
        <v>715</v>
      </c>
      <c r="E167" s="3" t="s">
        <v>139</v>
      </c>
      <c r="F167" s="3" t="s">
        <v>716</v>
      </c>
    </row>
    <row r="168" ht="36.0" customHeight="1">
      <c r="A168" s="2" t="s">
        <v>717</v>
      </c>
      <c r="B168" s="2" t="s">
        <v>7</v>
      </c>
      <c r="C168" s="2" t="s">
        <v>718</v>
      </c>
      <c r="D168" s="2" t="s">
        <v>719</v>
      </c>
      <c r="E168" s="2" t="s">
        <v>695</v>
      </c>
      <c r="F168" s="2" t="s">
        <v>720</v>
      </c>
    </row>
    <row r="169" ht="36.0" customHeight="1">
      <c r="A169" s="3" t="s">
        <v>721</v>
      </c>
      <c r="B169" s="3" t="s">
        <v>7</v>
      </c>
      <c r="C169" s="3" t="s">
        <v>722</v>
      </c>
      <c r="D169" s="3" t="s">
        <v>723</v>
      </c>
      <c r="E169" s="3" t="s">
        <v>724</v>
      </c>
      <c r="F169" s="3" t="s">
        <v>725</v>
      </c>
    </row>
    <row r="170" ht="36.0" customHeight="1">
      <c r="A170" s="2" t="s">
        <v>726</v>
      </c>
      <c r="B170" s="2" t="s">
        <v>7</v>
      </c>
      <c r="C170" s="2" t="s">
        <v>727</v>
      </c>
      <c r="D170" s="2" t="s">
        <v>728</v>
      </c>
      <c r="E170" s="2" t="s">
        <v>284</v>
      </c>
      <c r="F170" s="2" t="s">
        <v>729</v>
      </c>
    </row>
    <row r="171" ht="36.0" customHeight="1">
      <c r="A171" s="3" t="s">
        <v>730</v>
      </c>
      <c r="B171" s="3" t="s">
        <v>7</v>
      </c>
      <c r="C171" s="3" t="s">
        <v>731</v>
      </c>
      <c r="D171" s="3" t="s">
        <v>732</v>
      </c>
      <c r="E171" s="3" t="s">
        <v>284</v>
      </c>
      <c r="F171" s="3" t="s">
        <v>733</v>
      </c>
    </row>
    <row r="172" ht="36.0" customHeight="1">
      <c r="A172" s="2" t="s">
        <v>734</v>
      </c>
      <c r="B172" s="2" t="s">
        <v>7</v>
      </c>
      <c r="C172" s="2" t="s">
        <v>735</v>
      </c>
      <c r="D172" s="2" t="s">
        <v>736</v>
      </c>
      <c r="E172" s="2" t="s">
        <v>737</v>
      </c>
      <c r="F172" s="2" t="s">
        <v>738</v>
      </c>
    </row>
    <row r="173" ht="36.0" customHeight="1">
      <c r="A173" s="3" t="s">
        <v>739</v>
      </c>
      <c r="B173" s="3" t="s">
        <v>7</v>
      </c>
      <c r="C173" s="3" t="s">
        <v>740</v>
      </c>
      <c r="D173" s="3" t="s">
        <v>741</v>
      </c>
      <c r="E173" s="3" t="s">
        <v>742</v>
      </c>
      <c r="F173" s="3" t="s">
        <v>743</v>
      </c>
    </row>
    <row r="174" ht="36.0" customHeight="1">
      <c r="A174" s="2" t="s">
        <v>744</v>
      </c>
      <c r="B174" s="2" t="s">
        <v>7</v>
      </c>
      <c r="C174" s="2" t="s">
        <v>745</v>
      </c>
      <c r="D174" s="2" t="s">
        <v>746</v>
      </c>
      <c r="E174" s="2" t="s">
        <v>742</v>
      </c>
      <c r="F174" s="2" t="s">
        <v>747</v>
      </c>
    </row>
    <row r="175" ht="36.0" customHeight="1">
      <c r="A175" s="3" t="s">
        <v>748</v>
      </c>
      <c r="B175" s="3" t="s">
        <v>7</v>
      </c>
      <c r="C175" s="3" t="s">
        <v>749</v>
      </c>
      <c r="D175" s="3" t="s">
        <v>750</v>
      </c>
      <c r="E175" s="3" t="s">
        <v>742</v>
      </c>
      <c r="F175" s="3" t="s">
        <v>751</v>
      </c>
    </row>
    <row r="176" ht="36.0" customHeight="1">
      <c r="A176" s="2" t="s">
        <v>752</v>
      </c>
      <c r="B176" s="2" t="s">
        <v>7</v>
      </c>
      <c r="C176" s="2" t="s">
        <v>753</v>
      </c>
      <c r="D176" s="2" t="s">
        <v>754</v>
      </c>
      <c r="E176" s="2" t="s">
        <v>742</v>
      </c>
      <c r="F176" s="2" t="s">
        <v>755</v>
      </c>
    </row>
    <row r="177" ht="36.0" customHeight="1">
      <c r="A177" s="3" t="s">
        <v>756</v>
      </c>
      <c r="B177" s="3" t="s">
        <v>7</v>
      </c>
      <c r="C177" s="3" t="s">
        <v>757</v>
      </c>
      <c r="D177" s="3" t="s">
        <v>758</v>
      </c>
      <c r="E177" s="3" t="s">
        <v>742</v>
      </c>
      <c r="F177" s="3" t="s">
        <v>759</v>
      </c>
    </row>
    <row r="178" ht="36.0" customHeight="1">
      <c r="A178" s="2" t="s">
        <v>760</v>
      </c>
      <c r="B178" s="2" t="s">
        <v>7</v>
      </c>
      <c r="C178" s="2" t="s">
        <v>761</v>
      </c>
      <c r="D178" s="2" t="s">
        <v>762</v>
      </c>
      <c r="E178" s="2" t="s">
        <v>742</v>
      </c>
      <c r="F178" s="2" t="s">
        <v>763</v>
      </c>
    </row>
    <row r="179" ht="36.0" customHeight="1">
      <c r="A179" s="3" t="s">
        <v>764</v>
      </c>
      <c r="B179" s="3" t="s">
        <v>7</v>
      </c>
      <c r="C179" s="3" t="s">
        <v>765</v>
      </c>
      <c r="D179" s="3" t="s">
        <v>766</v>
      </c>
      <c r="E179" s="3" t="s">
        <v>767</v>
      </c>
      <c r="F179" s="3" t="s">
        <v>768</v>
      </c>
    </row>
    <row r="180" ht="36.0" customHeight="1">
      <c r="A180" s="2" t="s">
        <v>769</v>
      </c>
      <c r="B180" s="2" t="s">
        <v>7</v>
      </c>
      <c r="C180" s="2" t="s">
        <v>770</v>
      </c>
      <c r="D180" s="2" t="s">
        <v>771</v>
      </c>
      <c r="E180" s="2" t="s">
        <v>767</v>
      </c>
      <c r="F180" s="2" t="s">
        <v>772</v>
      </c>
    </row>
    <row r="181" ht="36.0" customHeight="1">
      <c r="A181" s="3" t="s">
        <v>773</v>
      </c>
      <c r="B181" s="3" t="s">
        <v>7</v>
      </c>
      <c r="C181" s="3" t="s">
        <v>774</v>
      </c>
      <c r="D181" s="3" t="s">
        <v>775</v>
      </c>
      <c r="E181" s="3" t="s">
        <v>599</v>
      </c>
      <c r="F181" s="3" t="s">
        <v>776</v>
      </c>
    </row>
    <row r="182" ht="36.0" customHeight="1">
      <c r="A182" s="2" t="s">
        <v>777</v>
      </c>
      <c r="B182" s="2" t="s">
        <v>7</v>
      </c>
      <c r="C182" s="2" t="s">
        <v>778</v>
      </c>
      <c r="D182" s="2" t="s">
        <v>779</v>
      </c>
      <c r="E182" s="2" t="s">
        <v>599</v>
      </c>
      <c r="F182" s="2" t="s">
        <v>780</v>
      </c>
    </row>
    <row r="183" ht="36.0" customHeight="1">
      <c r="A183" s="3" t="s">
        <v>781</v>
      </c>
      <c r="B183" s="3" t="s">
        <v>7</v>
      </c>
      <c r="C183" s="3" t="s">
        <v>782</v>
      </c>
      <c r="D183" s="3" t="s">
        <v>783</v>
      </c>
      <c r="E183" s="3" t="s">
        <v>148</v>
      </c>
      <c r="F183" s="3" t="s">
        <v>784</v>
      </c>
    </row>
    <row r="184" ht="36.0" customHeight="1">
      <c r="A184" s="2" t="s">
        <v>785</v>
      </c>
      <c r="B184" s="2" t="s">
        <v>7</v>
      </c>
      <c r="C184" s="2" t="s">
        <v>786</v>
      </c>
      <c r="D184" s="2" t="s">
        <v>787</v>
      </c>
      <c r="E184" s="2" t="s">
        <v>148</v>
      </c>
      <c r="F184" s="2" t="s">
        <v>788</v>
      </c>
    </row>
    <row r="185" ht="36.0" customHeight="1">
      <c r="A185" s="3" t="s">
        <v>789</v>
      </c>
      <c r="B185" s="3" t="s">
        <v>7</v>
      </c>
      <c r="C185" s="3" t="s">
        <v>790</v>
      </c>
      <c r="D185" s="3" t="s">
        <v>791</v>
      </c>
      <c r="E185" s="3" t="s">
        <v>345</v>
      </c>
      <c r="F185" s="3" t="s">
        <v>792</v>
      </c>
    </row>
    <row r="186" ht="36.0" customHeight="1">
      <c r="A186" s="2" t="s">
        <v>793</v>
      </c>
      <c r="B186" s="2" t="s">
        <v>7</v>
      </c>
      <c r="C186" s="2" t="s">
        <v>794</v>
      </c>
      <c r="D186" s="2" t="s">
        <v>795</v>
      </c>
      <c r="E186" s="2" t="s">
        <v>345</v>
      </c>
      <c r="F186" s="2" t="s">
        <v>796</v>
      </c>
    </row>
    <row r="187" ht="36.0" customHeight="1">
      <c r="A187" s="3" t="s">
        <v>797</v>
      </c>
      <c r="B187" s="3" t="s">
        <v>7</v>
      </c>
      <c r="C187" s="3" t="s">
        <v>798</v>
      </c>
      <c r="D187" s="3" t="s">
        <v>799</v>
      </c>
      <c r="E187" s="3" t="s">
        <v>345</v>
      </c>
      <c r="F187" s="3" t="s">
        <v>800</v>
      </c>
    </row>
    <row r="188" ht="36.0" customHeight="1">
      <c r="A188" s="2" t="s">
        <v>801</v>
      </c>
      <c r="B188" s="2" t="s">
        <v>7</v>
      </c>
      <c r="C188" s="2" t="s">
        <v>802</v>
      </c>
      <c r="D188" s="2" t="s">
        <v>803</v>
      </c>
      <c r="E188" s="2" t="s">
        <v>345</v>
      </c>
      <c r="F188" s="2" t="s">
        <v>804</v>
      </c>
    </row>
    <row r="189" ht="36.0" customHeight="1">
      <c r="A189" s="3" t="s">
        <v>805</v>
      </c>
      <c r="B189" s="3" t="s">
        <v>7</v>
      </c>
      <c r="C189" s="3" t="s">
        <v>806</v>
      </c>
      <c r="D189" s="3" t="s">
        <v>807</v>
      </c>
      <c r="E189" s="3" t="s">
        <v>345</v>
      </c>
      <c r="F189" s="3" t="s">
        <v>808</v>
      </c>
    </row>
    <row r="190" ht="36.0" customHeight="1">
      <c r="A190" s="2" t="s">
        <v>809</v>
      </c>
      <c r="B190" s="2" t="s">
        <v>7</v>
      </c>
      <c r="C190" s="2" t="s">
        <v>810</v>
      </c>
      <c r="D190" s="2" t="s">
        <v>811</v>
      </c>
      <c r="E190" s="2" t="s">
        <v>318</v>
      </c>
      <c r="F190" s="2" t="s">
        <v>812</v>
      </c>
    </row>
    <row r="191" ht="36.0" customHeight="1">
      <c r="A191" s="3" t="s">
        <v>813</v>
      </c>
      <c r="B191" s="3" t="s">
        <v>7</v>
      </c>
      <c r="C191" s="3" t="s">
        <v>814</v>
      </c>
      <c r="D191" s="3" t="s">
        <v>815</v>
      </c>
      <c r="E191" s="3" t="s">
        <v>345</v>
      </c>
      <c r="F191" s="3" t="s">
        <v>816</v>
      </c>
    </row>
    <row r="192" ht="36.0" customHeight="1">
      <c r="A192" s="2" t="s">
        <v>817</v>
      </c>
      <c r="B192" s="2" t="s">
        <v>7</v>
      </c>
      <c r="C192" s="2" t="s">
        <v>818</v>
      </c>
      <c r="D192" s="2" t="s">
        <v>819</v>
      </c>
      <c r="E192" s="2" t="s">
        <v>345</v>
      </c>
      <c r="F192" s="2" t="s">
        <v>820</v>
      </c>
    </row>
    <row r="193" ht="36.0" customHeight="1">
      <c r="A193" s="3" t="s">
        <v>821</v>
      </c>
      <c r="B193" s="3" t="s">
        <v>7</v>
      </c>
      <c r="C193" s="3" t="s">
        <v>822</v>
      </c>
      <c r="D193" s="3" t="s">
        <v>823</v>
      </c>
      <c r="E193" s="3" t="s">
        <v>318</v>
      </c>
      <c r="F193" s="3" t="s">
        <v>824</v>
      </c>
    </row>
    <row r="194" ht="36.0" customHeight="1">
      <c r="A194" s="2" t="s">
        <v>825</v>
      </c>
      <c r="B194" s="2" t="s">
        <v>7</v>
      </c>
      <c r="C194" s="2" t="s">
        <v>826</v>
      </c>
      <c r="D194" s="2" t="s">
        <v>827</v>
      </c>
      <c r="E194" s="2" t="s">
        <v>362</v>
      </c>
      <c r="F194" s="2" t="s">
        <v>828</v>
      </c>
    </row>
    <row r="195" ht="36.0" customHeight="1">
      <c r="A195" s="3" t="s">
        <v>829</v>
      </c>
      <c r="B195" s="3" t="s">
        <v>7</v>
      </c>
      <c r="C195" s="3" t="s">
        <v>830</v>
      </c>
      <c r="D195" s="3" t="s">
        <v>831</v>
      </c>
      <c r="E195" s="3" t="s">
        <v>362</v>
      </c>
      <c r="F195" s="3" t="s">
        <v>832</v>
      </c>
    </row>
    <row r="196" ht="36.0" customHeight="1">
      <c r="A196" s="2" t="s">
        <v>833</v>
      </c>
      <c r="B196" s="2" t="s">
        <v>7</v>
      </c>
      <c r="C196" s="2" t="s">
        <v>834</v>
      </c>
      <c r="D196" s="2" t="s">
        <v>835</v>
      </c>
      <c r="E196" s="2" t="s">
        <v>362</v>
      </c>
      <c r="F196" s="2" t="s">
        <v>836</v>
      </c>
    </row>
    <row r="197" ht="36.0" customHeight="1">
      <c r="A197" s="3" t="s">
        <v>837</v>
      </c>
      <c r="B197" s="3" t="s">
        <v>7</v>
      </c>
      <c r="C197" s="3" t="s">
        <v>838</v>
      </c>
      <c r="D197" s="3" t="s">
        <v>839</v>
      </c>
      <c r="E197" s="3" t="s">
        <v>362</v>
      </c>
      <c r="F197" s="3" t="s">
        <v>840</v>
      </c>
    </row>
    <row r="198" ht="36.0" customHeight="1">
      <c r="A198" s="2" t="s">
        <v>841</v>
      </c>
      <c r="B198" s="2" t="s">
        <v>7</v>
      </c>
      <c r="C198" s="2" t="s">
        <v>842</v>
      </c>
      <c r="D198" s="2" t="s">
        <v>843</v>
      </c>
      <c r="E198" s="2" t="s">
        <v>362</v>
      </c>
      <c r="F198" s="2" t="s">
        <v>844</v>
      </c>
    </row>
    <row r="199" ht="36.0" customHeight="1">
      <c r="A199" s="3" t="s">
        <v>845</v>
      </c>
      <c r="B199" s="3" t="s">
        <v>7</v>
      </c>
      <c r="C199" s="3" t="s">
        <v>846</v>
      </c>
      <c r="D199" s="3" t="s">
        <v>847</v>
      </c>
      <c r="E199" s="3" t="s">
        <v>848</v>
      </c>
      <c r="F199" s="3" t="s">
        <v>849</v>
      </c>
    </row>
    <row r="200" ht="36.0" customHeight="1">
      <c r="A200" s="2" t="s">
        <v>850</v>
      </c>
      <c r="B200" s="2" t="s">
        <v>7</v>
      </c>
      <c r="C200" s="2" t="s">
        <v>851</v>
      </c>
      <c r="D200" s="2" t="s">
        <v>852</v>
      </c>
      <c r="E200" s="2" t="s">
        <v>387</v>
      </c>
      <c r="F200" s="2" t="s">
        <v>853</v>
      </c>
    </row>
    <row r="201" ht="36.0" customHeight="1">
      <c r="A201" s="3" t="s">
        <v>854</v>
      </c>
      <c r="B201" s="3" t="s">
        <v>7</v>
      </c>
      <c r="C201" s="3" t="s">
        <v>855</v>
      </c>
      <c r="D201" s="3" t="s">
        <v>856</v>
      </c>
      <c r="E201" s="3" t="s">
        <v>387</v>
      </c>
      <c r="F201" s="3" t="s">
        <v>857</v>
      </c>
    </row>
    <row r="202" ht="36.0" customHeight="1">
      <c r="A202" s="2" t="s">
        <v>858</v>
      </c>
      <c r="B202" s="2" t="s">
        <v>7</v>
      </c>
      <c r="C202" s="2" t="s">
        <v>859</v>
      </c>
      <c r="D202" s="2" t="s">
        <v>860</v>
      </c>
      <c r="E202" s="2" t="s">
        <v>387</v>
      </c>
      <c r="F202" s="2" t="s">
        <v>861</v>
      </c>
    </row>
    <row r="203" ht="36.0" customHeight="1">
      <c r="A203" s="3" t="s">
        <v>862</v>
      </c>
      <c r="B203" s="3" t="s">
        <v>7</v>
      </c>
      <c r="C203" s="3" t="s">
        <v>863</v>
      </c>
      <c r="D203" s="3" t="s">
        <v>864</v>
      </c>
      <c r="E203" s="3" t="s">
        <v>387</v>
      </c>
      <c r="F203" s="3" t="s">
        <v>865</v>
      </c>
    </row>
    <row r="204" ht="36.0" customHeight="1">
      <c r="A204" s="2" t="s">
        <v>866</v>
      </c>
      <c r="B204" s="2" t="s">
        <v>7</v>
      </c>
      <c r="C204" s="2" t="s">
        <v>867</v>
      </c>
      <c r="D204" s="2" t="s">
        <v>868</v>
      </c>
      <c r="E204" s="2" t="s">
        <v>387</v>
      </c>
      <c r="F204" s="2" t="s">
        <v>869</v>
      </c>
    </row>
    <row r="205" ht="36.0" customHeight="1">
      <c r="A205" s="3" t="s">
        <v>870</v>
      </c>
      <c r="B205" s="3" t="s">
        <v>7</v>
      </c>
      <c r="C205" s="3" t="s">
        <v>871</v>
      </c>
      <c r="D205" s="3" t="s">
        <v>872</v>
      </c>
      <c r="E205" s="3" t="s">
        <v>318</v>
      </c>
      <c r="F205" s="3" t="s">
        <v>873</v>
      </c>
    </row>
    <row r="206" ht="36.0" customHeight="1">
      <c r="A206" s="2" t="s">
        <v>874</v>
      </c>
      <c r="B206" s="2" t="s">
        <v>7</v>
      </c>
      <c r="C206" s="2" t="s">
        <v>875</v>
      </c>
      <c r="D206" s="2" t="s">
        <v>876</v>
      </c>
      <c r="E206" s="2" t="s">
        <v>695</v>
      </c>
      <c r="F206" s="2" t="s">
        <v>877</v>
      </c>
    </row>
    <row r="207" ht="36.0" customHeight="1">
      <c r="A207" s="3" t="s">
        <v>878</v>
      </c>
      <c r="B207" s="3" t="s">
        <v>7</v>
      </c>
      <c r="C207" s="3" t="s">
        <v>879</v>
      </c>
      <c r="D207" s="3" t="s">
        <v>880</v>
      </c>
      <c r="E207" s="3" t="s">
        <v>86</v>
      </c>
      <c r="F207" s="3" t="s">
        <v>881</v>
      </c>
    </row>
    <row r="208" ht="36.0" customHeight="1">
      <c r="A208" s="2" t="s">
        <v>882</v>
      </c>
      <c r="B208" s="2" t="s">
        <v>7</v>
      </c>
      <c r="C208" s="2" t="s">
        <v>883</v>
      </c>
      <c r="D208" s="2" t="s">
        <v>884</v>
      </c>
      <c r="E208" s="2" t="s">
        <v>724</v>
      </c>
      <c r="F208" s="2" t="s">
        <v>885</v>
      </c>
    </row>
    <row r="209" ht="36.0" customHeight="1">
      <c r="A209" s="3" t="s">
        <v>886</v>
      </c>
      <c r="B209" s="3" t="s">
        <v>7</v>
      </c>
      <c r="C209" s="3" t="s">
        <v>887</v>
      </c>
      <c r="D209" s="3" t="s">
        <v>888</v>
      </c>
      <c r="E209" s="3" t="s">
        <v>139</v>
      </c>
      <c r="F209" s="3" t="s">
        <v>889</v>
      </c>
    </row>
    <row r="210" ht="36.0" customHeight="1">
      <c r="A210" s="2" t="s">
        <v>890</v>
      </c>
      <c r="B210" s="2" t="s">
        <v>7</v>
      </c>
      <c r="C210" s="2" t="s">
        <v>891</v>
      </c>
      <c r="D210" s="2" t="s">
        <v>892</v>
      </c>
      <c r="E210" s="2"/>
      <c r="F210" s="2" t="s">
        <v>893</v>
      </c>
    </row>
    <row r="211" ht="36.0" customHeight="1">
      <c r="A211" s="3" t="s">
        <v>894</v>
      </c>
      <c r="B211" s="3" t="s">
        <v>7</v>
      </c>
      <c r="C211" s="3" t="s">
        <v>895</v>
      </c>
      <c r="D211" s="3" t="s">
        <v>896</v>
      </c>
      <c r="E211" s="3" t="s">
        <v>430</v>
      </c>
      <c r="F211" s="3" t="s">
        <v>897</v>
      </c>
    </row>
    <row r="212" ht="36.0" customHeight="1">
      <c r="A212" s="2" t="s">
        <v>898</v>
      </c>
      <c r="B212" s="2" t="s">
        <v>7</v>
      </c>
      <c r="C212" s="2" t="s">
        <v>899</v>
      </c>
      <c r="D212" s="2" t="s">
        <v>900</v>
      </c>
      <c r="E212" s="2" t="s">
        <v>430</v>
      </c>
      <c r="F212" s="2" t="s">
        <v>901</v>
      </c>
    </row>
    <row r="213" ht="36.0" customHeight="1">
      <c r="A213" s="3" t="s">
        <v>902</v>
      </c>
      <c r="B213" s="3" t="s">
        <v>7</v>
      </c>
      <c r="C213" s="3" t="s">
        <v>903</v>
      </c>
      <c r="D213" s="3" t="s">
        <v>904</v>
      </c>
      <c r="E213" s="3" t="s">
        <v>430</v>
      </c>
      <c r="F213" s="3" t="s">
        <v>905</v>
      </c>
    </row>
    <row r="214" ht="36.0" customHeight="1">
      <c r="A214" s="2" t="s">
        <v>906</v>
      </c>
      <c r="B214" s="2" t="s">
        <v>7</v>
      </c>
      <c r="C214" s="2" t="s">
        <v>907</v>
      </c>
      <c r="D214" s="2" t="s">
        <v>908</v>
      </c>
      <c r="E214" s="2" t="s">
        <v>430</v>
      </c>
      <c r="F214" s="2" t="s">
        <v>909</v>
      </c>
    </row>
    <row r="215" ht="36.0" customHeight="1">
      <c r="A215" s="3" t="s">
        <v>910</v>
      </c>
      <c r="B215" s="3" t="s">
        <v>7</v>
      </c>
      <c r="C215" s="3" t="s">
        <v>911</v>
      </c>
      <c r="D215" s="3" t="s">
        <v>912</v>
      </c>
      <c r="E215" s="3" t="s">
        <v>430</v>
      </c>
      <c r="F215" s="3" t="s">
        <v>913</v>
      </c>
    </row>
    <row r="216" ht="36.0" customHeight="1">
      <c r="A216" s="2" t="s">
        <v>914</v>
      </c>
      <c r="B216" s="2" t="s">
        <v>7</v>
      </c>
      <c r="C216" s="2" t="s">
        <v>915</v>
      </c>
      <c r="D216" s="2" t="s">
        <v>916</v>
      </c>
      <c r="E216" s="2" t="s">
        <v>430</v>
      </c>
      <c r="F216" s="2" t="s">
        <v>917</v>
      </c>
    </row>
    <row r="217" ht="36.0" customHeight="1">
      <c r="A217" s="3" t="s">
        <v>918</v>
      </c>
      <c r="B217" s="3" t="s">
        <v>7</v>
      </c>
      <c r="C217" s="3" t="s">
        <v>919</v>
      </c>
      <c r="D217" s="3" t="s">
        <v>920</v>
      </c>
      <c r="E217" s="3" t="s">
        <v>430</v>
      </c>
      <c r="F217" s="3" t="s">
        <v>921</v>
      </c>
    </row>
    <row r="218" ht="36.0" customHeight="1">
      <c r="A218" s="2" t="s">
        <v>922</v>
      </c>
      <c r="B218" s="2" t="s">
        <v>7</v>
      </c>
      <c r="C218" s="2" t="s">
        <v>923</v>
      </c>
      <c r="D218" s="2" t="s">
        <v>924</v>
      </c>
      <c r="E218" s="2"/>
      <c r="F218" s="2" t="s">
        <v>925</v>
      </c>
    </row>
    <row r="219" ht="36.0" customHeight="1">
      <c r="A219" s="3" t="s">
        <v>926</v>
      </c>
      <c r="B219" s="3" t="s">
        <v>7</v>
      </c>
      <c r="C219" s="3" t="s">
        <v>927</v>
      </c>
      <c r="D219" s="3" t="s">
        <v>928</v>
      </c>
      <c r="E219" s="3" t="s">
        <v>435</v>
      </c>
      <c r="F219" s="3" t="s">
        <v>929</v>
      </c>
    </row>
    <row r="220" ht="36.0" customHeight="1">
      <c r="A220" s="2" t="s">
        <v>930</v>
      </c>
      <c r="B220" s="2" t="s">
        <v>7</v>
      </c>
      <c r="C220" s="2" t="s">
        <v>931</v>
      </c>
      <c r="D220" s="2" t="s">
        <v>932</v>
      </c>
      <c r="E220" s="2" t="s">
        <v>435</v>
      </c>
      <c r="F220" s="2" t="s">
        <v>933</v>
      </c>
    </row>
    <row r="221" ht="36.0" customHeight="1">
      <c r="A221" s="3" t="s">
        <v>934</v>
      </c>
      <c r="B221" s="3" t="s">
        <v>7</v>
      </c>
      <c r="C221" s="3" t="s">
        <v>935</v>
      </c>
      <c r="D221" s="3" t="s">
        <v>936</v>
      </c>
      <c r="E221" s="3" t="s">
        <v>937</v>
      </c>
      <c r="F221" s="3" t="s">
        <v>938</v>
      </c>
    </row>
    <row r="222" ht="36.0" customHeight="1">
      <c r="A222" s="2" t="s">
        <v>939</v>
      </c>
      <c r="B222" s="2" t="s">
        <v>7</v>
      </c>
      <c r="C222" s="2" t="s">
        <v>940</v>
      </c>
      <c r="D222" s="2" t="s">
        <v>941</v>
      </c>
      <c r="E222" s="2" t="s">
        <v>10</v>
      </c>
      <c r="F222" s="2" t="s">
        <v>942</v>
      </c>
    </row>
    <row r="223" ht="36.0" customHeight="1">
      <c r="A223" s="3" t="s">
        <v>943</v>
      </c>
      <c r="B223" s="3" t="s">
        <v>7</v>
      </c>
      <c r="C223" s="3" t="s">
        <v>944</v>
      </c>
      <c r="D223" s="3" t="s">
        <v>945</v>
      </c>
      <c r="E223" s="3" t="s">
        <v>10</v>
      </c>
      <c r="F223" s="3" t="s">
        <v>946</v>
      </c>
    </row>
    <row r="224" ht="36.0" customHeight="1">
      <c r="A224" s="2" t="s">
        <v>947</v>
      </c>
      <c r="B224" s="2" t="s">
        <v>7</v>
      </c>
      <c r="C224" s="2" t="s">
        <v>948</v>
      </c>
      <c r="D224" s="2" t="s">
        <v>949</v>
      </c>
      <c r="E224" s="2" t="s">
        <v>10</v>
      </c>
      <c r="F224" s="2" t="s">
        <v>950</v>
      </c>
    </row>
    <row r="225" ht="36.0" customHeight="1">
      <c r="A225" s="3" t="s">
        <v>951</v>
      </c>
      <c r="B225" s="3" t="s">
        <v>7</v>
      </c>
      <c r="C225" s="3" t="s">
        <v>952</v>
      </c>
      <c r="D225" s="3" t="s">
        <v>953</v>
      </c>
      <c r="E225" s="3" t="s">
        <v>47</v>
      </c>
      <c r="F225" s="3" t="s">
        <v>954</v>
      </c>
    </row>
    <row r="226" ht="36.0" customHeight="1">
      <c r="A226" s="2" t="s">
        <v>955</v>
      </c>
      <c r="B226" s="2" t="s">
        <v>7</v>
      </c>
      <c r="C226" s="2" t="s">
        <v>956</v>
      </c>
      <c r="D226" s="2" t="s">
        <v>957</v>
      </c>
      <c r="E226" s="2" t="s">
        <v>47</v>
      </c>
      <c r="F226" s="2" t="s">
        <v>958</v>
      </c>
    </row>
    <row r="227" ht="36.0" customHeight="1">
      <c r="A227" s="3" t="s">
        <v>959</v>
      </c>
      <c r="B227" s="3" t="s">
        <v>7</v>
      </c>
      <c r="C227" s="3" t="s">
        <v>960</v>
      </c>
      <c r="D227" s="3" t="s">
        <v>961</v>
      </c>
      <c r="E227" s="3" t="s">
        <v>47</v>
      </c>
      <c r="F227" s="3" t="s">
        <v>962</v>
      </c>
    </row>
    <row r="228" ht="36.0" customHeight="1">
      <c r="A228" s="2" t="s">
        <v>963</v>
      </c>
      <c r="B228" s="2" t="s">
        <v>7</v>
      </c>
      <c r="C228" s="2" t="s">
        <v>964</v>
      </c>
      <c r="D228" s="2" t="s">
        <v>965</v>
      </c>
      <c r="E228" s="2" t="s">
        <v>47</v>
      </c>
      <c r="F228" s="2" t="s">
        <v>966</v>
      </c>
    </row>
    <row r="229" ht="36.0" customHeight="1">
      <c r="A229" s="3" t="s">
        <v>967</v>
      </c>
      <c r="B229" s="3" t="s">
        <v>7</v>
      </c>
      <c r="C229" s="3" t="s">
        <v>968</v>
      </c>
      <c r="D229" s="3" t="s">
        <v>969</v>
      </c>
      <c r="E229" s="3" t="s">
        <v>57</v>
      </c>
      <c r="F229" s="3" t="s">
        <v>970</v>
      </c>
    </row>
    <row r="230" ht="36.0" customHeight="1">
      <c r="A230" s="2" t="s">
        <v>971</v>
      </c>
      <c r="B230" s="2" t="s">
        <v>7</v>
      </c>
      <c r="C230" s="2" t="s">
        <v>972</v>
      </c>
      <c r="D230" s="2" t="s">
        <v>973</v>
      </c>
      <c r="E230" s="2" t="s">
        <v>19</v>
      </c>
      <c r="F230" s="2" t="s">
        <v>974</v>
      </c>
    </row>
    <row r="231" ht="36.0" customHeight="1">
      <c r="A231" s="3" t="s">
        <v>975</v>
      </c>
      <c r="B231" s="3" t="s">
        <v>7</v>
      </c>
      <c r="C231" s="3" t="s">
        <v>976</v>
      </c>
      <c r="D231" s="3" t="s">
        <v>977</v>
      </c>
      <c r="E231" s="3" t="s">
        <v>978</v>
      </c>
      <c r="F231" s="3" t="s">
        <v>979</v>
      </c>
    </row>
    <row r="232" ht="36.0" customHeight="1">
      <c r="A232" s="2" t="s">
        <v>980</v>
      </c>
      <c r="B232" s="2" t="s">
        <v>7</v>
      </c>
      <c r="C232" s="2" t="s">
        <v>981</v>
      </c>
      <c r="D232" s="2" t="s">
        <v>982</v>
      </c>
      <c r="E232" s="2" t="s">
        <v>983</v>
      </c>
      <c r="F232" s="2" t="s">
        <v>984</v>
      </c>
    </row>
    <row r="233" ht="36.0" customHeight="1">
      <c r="A233" s="3" t="s">
        <v>985</v>
      </c>
      <c r="B233" s="3" t="s">
        <v>7</v>
      </c>
      <c r="C233" s="3" t="s">
        <v>986</v>
      </c>
      <c r="D233" s="3" t="s">
        <v>987</v>
      </c>
      <c r="E233" s="3" t="s">
        <v>24</v>
      </c>
      <c r="F233" s="3" t="s">
        <v>988</v>
      </c>
    </row>
    <row r="234" ht="36.0" customHeight="1">
      <c r="A234" s="2" t="s">
        <v>989</v>
      </c>
      <c r="B234" s="2" t="s">
        <v>7</v>
      </c>
      <c r="C234" s="2" t="s">
        <v>990</v>
      </c>
      <c r="D234" s="2" t="s">
        <v>991</v>
      </c>
      <c r="E234" s="2" t="s">
        <v>24</v>
      </c>
      <c r="F234" s="2" t="s">
        <v>992</v>
      </c>
    </row>
    <row r="235" ht="36.0" customHeight="1">
      <c r="A235" s="3" t="s">
        <v>993</v>
      </c>
      <c r="B235" s="3" t="s">
        <v>7</v>
      </c>
      <c r="C235" s="3" t="s">
        <v>994</v>
      </c>
      <c r="D235" s="3" t="s">
        <v>995</v>
      </c>
      <c r="E235" s="3" t="s">
        <v>996</v>
      </c>
      <c r="F235" s="3" t="s">
        <v>997</v>
      </c>
    </row>
    <row r="236" ht="36.0" customHeight="1">
      <c r="A236" s="2" t="s">
        <v>998</v>
      </c>
      <c r="B236" s="2" t="s">
        <v>7</v>
      </c>
      <c r="C236" s="2" t="s">
        <v>999</v>
      </c>
      <c r="D236" s="2" t="s">
        <v>1000</v>
      </c>
      <c r="E236" s="2" t="s">
        <v>207</v>
      </c>
      <c r="F236" s="2" t="s">
        <v>1001</v>
      </c>
    </row>
    <row r="237" ht="36.0" customHeight="1">
      <c r="A237" s="3" t="s">
        <v>1002</v>
      </c>
      <c r="B237" s="3" t="s">
        <v>7</v>
      </c>
      <c r="C237" s="3" t="s">
        <v>1003</v>
      </c>
      <c r="D237" s="3" t="s">
        <v>1004</v>
      </c>
      <c r="E237" s="3" t="s">
        <v>207</v>
      </c>
      <c r="F237" s="3" t="s">
        <v>1005</v>
      </c>
    </row>
    <row r="238" ht="36.0" customHeight="1">
      <c r="A238" s="2" t="s">
        <v>1006</v>
      </c>
      <c r="B238" s="2" t="s">
        <v>7</v>
      </c>
      <c r="C238" s="2" t="s">
        <v>1007</v>
      </c>
      <c r="D238" s="2" t="s">
        <v>1008</v>
      </c>
      <c r="E238" s="2" t="s">
        <v>207</v>
      </c>
      <c r="F238" s="2" t="s">
        <v>1009</v>
      </c>
    </row>
    <row r="239" ht="36.0" customHeight="1">
      <c r="A239" s="3" t="s">
        <v>1010</v>
      </c>
      <c r="B239" s="3" t="s">
        <v>7</v>
      </c>
      <c r="C239" s="3" t="s">
        <v>1011</v>
      </c>
      <c r="D239" s="3" t="s">
        <v>1012</v>
      </c>
      <c r="E239" s="3" t="s">
        <v>42</v>
      </c>
      <c r="F239" s="3" t="s">
        <v>1013</v>
      </c>
    </row>
    <row r="240" ht="36.0" customHeight="1">
      <c r="A240" s="2" t="s">
        <v>1014</v>
      </c>
      <c r="B240" s="2" t="s">
        <v>7</v>
      </c>
      <c r="C240" s="2" t="s">
        <v>1015</v>
      </c>
      <c r="D240" s="2" t="s">
        <v>1016</v>
      </c>
      <c r="E240" s="2" t="s">
        <v>42</v>
      </c>
      <c r="F240" s="2" t="s">
        <v>1017</v>
      </c>
    </row>
    <row r="241" ht="36.0" customHeight="1">
      <c r="A241" s="3" t="s">
        <v>1018</v>
      </c>
      <c r="B241" s="3" t="s">
        <v>7</v>
      </c>
      <c r="C241" s="3" t="s">
        <v>1019</v>
      </c>
      <c r="D241" s="3" t="s">
        <v>1020</v>
      </c>
      <c r="E241" s="3" t="s">
        <v>62</v>
      </c>
      <c r="F241" s="3" t="s">
        <v>1021</v>
      </c>
    </row>
    <row r="242" ht="36.0" customHeight="1">
      <c r="A242" s="2" t="s">
        <v>1022</v>
      </c>
      <c r="B242" s="2" t="s">
        <v>7</v>
      </c>
      <c r="C242" s="2" t="s">
        <v>1023</v>
      </c>
      <c r="D242" s="2" t="s">
        <v>1024</v>
      </c>
      <c r="E242" s="2" t="s">
        <v>62</v>
      </c>
      <c r="F242" s="2" t="s">
        <v>1025</v>
      </c>
    </row>
    <row r="243" ht="36.0" customHeight="1">
      <c r="A243" s="3" t="s">
        <v>1026</v>
      </c>
      <c r="B243" s="3" t="s">
        <v>7</v>
      </c>
      <c r="C243" s="3" t="s">
        <v>1027</v>
      </c>
      <c r="D243" s="3" t="s">
        <v>1028</v>
      </c>
      <c r="E243" s="3" t="s">
        <v>62</v>
      </c>
      <c r="F243" s="3" t="s">
        <v>1029</v>
      </c>
    </row>
    <row r="244" ht="36.0" customHeight="1">
      <c r="A244" s="2" t="s">
        <v>1030</v>
      </c>
      <c r="B244" s="2" t="s">
        <v>7</v>
      </c>
      <c r="C244" s="2" t="s">
        <v>1031</v>
      </c>
      <c r="D244" s="2" t="s">
        <v>1032</v>
      </c>
      <c r="E244" s="2" t="s">
        <v>229</v>
      </c>
      <c r="F244" s="2" t="s">
        <v>1033</v>
      </c>
    </row>
    <row r="245" ht="36.0" customHeight="1">
      <c r="A245" s="3" t="s">
        <v>1034</v>
      </c>
      <c r="B245" s="3" t="s">
        <v>7</v>
      </c>
      <c r="C245" s="3" t="s">
        <v>1035</v>
      </c>
      <c r="D245" s="3" t="s">
        <v>1036</v>
      </c>
      <c r="E245" s="3" t="s">
        <v>62</v>
      </c>
      <c r="F245" s="3" t="s">
        <v>1037</v>
      </c>
    </row>
    <row r="246" ht="36.0" customHeight="1">
      <c r="A246" s="2" t="s">
        <v>1038</v>
      </c>
      <c r="B246" s="2" t="s">
        <v>7</v>
      </c>
      <c r="C246" s="2" t="s">
        <v>1039</v>
      </c>
      <c r="D246" s="2" t="s">
        <v>1040</v>
      </c>
      <c r="E246" s="2" t="s">
        <v>229</v>
      </c>
      <c r="F246" s="2" t="s">
        <v>1041</v>
      </c>
    </row>
    <row r="247" ht="36.0" customHeight="1">
      <c r="A247" s="3" t="s">
        <v>1042</v>
      </c>
      <c r="B247" s="3" t="s">
        <v>7</v>
      </c>
      <c r="C247" s="3" t="s">
        <v>1043</v>
      </c>
      <c r="D247" s="3" t="s">
        <v>1044</v>
      </c>
      <c r="E247" s="3" t="s">
        <v>62</v>
      </c>
      <c r="F247" s="3" t="s">
        <v>1045</v>
      </c>
    </row>
    <row r="248" ht="36.0" customHeight="1">
      <c r="A248" s="2" t="s">
        <v>1046</v>
      </c>
      <c r="B248" s="2" t="s">
        <v>7</v>
      </c>
      <c r="C248" s="2" t="s">
        <v>1047</v>
      </c>
      <c r="D248" s="2" t="s">
        <v>1048</v>
      </c>
      <c r="E248" s="2" t="s">
        <v>229</v>
      </c>
      <c r="F248" s="2" t="s">
        <v>1049</v>
      </c>
    </row>
    <row r="249" ht="36.0" customHeight="1">
      <c r="A249" s="3" t="s">
        <v>1050</v>
      </c>
      <c r="B249" s="3" t="s">
        <v>7</v>
      </c>
      <c r="C249" s="3" t="s">
        <v>1051</v>
      </c>
      <c r="D249" s="3" t="s">
        <v>1052</v>
      </c>
      <c r="E249" s="3" t="s">
        <v>229</v>
      </c>
      <c r="F249" s="3" t="s">
        <v>1053</v>
      </c>
    </row>
    <row r="250" ht="36.0" customHeight="1">
      <c r="A250" s="2" t="s">
        <v>1054</v>
      </c>
      <c r="B250" s="2" t="s">
        <v>7</v>
      </c>
      <c r="C250" s="2" t="s">
        <v>1055</v>
      </c>
      <c r="D250" s="2" t="s">
        <v>1056</v>
      </c>
      <c r="E250" s="2" t="s">
        <v>229</v>
      </c>
      <c r="F250" s="2" t="s">
        <v>1057</v>
      </c>
    </row>
    <row r="251" ht="36.0" customHeight="1">
      <c r="A251" s="3" t="s">
        <v>1058</v>
      </c>
      <c r="B251" s="3" t="s">
        <v>7</v>
      </c>
      <c r="C251" s="3" t="s">
        <v>1059</v>
      </c>
      <c r="D251" s="3" t="s">
        <v>1060</v>
      </c>
      <c r="E251" s="3" t="s">
        <v>538</v>
      </c>
      <c r="F251" s="3" t="s">
        <v>1061</v>
      </c>
    </row>
    <row r="252" ht="36.0" customHeight="1">
      <c r="A252" s="2" t="s">
        <v>1062</v>
      </c>
      <c r="B252" s="2" t="s">
        <v>7</v>
      </c>
      <c r="C252" s="2" t="s">
        <v>1063</v>
      </c>
      <c r="D252" s="2" t="s">
        <v>1064</v>
      </c>
      <c r="E252" s="2" t="s">
        <v>62</v>
      </c>
      <c r="F252" s="2" t="s">
        <v>1065</v>
      </c>
    </row>
    <row r="253" ht="36.0" customHeight="1">
      <c r="A253" s="3" t="s">
        <v>1066</v>
      </c>
      <c r="B253" s="3" t="s">
        <v>7</v>
      </c>
      <c r="C253" s="3" t="s">
        <v>1067</v>
      </c>
      <c r="D253" s="3" t="s">
        <v>1068</v>
      </c>
      <c r="E253" s="3" t="s">
        <v>224</v>
      </c>
      <c r="F253" s="3" t="s">
        <v>1069</v>
      </c>
    </row>
    <row r="254" ht="36.0" customHeight="1">
      <c r="A254" s="2" t="s">
        <v>1070</v>
      </c>
      <c r="B254" s="2" t="s">
        <v>7</v>
      </c>
      <c r="C254" s="2" t="s">
        <v>1071</v>
      </c>
      <c r="D254" s="2" t="s">
        <v>1072</v>
      </c>
      <c r="E254" s="2" t="s">
        <v>1073</v>
      </c>
      <c r="F254" s="2" t="s">
        <v>1074</v>
      </c>
    </row>
    <row r="255" ht="36.0" customHeight="1">
      <c r="A255" s="3" t="s">
        <v>1075</v>
      </c>
      <c r="B255" s="3" t="s">
        <v>7</v>
      </c>
      <c r="C255" s="3" t="s">
        <v>1076</v>
      </c>
      <c r="D255" s="3" t="s">
        <v>1077</v>
      </c>
      <c r="E255" s="3" t="s">
        <v>1073</v>
      </c>
      <c r="F255" s="3" t="s">
        <v>1078</v>
      </c>
    </row>
    <row r="256" ht="36.0" customHeight="1">
      <c r="A256" s="2" t="s">
        <v>1079</v>
      </c>
      <c r="B256" s="2" t="s">
        <v>7</v>
      </c>
      <c r="C256" s="2" t="s">
        <v>1080</v>
      </c>
      <c r="D256" s="2" t="s">
        <v>1081</v>
      </c>
      <c r="E256" s="2" t="s">
        <v>224</v>
      </c>
      <c r="F256" s="2" t="s">
        <v>1082</v>
      </c>
    </row>
    <row r="257" ht="36.0" customHeight="1">
      <c r="A257" s="3" t="s">
        <v>1083</v>
      </c>
      <c r="B257" s="3" t="s">
        <v>7</v>
      </c>
      <c r="C257" s="3" t="s">
        <v>1084</v>
      </c>
      <c r="D257" s="3" t="s">
        <v>1085</v>
      </c>
      <c r="E257" s="3" t="s">
        <v>71</v>
      </c>
      <c r="F257" s="3" t="s">
        <v>1086</v>
      </c>
    </row>
    <row r="258" ht="36.0" customHeight="1">
      <c r="A258" s="2" t="s">
        <v>1087</v>
      </c>
      <c r="B258" s="2" t="s">
        <v>7</v>
      </c>
      <c r="C258" s="2" t="s">
        <v>1088</v>
      </c>
      <c r="D258" s="2" t="s">
        <v>1089</v>
      </c>
      <c r="E258" s="2" t="s">
        <v>71</v>
      </c>
      <c r="F258" s="2" t="s">
        <v>1090</v>
      </c>
    </row>
    <row r="259" ht="36.0" customHeight="1">
      <c r="A259" s="3" t="s">
        <v>1091</v>
      </c>
      <c r="B259" s="3" t="s">
        <v>7</v>
      </c>
      <c r="C259" s="3" t="s">
        <v>1092</v>
      </c>
      <c r="D259" s="3" t="s">
        <v>1093</v>
      </c>
      <c r="E259" s="3" t="s">
        <v>608</v>
      </c>
      <c r="F259" s="3" t="s">
        <v>1094</v>
      </c>
    </row>
    <row r="260" ht="36.0" customHeight="1">
      <c r="A260" s="2" t="s">
        <v>1095</v>
      </c>
      <c r="B260" s="2" t="s">
        <v>7</v>
      </c>
      <c r="C260" s="2" t="s">
        <v>1096</v>
      </c>
      <c r="D260" s="2" t="s">
        <v>1097</v>
      </c>
      <c r="E260" s="2" t="s">
        <v>71</v>
      </c>
      <c r="F260" s="2" t="s">
        <v>1098</v>
      </c>
    </row>
    <row r="261" ht="36.0" customHeight="1">
      <c r="A261" s="3" t="s">
        <v>1099</v>
      </c>
      <c r="B261" s="3" t="s">
        <v>7</v>
      </c>
      <c r="C261" s="3" t="s">
        <v>1100</v>
      </c>
      <c r="D261" s="3" t="s">
        <v>1101</v>
      </c>
      <c r="E261" s="3" t="s">
        <v>1102</v>
      </c>
      <c r="F261" s="3" t="s">
        <v>1103</v>
      </c>
    </row>
    <row r="262" ht="36.0" customHeight="1">
      <c r="A262" s="2" t="s">
        <v>1104</v>
      </c>
      <c r="B262" s="2" t="s">
        <v>7</v>
      </c>
      <c r="C262" s="2" t="s">
        <v>1105</v>
      </c>
      <c r="D262" s="2" t="s">
        <v>1106</v>
      </c>
      <c r="E262" s="2" t="s">
        <v>1102</v>
      </c>
      <c r="F262" s="2" t="s">
        <v>1107</v>
      </c>
    </row>
    <row r="263" ht="36.0" customHeight="1">
      <c r="A263" s="3" t="s">
        <v>1108</v>
      </c>
      <c r="B263" s="3" t="s">
        <v>7</v>
      </c>
      <c r="C263" s="3" t="s">
        <v>1109</v>
      </c>
      <c r="D263" s="3" t="s">
        <v>1110</v>
      </c>
      <c r="E263" s="3" t="s">
        <v>608</v>
      </c>
      <c r="F263" s="3" t="s">
        <v>1111</v>
      </c>
    </row>
    <row r="264" ht="36.0" customHeight="1">
      <c r="A264" s="2" t="s">
        <v>1112</v>
      </c>
      <c r="B264" s="2" t="s">
        <v>7</v>
      </c>
      <c r="C264" s="2" t="s">
        <v>1113</v>
      </c>
      <c r="D264" s="2" t="s">
        <v>1114</v>
      </c>
      <c r="E264" s="2" t="s">
        <v>224</v>
      </c>
      <c r="F264" s="2" t="s">
        <v>1115</v>
      </c>
    </row>
    <row r="265" ht="36.0" customHeight="1">
      <c r="A265" s="3" t="s">
        <v>1116</v>
      </c>
      <c r="B265" s="3" t="s">
        <v>7</v>
      </c>
      <c r="C265" s="3" t="s">
        <v>1117</v>
      </c>
      <c r="D265" s="3" t="s">
        <v>1118</v>
      </c>
      <c r="E265" s="3" t="s">
        <v>608</v>
      </c>
      <c r="F265" s="3" t="s">
        <v>1119</v>
      </c>
    </row>
    <row r="266" ht="36.0" customHeight="1">
      <c r="A266" s="2" t="s">
        <v>1120</v>
      </c>
      <c r="B266" s="2" t="s">
        <v>7</v>
      </c>
      <c r="C266" s="2" t="s">
        <v>1121</v>
      </c>
      <c r="D266" s="2" t="s">
        <v>1122</v>
      </c>
      <c r="E266" s="2" t="s">
        <v>71</v>
      </c>
      <c r="F266" s="2" t="s">
        <v>1123</v>
      </c>
    </row>
    <row r="267" ht="36.0" customHeight="1">
      <c r="A267" s="3" t="s">
        <v>1124</v>
      </c>
      <c r="B267" s="3" t="s">
        <v>7</v>
      </c>
      <c r="C267" s="3" t="s">
        <v>1125</v>
      </c>
      <c r="D267" s="3" t="s">
        <v>1126</v>
      </c>
      <c r="E267" s="3" t="s">
        <v>224</v>
      </c>
      <c r="F267" s="3" t="s">
        <v>1127</v>
      </c>
    </row>
    <row r="268" ht="36.0" customHeight="1">
      <c r="A268" s="2" t="s">
        <v>1128</v>
      </c>
      <c r="B268" s="2" t="s">
        <v>7</v>
      </c>
      <c r="C268" s="2" t="s">
        <v>1129</v>
      </c>
      <c r="D268" s="2" t="s">
        <v>1130</v>
      </c>
      <c r="E268" s="2" t="s">
        <v>599</v>
      </c>
      <c r="F268" s="2" t="s">
        <v>1131</v>
      </c>
    </row>
    <row r="269" ht="36.0" customHeight="1">
      <c r="A269" s="3" t="s">
        <v>1132</v>
      </c>
      <c r="B269" s="3" t="s">
        <v>7</v>
      </c>
      <c r="C269" s="3" t="s">
        <v>1133</v>
      </c>
      <c r="D269" s="3" t="s">
        <v>1134</v>
      </c>
      <c r="E269" s="3" t="s">
        <v>599</v>
      </c>
      <c r="F269" s="3" t="s">
        <v>1135</v>
      </c>
    </row>
    <row r="270" ht="36.0" customHeight="1">
      <c r="A270" s="2" t="s">
        <v>1136</v>
      </c>
      <c r="B270" s="2" t="s">
        <v>7</v>
      </c>
      <c r="C270" s="2" t="s">
        <v>1137</v>
      </c>
      <c r="D270" s="2" t="s">
        <v>1138</v>
      </c>
      <c r="E270" s="2" t="s">
        <v>76</v>
      </c>
      <c r="F270" s="2" t="s">
        <v>1139</v>
      </c>
    </row>
    <row r="271" ht="36.0" customHeight="1">
      <c r="A271" s="3" t="s">
        <v>1140</v>
      </c>
      <c r="B271" s="3" t="s">
        <v>7</v>
      </c>
      <c r="C271" s="3" t="s">
        <v>1141</v>
      </c>
      <c r="D271" s="3" t="s">
        <v>1142</v>
      </c>
      <c r="E271" s="3" t="s">
        <v>1143</v>
      </c>
      <c r="F271" s="3" t="s">
        <v>1144</v>
      </c>
    </row>
    <row r="272" ht="36.0" customHeight="1">
      <c r="A272" s="2" t="s">
        <v>1145</v>
      </c>
      <c r="B272" s="2" t="s">
        <v>7</v>
      </c>
      <c r="C272" s="2" t="s">
        <v>1146</v>
      </c>
      <c r="D272" s="2" t="s">
        <v>1147</v>
      </c>
      <c r="E272" s="2" t="s">
        <v>1148</v>
      </c>
      <c r="F272" s="2" t="s">
        <v>1149</v>
      </c>
    </row>
    <row r="273" ht="36.0" customHeight="1">
      <c r="A273" s="3" t="s">
        <v>1150</v>
      </c>
      <c r="B273" s="3" t="s">
        <v>7</v>
      </c>
      <c r="C273" s="3" t="s">
        <v>1151</v>
      </c>
      <c r="D273" s="3" t="s">
        <v>1152</v>
      </c>
      <c r="E273" s="3" t="s">
        <v>1148</v>
      </c>
      <c r="F273" s="3" t="s">
        <v>1153</v>
      </c>
    </row>
    <row r="274" ht="36.0" customHeight="1">
      <c r="A274" s="2" t="s">
        <v>1154</v>
      </c>
      <c r="B274" s="2" t="s">
        <v>7</v>
      </c>
      <c r="C274" s="2" t="s">
        <v>1155</v>
      </c>
      <c r="D274" s="2" t="s">
        <v>1156</v>
      </c>
      <c r="E274" s="2" t="s">
        <v>254</v>
      </c>
      <c r="F274" s="2" t="s">
        <v>1157</v>
      </c>
    </row>
    <row r="275" ht="36.0" customHeight="1">
      <c r="A275" s="3" t="s">
        <v>1158</v>
      </c>
      <c r="B275" s="3" t="s">
        <v>7</v>
      </c>
      <c r="C275" s="3" t="s">
        <v>1159</v>
      </c>
      <c r="D275" s="3" t="s">
        <v>1160</v>
      </c>
      <c r="E275" s="3" t="s">
        <v>1148</v>
      </c>
      <c r="F275" s="3" t="s">
        <v>1161</v>
      </c>
    </row>
    <row r="276" ht="36.0" customHeight="1">
      <c r="A276" s="2" t="s">
        <v>1162</v>
      </c>
      <c r="B276" s="2" t="s">
        <v>7</v>
      </c>
      <c r="C276" s="2" t="s">
        <v>1163</v>
      </c>
      <c r="D276" s="2" t="s">
        <v>1164</v>
      </c>
      <c r="E276" s="2" t="s">
        <v>608</v>
      </c>
      <c r="F276" s="2" t="s">
        <v>1165</v>
      </c>
    </row>
    <row r="277" ht="36.0" customHeight="1">
      <c r="A277" s="3" t="s">
        <v>1166</v>
      </c>
      <c r="B277" s="3" t="s">
        <v>7</v>
      </c>
      <c r="C277" s="3" t="s">
        <v>1167</v>
      </c>
      <c r="D277" s="3" t="s">
        <v>1168</v>
      </c>
      <c r="E277" s="3" t="s">
        <v>608</v>
      </c>
      <c r="F277" s="3" t="s">
        <v>1169</v>
      </c>
    </row>
    <row r="278" ht="36.0" customHeight="1">
      <c r="A278" s="2" t="s">
        <v>1170</v>
      </c>
      <c r="B278" s="2" t="s">
        <v>7</v>
      </c>
      <c r="C278" s="2" t="s">
        <v>1171</v>
      </c>
      <c r="D278" s="2" t="s">
        <v>1172</v>
      </c>
      <c r="E278" s="2" t="s">
        <v>1148</v>
      </c>
      <c r="F278" s="2" t="s">
        <v>1173</v>
      </c>
    </row>
    <row r="279" ht="36.0" customHeight="1">
      <c r="A279" s="3" t="s">
        <v>1174</v>
      </c>
      <c r="B279" s="3" t="s">
        <v>7</v>
      </c>
      <c r="C279" s="3" t="s">
        <v>1175</v>
      </c>
      <c r="D279" s="3" t="s">
        <v>1176</v>
      </c>
      <c r="E279" s="3" t="s">
        <v>1148</v>
      </c>
      <c r="F279" s="3" t="s">
        <v>1177</v>
      </c>
    </row>
    <row r="280" ht="36.0" customHeight="1">
      <c r="A280" s="2" t="s">
        <v>1178</v>
      </c>
      <c r="B280" s="2" t="s">
        <v>7</v>
      </c>
      <c r="C280" s="2" t="s">
        <v>1179</v>
      </c>
      <c r="D280" s="2" t="s">
        <v>1180</v>
      </c>
      <c r="E280" s="2" t="s">
        <v>608</v>
      </c>
      <c r="F280" s="2" t="s">
        <v>1181</v>
      </c>
    </row>
    <row r="281" ht="36.0" customHeight="1">
      <c r="A281" s="3" t="s">
        <v>1182</v>
      </c>
      <c r="B281" s="3" t="s">
        <v>7</v>
      </c>
      <c r="C281" s="3" t="s">
        <v>1183</v>
      </c>
      <c r="D281" s="3" t="s">
        <v>1184</v>
      </c>
      <c r="E281" s="3" t="s">
        <v>81</v>
      </c>
      <c r="F281" s="3" t="s">
        <v>1185</v>
      </c>
    </row>
    <row r="282" ht="36.0" customHeight="1">
      <c r="A282" s="2" t="s">
        <v>1186</v>
      </c>
      <c r="B282" s="2" t="s">
        <v>7</v>
      </c>
      <c r="C282" s="2" t="s">
        <v>1187</v>
      </c>
      <c r="D282" s="2" t="s">
        <v>1188</v>
      </c>
      <c r="E282" s="2" t="s">
        <v>86</v>
      </c>
      <c r="F282" s="2" t="s">
        <v>1189</v>
      </c>
    </row>
    <row r="283" ht="36.0" customHeight="1">
      <c r="A283" s="3" t="s">
        <v>1190</v>
      </c>
      <c r="B283" s="3" t="s">
        <v>7</v>
      </c>
      <c r="C283" s="3" t="s">
        <v>1191</v>
      </c>
      <c r="D283" s="3" t="s">
        <v>1192</v>
      </c>
      <c r="E283" s="3" t="s">
        <v>81</v>
      </c>
      <c r="F283" s="3" t="s">
        <v>1193</v>
      </c>
    </row>
    <row r="284" ht="36.0" customHeight="1">
      <c r="A284" s="2" t="s">
        <v>1194</v>
      </c>
      <c r="B284" s="2" t="s">
        <v>7</v>
      </c>
      <c r="C284" s="2" t="s">
        <v>1195</v>
      </c>
      <c r="D284" s="2" t="s">
        <v>1196</v>
      </c>
      <c r="E284" s="2" t="s">
        <v>1197</v>
      </c>
      <c r="F284" s="2" t="s">
        <v>1198</v>
      </c>
    </row>
    <row r="285" ht="36.0" customHeight="1">
      <c r="A285" s="3" t="s">
        <v>1199</v>
      </c>
      <c r="B285" s="3" t="s">
        <v>7</v>
      </c>
      <c r="C285" s="3" t="s">
        <v>1200</v>
      </c>
      <c r="D285" s="3" t="s">
        <v>1201</v>
      </c>
      <c r="E285" s="3" t="s">
        <v>608</v>
      </c>
      <c r="F285" s="3" t="s">
        <v>1202</v>
      </c>
    </row>
    <row r="286" ht="36.0" customHeight="1">
      <c r="A286" s="2" t="s">
        <v>1203</v>
      </c>
      <c r="B286" s="2" t="s">
        <v>7</v>
      </c>
      <c r="C286" s="2" t="s">
        <v>1204</v>
      </c>
      <c r="D286" s="2" t="s">
        <v>1205</v>
      </c>
      <c r="E286" s="2" t="s">
        <v>608</v>
      </c>
      <c r="F286" s="2" t="s">
        <v>1206</v>
      </c>
    </row>
    <row r="287" ht="36.0" customHeight="1">
      <c r="A287" s="3" t="s">
        <v>1207</v>
      </c>
      <c r="B287" s="3" t="s">
        <v>7</v>
      </c>
      <c r="C287" s="3" t="s">
        <v>1208</v>
      </c>
      <c r="D287" s="3" t="s">
        <v>1209</v>
      </c>
      <c r="E287" s="3" t="s">
        <v>608</v>
      </c>
      <c r="F287" s="3" t="s">
        <v>1210</v>
      </c>
    </row>
    <row r="288" ht="36.0" customHeight="1">
      <c r="A288" s="2" t="s">
        <v>1211</v>
      </c>
      <c r="B288" s="2" t="s">
        <v>7</v>
      </c>
      <c r="C288" s="2" t="s">
        <v>1212</v>
      </c>
      <c r="D288" s="2" t="s">
        <v>1213</v>
      </c>
      <c r="E288" s="2" t="s">
        <v>86</v>
      </c>
      <c r="F288" s="2" t="s">
        <v>1214</v>
      </c>
    </row>
    <row r="289" ht="36.0" customHeight="1">
      <c r="A289" s="3" t="s">
        <v>1215</v>
      </c>
      <c r="B289" s="3" t="s">
        <v>7</v>
      </c>
      <c r="C289" s="3" t="s">
        <v>1216</v>
      </c>
      <c r="D289" s="3" t="s">
        <v>1217</v>
      </c>
      <c r="E289" s="3" t="s">
        <v>608</v>
      </c>
      <c r="F289" s="3" t="s">
        <v>1218</v>
      </c>
    </row>
    <row r="290" ht="36.0" customHeight="1">
      <c r="A290" s="2" t="s">
        <v>1219</v>
      </c>
      <c r="B290" s="2" t="s">
        <v>7</v>
      </c>
      <c r="C290" s="2" t="s">
        <v>1220</v>
      </c>
      <c r="D290" s="2" t="s">
        <v>1221</v>
      </c>
      <c r="E290" s="2" t="s">
        <v>86</v>
      </c>
      <c r="F290" s="2" t="s">
        <v>1222</v>
      </c>
    </row>
    <row r="291" ht="36.0" customHeight="1">
      <c r="A291" s="3" t="s">
        <v>1223</v>
      </c>
      <c r="B291" s="3" t="s">
        <v>7</v>
      </c>
      <c r="C291" s="3" t="s">
        <v>1224</v>
      </c>
      <c r="D291" s="3" t="s">
        <v>1225</v>
      </c>
      <c r="E291" s="3" t="s">
        <v>254</v>
      </c>
      <c r="F291" s="3" t="s">
        <v>1226</v>
      </c>
    </row>
    <row r="292" ht="36.0" customHeight="1">
      <c r="A292" s="2" t="s">
        <v>1227</v>
      </c>
      <c r="B292" s="2" t="s">
        <v>7</v>
      </c>
      <c r="C292" s="2" t="s">
        <v>1228</v>
      </c>
      <c r="D292" s="2" t="s">
        <v>1229</v>
      </c>
      <c r="E292" s="2" t="s">
        <v>81</v>
      </c>
      <c r="F292" s="2" t="s">
        <v>1230</v>
      </c>
    </row>
    <row r="293" ht="36.0" customHeight="1">
      <c r="A293" s="3" t="s">
        <v>1231</v>
      </c>
      <c r="B293" s="3" t="s">
        <v>7</v>
      </c>
      <c r="C293" s="3" t="s">
        <v>1232</v>
      </c>
      <c r="D293" s="3" t="s">
        <v>1233</v>
      </c>
      <c r="E293" s="3" t="s">
        <v>57</v>
      </c>
      <c r="F293" s="3" t="s">
        <v>1234</v>
      </c>
    </row>
    <row r="294" ht="36.0" customHeight="1">
      <c r="A294" s="2" t="s">
        <v>1235</v>
      </c>
      <c r="B294" s="2" t="s">
        <v>7</v>
      </c>
      <c r="C294" s="2" t="s">
        <v>1236</v>
      </c>
      <c r="D294" s="2" t="s">
        <v>1237</v>
      </c>
      <c r="E294" s="2" t="s">
        <v>1143</v>
      </c>
      <c r="F294" s="2" t="s">
        <v>1238</v>
      </c>
    </row>
    <row r="295" ht="36.0" customHeight="1">
      <c r="A295" s="3" t="s">
        <v>1239</v>
      </c>
      <c r="B295" s="3" t="s">
        <v>7</v>
      </c>
      <c r="C295" s="3" t="s">
        <v>1240</v>
      </c>
      <c r="D295" s="3" t="s">
        <v>1241</v>
      </c>
      <c r="E295" s="3" t="s">
        <v>96</v>
      </c>
      <c r="F295" s="3" t="s">
        <v>1242</v>
      </c>
    </row>
    <row r="296" ht="36.0" customHeight="1">
      <c r="A296" s="2" t="s">
        <v>1243</v>
      </c>
      <c r="B296" s="2" t="s">
        <v>7</v>
      </c>
      <c r="C296" s="2" t="s">
        <v>1244</v>
      </c>
      <c r="D296" s="2" t="s">
        <v>1245</v>
      </c>
      <c r="E296" s="2" t="s">
        <v>1197</v>
      </c>
      <c r="F296" s="2" t="s">
        <v>1246</v>
      </c>
    </row>
    <row r="297" ht="36.0" customHeight="1">
      <c r="A297" s="3" t="s">
        <v>1247</v>
      </c>
      <c r="B297" s="3" t="s">
        <v>7</v>
      </c>
      <c r="C297" s="3" t="s">
        <v>1248</v>
      </c>
      <c r="D297" s="3" t="s">
        <v>1249</v>
      </c>
      <c r="E297" s="3" t="s">
        <v>1250</v>
      </c>
      <c r="F297" s="3" t="s">
        <v>1251</v>
      </c>
    </row>
    <row r="298" ht="36.0" customHeight="1">
      <c r="A298" s="2" t="s">
        <v>1252</v>
      </c>
      <c r="B298" s="2" t="s">
        <v>7</v>
      </c>
      <c r="C298" s="2" t="s">
        <v>1253</v>
      </c>
      <c r="D298" s="2" t="s">
        <v>1254</v>
      </c>
      <c r="E298" s="2" t="s">
        <v>1250</v>
      </c>
      <c r="F298" s="2" t="s">
        <v>1255</v>
      </c>
    </row>
    <row r="299" ht="36.0" customHeight="1">
      <c r="A299" s="3" t="s">
        <v>1256</v>
      </c>
      <c r="B299" s="3" t="s">
        <v>7</v>
      </c>
      <c r="C299" s="3" t="s">
        <v>1257</v>
      </c>
      <c r="D299" s="3" t="s">
        <v>1258</v>
      </c>
      <c r="E299" s="3" t="s">
        <v>254</v>
      </c>
      <c r="F299" s="3" t="s">
        <v>1259</v>
      </c>
    </row>
    <row r="300" ht="36.0" customHeight="1">
      <c r="A300" s="2" t="s">
        <v>1260</v>
      </c>
      <c r="B300" s="2" t="s">
        <v>7</v>
      </c>
      <c r="C300" s="2" t="s">
        <v>1261</v>
      </c>
      <c r="D300" s="2" t="s">
        <v>1262</v>
      </c>
      <c r="E300" s="2" t="s">
        <v>1263</v>
      </c>
      <c r="F300" s="2" t="s">
        <v>1264</v>
      </c>
    </row>
    <row r="301" ht="36.0" customHeight="1">
      <c r="A301" s="3" t="s">
        <v>1265</v>
      </c>
      <c r="B301" s="3" t="s">
        <v>7</v>
      </c>
      <c r="C301" s="3" t="s">
        <v>1266</v>
      </c>
      <c r="D301" s="3" t="s">
        <v>1267</v>
      </c>
      <c r="E301" s="3" t="s">
        <v>1268</v>
      </c>
      <c r="F301" s="3" t="s">
        <v>1269</v>
      </c>
    </row>
    <row r="302" ht="36.0" customHeight="1">
      <c r="A302" s="2" t="s">
        <v>1270</v>
      </c>
      <c r="B302" s="2" t="s">
        <v>7</v>
      </c>
      <c r="C302" s="2" t="s">
        <v>1271</v>
      </c>
      <c r="D302" s="2" t="s">
        <v>1272</v>
      </c>
      <c r="E302" s="2" t="s">
        <v>267</v>
      </c>
      <c r="F302" s="2" t="s">
        <v>1273</v>
      </c>
    </row>
    <row r="303" ht="36.0" customHeight="1">
      <c r="A303" s="3" t="s">
        <v>1274</v>
      </c>
      <c r="B303" s="3" t="s">
        <v>7</v>
      </c>
      <c r="C303" s="3" t="s">
        <v>1275</v>
      </c>
      <c r="D303" s="3" t="s">
        <v>1276</v>
      </c>
      <c r="E303" s="3" t="s">
        <v>57</v>
      </c>
      <c r="F303" s="3" t="s">
        <v>1277</v>
      </c>
    </row>
    <row r="304" ht="36.0" customHeight="1">
      <c r="A304" s="2" t="s">
        <v>1278</v>
      </c>
      <c r="B304" s="2" t="s">
        <v>7</v>
      </c>
      <c r="C304" s="2" t="s">
        <v>1279</v>
      </c>
      <c r="D304" s="2" t="s">
        <v>1280</v>
      </c>
      <c r="E304" s="2" t="s">
        <v>1268</v>
      </c>
      <c r="F304" s="2" t="s">
        <v>1281</v>
      </c>
    </row>
    <row r="305" ht="36.0" customHeight="1">
      <c r="A305" s="3" t="s">
        <v>1282</v>
      </c>
      <c r="B305" s="3" t="s">
        <v>7</v>
      </c>
      <c r="C305" s="3" t="s">
        <v>1283</v>
      </c>
      <c r="D305" s="3" t="s">
        <v>1284</v>
      </c>
      <c r="E305" s="3" t="s">
        <v>267</v>
      </c>
      <c r="F305" s="3" t="s">
        <v>1285</v>
      </c>
    </row>
    <row r="306" ht="36.0" customHeight="1">
      <c r="A306" s="2" t="s">
        <v>1286</v>
      </c>
      <c r="B306" s="2" t="s">
        <v>7</v>
      </c>
      <c r="C306" s="2" t="s">
        <v>1287</v>
      </c>
      <c r="D306" s="2" t="s">
        <v>1288</v>
      </c>
      <c r="E306" s="2" t="s">
        <v>1268</v>
      </c>
      <c r="F306" s="2" t="s">
        <v>1289</v>
      </c>
    </row>
    <row r="307" ht="36.0" customHeight="1">
      <c r="A307" s="3" t="s">
        <v>1290</v>
      </c>
      <c r="B307" s="3" t="s">
        <v>7</v>
      </c>
      <c r="C307" s="3" t="s">
        <v>1291</v>
      </c>
      <c r="D307" s="3" t="s">
        <v>1292</v>
      </c>
      <c r="E307" s="3" t="s">
        <v>267</v>
      </c>
      <c r="F307" s="3" t="s">
        <v>1293</v>
      </c>
    </row>
    <row r="308" ht="36.0" customHeight="1">
      <c r="A308" s="2" t="s">
        <v>1294</v>
      </c>
      <c r="B308" s="2" t="s">
        <v>7</v>
      </c>
      <c r="C308" s="2" t="s">
        <v>1295</v>
      </c>
      <c r="D308" s="2" t="s">
        <v>1296</v>
      </c>
      <c r="E308" s="2" t="s">
        <v>1297</v>
      </c>
      <c r="F308" s="2" t="s">
        <v>1298</v>
      </c>
    </row>
    <row r="309" ht="36.0" customHeight="1">
      <c r="A309" s="3" t="s">
        <v>1299</v>
      </c>
      <c r="B309" s="3" t="s">
        <v>7</v>
      </c>
      <c r="C309" s="3" t="s">
        <v>1300</v>
      </c>
      <c r="D309" s="3" t="s">
        <v>1301</v>
      </c>
      <c r="E309" s="3" t="s">
        <v>139</v>
      </c>
      <c r="F309" s="3" t="s">
        <v>1302</v>
      </c>
    </row>
    <row r="310" ht="36.0" customHeight="1">
      <c r="A310" s="2" t="s">
        <v>1303</v>
      </c>
      <c r="B310" s="2" t="s">
        <v>7</v>
      </c>
      <c r="C310" s="2" t="s">
        <v>1304</v>
      </c>
      <c r="D310" s="2" t="s">
        <v>1305</v>
      </c>
      <c r="E310" s="2" t="s">
        <v>1268</v>
      </c>
      <c r="F310" s="2" t="s">
        <v>1306</v>
      </c>
    </row>
    <row r="311" ht="36.0" customHeight="1">
      <c r="A311" s="3" t="s">
        <v>1307</v>
      </c>
      <c r="B311" s="3" t="s">
        <v>7</v>
      </c>
      <c r="C311" s="3" t="s">
        <v>1308</v>
      </c>
      <c r="D311" s="3" t="s">
        <v>1309</v>
      </c>
      <c r="E311" s="3" t="s">
        <v>695</v>
      </c>
      <c r="F311" s="3" t="s">
        <v>1310</v>
      </c>
    </row>
    <row r="312" ht="36.0" customHeight="1">
      <c r="A312" s="2" t="s">
        <v>1311</v>
      </c>
      <c r="B312" s="2" t="s">
        <v>7</v>
      </c>
      <c r="C312" s="2" t="s">
        <v>1312</v>
      </c>
      <c r="D312" s="2" t="s">
        <v>1313</v>
      </c>
      <c r="E312" s="2" t="s">
        <v>139</v>
      </c>
      <c r="F312" s="2" t="s">
        <v>1314</v>
      </c>
    </row>
    <row r="313" ht="36.0" customHeight="1">
      <c r="A313" s="3" t="s">
        <v>1315</v>
      </c>
      <c r="B313" s="3" t="s">
        <v>7</v>
      </c>
      <c r="C313" s="3" t="s">
        <v>1316</v>
      </c>
      <c r="D313" s="3" t="s">
        <v>1317</v>
      </c>
      <c r="E313" s="3" t="s">
        <v>1268</v>
      </c>
      <c r="F313" s="3" t="s">
        <v>1318</v>
      </c>
    </row>
    <row r="314" ht="36.0" customHeight="1">
      <c r="A314" s="2" t="s">
        <v>1319</v>
      </c>
      <c r="B314" s="2" t="s">
        <v>7</v>
      </c>
      <c r="C314" s="2" t="s">
        <v>1320</v>
      </c>
      <c r="D314" s="2" t="s">
        <v>1321</v>
      </c>
      <c r="E314" s="2" t="s">
        <v>96</v>
      </c>
      <c r="F314" s="2" t="s">
        <v>1322</v>
      </c>
    </row>
    <row r="315" ht="36.0" customHeight="1">
      <c r="A315" s="3" t="s">
        <v>1323</v>
      </c>
      <c r="B315" s="3" t="s">
        <v>7</v>
      </c>
      <c r="C315" s="3" t="s">
        <v>1324</v>
      </c>
      <c r="D315" s="3" t="s">
        <v>1325</v>
      </c>
      <c r="E315" s="3" t="s">
        <v>96</v>
      </c>
      <c r="F315" s="3" t="s">
        <v>1326</v>
      </c>
    </row>
    <row r="316" ht="36.0" customHeight="1">
      <c r="A316" s="2" t="s">
        <v>1327</v>
      </c>
      <c r="B316" s="2" t="s">
        <v>7</v>
      </c>
      <c r="C316" s="2" t="s">
        <v>1328</v>
      </c>
      <c r="D316" s="2" t="s">
        <v>1329</v>
      </c>
      <c r="E316" s="2" t="s">
        <v>96</v>
      </c>
      <c r="F316" s="2" t="s">
        <v>1330</v>
      </c>
    </row>
    <row r="317" ht="36.0" customHeight="1">
      <c r="A317" s="3" t="s">
        <v>1331</v>
      </c>
      <c r="B317" s="3" t="s">
        <v>7</v>
      </c>
      <c r="C317" s="3" t="s">
        <v>1332</v>
      </c>
      <c r="D317" s="3" t="s">
        <v>1333</v>
      </c>
      <c r="E317" s="3" t="s">
        <v>1143</v>
      </c>
      <c r="F317" s="3" t="s">
        <v>1334</v>
      </c>
    </row>
    <row r="318" ht="36.0" customHeight="1">
      <c r="A318" s="2" t="s">
        <v>1335</v>
      </c>
      <c r="B318" s="2" t="s">
        <v>7</v>
      </c>
      <c r="C318" s="2" t="s">
        <v>1336</v>
      </c>
      <c r="D318" s="2" t="s">
        <v>1337</v>
      </c>
      <c r="E318" s="2" t="s">
        <v>695</v>
      </c>
      <c r="F318" s="2" t="s">
        <v>1338</v>
      </c>
    </row>
    <row r="319" ht="36.0" customHeight="1">
      <c r="A319" s="3" t="s">
        <v>1339</v>
      </c>
      <c r="B319" s="3" t="s">
        <v>7</v>
      </c>
      <c r="C319" s="3" t="s">
        <v>1340</v>
      </c>
      <c r="D319" s="3" t="s">
        <v>1341</v>
      </c>
      <c r="E319" s="3" t="s">
        <v>695</v>
      </c>
      <c r="F319" s="3" t="s">
        <v>1342</v>
      </c>
    </row>
    <row r="320" ht="36.0" customHeight="1">
      <c r="A320" s="2" t="s">
        <v>1343</v>
      </c>
      <c r="B320" s="2" t="s">
        <v>7</v>
      </c>
      <c r="C320" s="2" t="s">
        <v>1344</v>
      </c>
      <c r="D320" s="2" t="s">
        <v>1345</v>
      </c>
      <c r="E320" s="2" t="s">
        <v>139</v>
      </c>
      <c r="F320" s="2" t="s">
        <v>1346</v>
      </c>
    </row>
    <row r="321" ht="36.0" customHeight="1">
      <c r="A321" s="3" t="s">
        <v>1347</v>
      </c>
      <c r="B321" s="3" t="s">
        <v>7</v>
      </c>
      <c r="C321" s="3" t="s">
        <v>1348</v>
      </c>
      <c r="D321" s="3" t="s">
        <v>1349</v>
      </c>
      <c r="E321" s="3" t="s">
        <v>1350</v>
      </c>
      <c r="F321" s="3" t="s">
        <v>1351</v>
      </c>
    </row>
    <row r="322" ht="36.0" customHeight="1">
      <c r="A322" s="2" t="s">
        <v>1352</v>
      </c>
      <c r="B322" s="2" t="s">
        <v>7</v>
      </c>
      <c r="C322" s="2" t="s">
        <v>1353</v>
      </c>
      <c r="D322" s="2" t="s">
        <v>1354</v>
      </c>
      <c r="E322" s="2" t="s">
        <v>1355</v>
      </c>
      <c r="F322" s="2" t="s">
        <v>1356</v>
      </c>
    </row>
    <row r="323" ht="36.0" customHeight="1">
      <c r="A323" s="3" t="s">
        <v>1357</v>
      </c>
      <c r="B323" s="3" t="s">
        <v>7</v>
      </c>
      <c r="C323" s="3" t="s">
        <v>1358</v>
      </c>
      <c r="D323" s="3" t="s">
        <v>1359</v>
      </c>
      <c r="E323" s="3" t="s">
        <v>284</v>
      </c>
      <c r="F323" s="3" t="s">
        <v>1360</v>
      </c>
    </row>
    <row r="324" ht="36.0" customHeight="1">
      <c r="A324" s="2" t="s">
        <v>1361</v>
      </c>
      <c r="B324" s="2" t="s">
        <v>7</v>
      </c>
      <c r="C324" s="2" t="s">
        <v>1362</v>
      </c>
      <c r="D324" s="2" t="s">
        <v>1363</v>
      </c>
      <c r="E324" s="2" t="s">
        <v>284</v>
      </c>
      <c r="F324" s="2" t="s">
        <v>1364</v>
      </c>
    </row>
    <row r="325" ht="36.0" customHeight="1">
      <c r="A325" s="3" t="s">
        <v>1365</v>
      </c>
      <c r="B325" s="3" t="s">
        <v>7</v>
      </c>
      <c r="C325" s="3" t="s">
        <v>1366</v>
      </c>
      <c r="D325" s="3" t="s">
        <v>1367</v>
      </c>
      <c r="E325" s="3" t="s">
        <v>284</v>
      </c>
      <c r="F325" s="3" t="s">
        <v>1368</v>
      </c>
    </row>
    <row r="326" ht="36.0" customHeight="1">
      <c r="A326" s="2" t="s">
        <v>1369</v>
      </c>
      <c r="B326" s="2" t="s">
        <v>7</v>
      </c>
      <c r="C326" s="2" t="s">
        <v>1370</v>
      </c>
      <c r="D326" s="2" t="s">
        <v>1371</v>
      </c>
      <c r="E326" s="2" t="s">
        <v>737</v>
      </c>
      <c r="F326" s="2" t="s">
        <v>1372</v>
      </c>
    </row>
    <row r="327" ht="36.0" customHeight="1">
      <c r="A327" s="3" t="s">
        <v>1373</v>
      </c>
      <c r="B327" s="3" t="s">
        <v>7</v>
      </c>
      <c r="C327" s="3" t="s">
        <v>1374</v>
      </c>
      <c r="D327" s="3" t="s">
        <v>1375</v>
      </c>
      <c r="E327" s="3" t="s">
        <v>284</v>
      </c>
      <c r="F327" s="3" t="s">
        <v>1376</v>
      </c>
    </row>
    <row r="328" ht="36.0" customHeight="1">
      <c r="A328" s="2" t="s">
        <v>1377</v>
      </c>
      <c r="B328" s="2" t="s">
        <v>7</v>
      </c>
      <c r="C328" s="2" t="s">
        <v>1378</v>
      </c>
      <c r="D328" s="2" t="s">
        <v>1379</v>
      </c>
      <c r="E328" s="2" t="s">
        <v>284</v>
      </c>
      <c r="F328" s="2" t="s">
        <v>1380</v>
      </c>
    </row>
    <row r="329" ht="36.0" customHeight="1">
      <c r="A329" s="3" t="s">
        <v>1381</v>
      </c>
      <c r="B329" s="3" t="s">
        <v>7</v>
      </c>
      <c r="C329" s="3" t="s">
        <v>1382</v>
      </c>
      <c r="D329" s="3" t="s">
        <v>1383</v>
      </c>
      <c r="E329" s="3" t="s">
        <v>284</v>
      </c>
      <c r="F329" s="3" t="s">
        <v>1384</v>
      </c>
    </row>
    <row r="330" ht="36.0" customHeight="1">
      <c r="A330" s="2" t="s">
        <v>1385</v>
      </c>
      <c r="B330" s="2" t="s">
        <v>7</v>
      </c>
      <c r="C330" s="2" t="s">
        <v>1386</v>
      </c>
      <c r="D330" s="2" t="s">
        <v>1387</v>
      </c>
      <c r="E330" s="2" t="s">
        <v>284</v>
      </c>
      <c r="F330" s="2" t="s">
        <v>1388</v>
      </c>
    </row>
    <row r="331" ht="36.0" customHeight="1">
      <c r="A331" s="3" t="s">
        <v>1389</v>
      </c>
      <c r="B331" s="3" t="s">
        <v>7</v>
      </c>
      <c r="C331" s="3" t="s">
        <v>1390</v>
      </c>
      <c r="D331" s="3" t="s">
        <v>1391</v>
      </c>
      <c r="E331" s="3" t="s">
        <v>284</v>
      </c>
      <c r="F331" s="3" t="s">
        <v>1392</v>
      </c>
    </row>
    <row r="332" ht="36.0" customHeight="1">
      <c r="A332" s="2" t="s">
        <v>1393</v>
      </c>
      <c r="B332" s="2" t="s">
        <v>7</v>
      </c>
      <c r="C332" s="2" t="s">
        <v>1394</v>
      </c>
      <c r="D332" s="2" t="s">
        <v>1395</v>
      </c>
      <c r="E332" s="2" t="s">
        <v>1396</v>
      </c>
      <c r="F332" s="2" t="s">
        <v>1397</v>
      </c>
    </row>
    <row r="333" ht="36.0" customHeight="1">
      <c r="A333" s="3" t="s">
        <v>1398</v>
      </c>
      <c r="B333" s="3" t="s">
        <v>7</v>
      </c>
      <c r="C333" s="3" t="s">
        <v>1399</v>
      </c>
      <c r="D333" s="3" t="s">
        <v>1400</v>
      </c>
      <c r="E333" s="3" t="s">
        <v>1401</v>
      </c>
      <c r="F333" s="3" t="s">
        <v>1402</v>
      </c>
    </row>
    <row r="334" ht="36.0" customHeight="1">
      <c r="A334" s="2" t="s">
        <v>1403</v>
      </c>
      <c r="B334" s="2" t="s">
        <v>7</v>
      </c>
      <c r="C334" s="2" t="s">
        <v>1404</v>
      </c>
      <c r="D334" s="2" t="s">
        <v>1405</v>
      </c>
      <c r="E334" s="2" t="s">
        <v>1401</v>
      </c>
      <c r="F334" s="2" t="s">
        <v>1406</v>
      </c>
    </row>
    <row r="335" ht="36.0" customHeight="1">
      <c r="A335" s="3" t="s">
        <v>1407</v>
      </c>
      <c r="B335" s="3" t="s">
        <v>7</v>
      </c>
      <c r="C335" s="3" t="s">
        <v>1408</v>
      </c>
      <c r="D335" s="3" t="s">
        <v>1409</v>
      </c>
      <c r="E335" s="3" t="s">
        <v>1143</v>
      </c>
      <c r="F335" s="3" t="s">
        <v>1410</v>
      </c>
    </row>
    <row r="336" ht="36.0" customHeight="1">
      <c r="A336" s="2" t="s">
        <v>1411</v>
      </c>
      <c r="B336" s="2" t="s">
        <v>7</v>
      </c>
      <c r="C336" s="2" t="s">
        <v>1412</v>
      </c>
      <c r="D336" s="2" t="s">
        <v>1413</v>
      </c>
      <c r="E336" s="2" t="s">
        <v>57</v>
      </c>
      <c r="F336" s="2" t="s">
        <v>1414</v>
      </c>
    </row>
    <row r="337" ht="36.0" customHeight="1">
      <c r="A337" s="3" t="s">
        <v>1415</v>
      </c>
      <c r="B337" s="3" t="s">
        <v>7</v>
      </c>
      <c r="C337" s="3" t="s">
        <v>1416</v>
      </c>
      <c r="D337" s="3" t="s">
        <v>1417</v>
      </c>
      <c r="E337" s="3" t="s">
        <v>1401</v>
      </c>
      <c r="F337" s="3" t="s">
        <v>1418</v>
      </c>
    </row>
    <row r="338" ht="36.0" customHeight="1">
      <c r="A338" s="2" t="s">
        <v>1419</v>
      </c>
      <c r="B338" s="2" t="s">
        <v>7</v>
      </c>
      <c r="C338" s="2" t="s">
        <v>1420</v>
      </c>
      <c r="D338" s="2" t="s">
        <v>1421</v>
      </c>
      <c r="E338" s="2" t="s">
        <v>305</v>
      </c>
      <c r="F338" s="2" t="s">
        <v>1422</v>
      </c>
    </row>
    <row r="339" ht="36.0" customHeight="1">
      <c r="A339" s="3" t="s">
        <v>1423</v>
      </c>
      <c r="B339" s="3" t="s">
        <v>7</v>
      </c>
      <c r="C339" s="3" t="s">
        <v>1424</v>
      </c>
      <c r="D339" s="3" t="s">
        <v>1425</v>
      </c>
      <c r="E339" s="3" t="s">
        <v>1297</v>
      </c>
      <c r="F339" s="3" t="s">
        <v>1426</v>
      </c>
    </row>
    <row r="340" ht="36.0" customHeight="1">
      <c r="A340" s="2" t="s">
        <v>1427</v>
      </c>
      <c r="B340" s="2" t="s">
        <v>7</v>
      </c>
      <c r="C340" s="2" t="s">
        <v>1428</v>
      </c>
      <c r="D340" s="2" t="s">
        <v>1429</v>
      </c>
      <c r="E340" s="2" t="s">
        <v>767</v>
      </c>
      <c r="F340" s="2" t="s">
        <v>1430</v>
      </c>
    </row>
    <row r="341" ht="36.0" customHeight="1">
      <c r="A341" s="3" t="s">
        <v>1431</v>
      </c>
      <c r="B341" s="3" t="s">
        <v>7</v>
      </c>
      <c r="C341" s="3" t="s">
        <v>1432</v>
      </c>
      <c r="D341" s="3" t="s">
        <v>1433</v>
      </c>
      <c r="E341" s="3" t="s">
        <v>57</v>
      </c>
      <c r="F341" s="3" t="s">
        <v>1434</v>
      </c>
    </row>
    <row r="342" ht="36.0" customHeight="1">
      <c r="A342" s="2" t="s">
        <v>1435</v>
      </c>
      <c r="B342" s="2" t="s">
        <v>7</v>
      </c>
      <c r="C342" s="2" t="s">
        <v>1436</v>
      </c>
      <c r="D342" s="2" t="s">
        <v>1437</v>
      </c>
      <c r="E342" s="2" t="s">
        <v>742</v>
      </c>
      <c r="F342" s="2" t="s">
        <v>1438</v>
      </c>
    </row>
    <row r="343" ht="36.0" customHeight="1">
      <c r="A343" s="3" t="s">
        <v>1439</v>
      </c>
      <c r="B343" s="3" t="s">
        <v>7</v>
      </c>
      <c r="C343" s="3" t="s">
        <v>1440</v>
      </c>
      <c r="D343" s="3" t="s">
        <v>1441</v>
      </c>
      <c r="E343" s="3" t="s">
        <v>742</v>
      </c>
      <c r="F343" s="3" t="s">
        <v>1442</v>
      </c>
    </row>
    <row r="344" ht="36.0" customHeight="1">
      <c r="A344" s="2" t="s">
        <v>1443</v>
      </c>
      <c r="B344" s="2" t="s">
        <v>7</v>
      </c>
      <c r="C344" s="2" t="s">
        <v>1444</v>
      </c>
      <c r="D344" s="2" t="s">
        <v>1445</v>
      </c>
      <c r="E344" s="2" t="s">
        <v>742</v>
      </c>
      <c r="F344" s="2" t="s">
        <v>1446</v>
      </c>
    </row>
    <row r="345" ht="36.0" customHeight="1">
      <c r="A345" s="3" t="s">
        <v>1447</v>
      </c>
      <c r="B345" s="3" t="s">
        <v>7</v>
      </c>
      <c r="C345" s="3" t="s">
        <v>1448</v>
      </c>
      <c r="D345" s="3" t="s">
        <v>1449</v>
      </c>
      <c r="E345" s="3" t="s">
        <v>742</v>
      </c>
      <c r="F345" s="3" t="s">
        <v>1450</v>
      </c>
    </row>
    <row r="346" ht="36.0" customHeight="1">
      <c r="A346" s="2" t="s">
        <v>1451</v>
      </c>
      <c r="B346" s="2" t="s">
        <v>7</v>
      </c>
      <c r="C346" s="2" t="s">
        <v>1452</v>
      </c>
      <c r="D346" s="2" t="s">
        <v>1453</v>
      </c>
      <c r="E346" s="2" t="s">
        <v>139</v>
      </c>
      <c r="F346" s="2" t="s">
        <v>1454</v>
      </c>
    </row>
    <row r="347" ht="36.0" customHeight="1">
      <c r="A347" s="3" t="s">
        <v>1455</v>
      </c>
      <c r="B347" s="3" t="s">
        <v>7</v>
      </c>
      <c r="C347" s="3" t="s">
        <v>1456</v>
      </c>
      <c r="D347" s="3" t="s">
        <v>1457</v>
      </c>
      <c r="E347" s="3" t="s">
        <v>1458</v>
      </c>
      <c r="F347" s="3" t="s">
        <v>1459</v>
      </c>
    </row>
    <row r="348" ht="36.0" customHeight="1">
      <c r="A348" s="2" t="s">
        <v>1460</v>
      </c>
      <c r="B348" s="2" t="s">
        <v>7</v>
      </c>
      <c r="C348" s="2" t="s">
        <v>1461</v>
      </c>
      <c r="D348" s="2" t="s">
        <v>1462</v>
      </c>
      <c r="E348" s="2" t="s">
        <v>1458</v>
      </c>
      <c r="F348" s="2" t="s">
        <v>1463</v>
      </c>
    </row>
    <row r="349" ht="36.0" customHeight="1">
      <c r="A349" s="3" t="s">
        <v>1464</v>
      </c>
      <c r="B349" s="3" t="s">
        <v>7</v>
      </c>
      <c r="C349" s="3" t="s">
        <v>1465</v>
      </c>
      <c r="D349" s="3" t="s">
        <v>1466</v>
      </c>
      <c r="E349" s="3" t="s">
        <v>323</v>
      </c>
      <c r="F349" s="3" t="s">
        <v>1467</v>
      </c>
    </row>
    <row r="350" ht="36.0" customHeight="1">
      <c r="A350" s="2" t="s">
        <v>1468</v>
      </c>
      <c r="B350" s="2" t="s">
        <v>7</v>
      </c>
      <c r="C350" s="2" t="s">
        <v>1469</v>
      </c>
      <c r="D350" s="2" t="s">
        <v>1470</v>
      </c>
      <c r="E350" s="2" t="s">
        <v>323</v>
      </c>
      <c r="F350" s="2" t="s">
        <v>1471</v>
      </c>
    </row>
    <row r="351" ht="36.0" customHeight="1">
      <c r="A351" s="3" t="s">
        <v>1472</v>
      </c>
      <c r="B351" s="3" t="s">
        <v>7</v>
      </c>
      <c r="C351" s="3" t="s">
        <v>1473</v>
      </c>
      <c r="D351" s="3" t="s">
        <v>1474</v>
      </c>
      <c r="E351" s="3" t="s">
        <v>323</v>
      </c>
      <c r="F351" s="3" t="s">
        <v>1475</v>
      </c>
    </row>
    <row r="352" ht="36.0" customHeight="1">
      <c r="A352" s="2" t="s">
        <v>1476</v>
      </c>
      <c r="B352" s="2" t="s">
        <v>7</v>
      </c>
      <c r="C352" s="2" t="s">
        <v>1477</v>
      </c>
      <c r="D352" s="2" t="s">
        <v>1478</v>
      </c>
      <c r="E352" s="2" t="s">
        <v>323</v>
      </c>
      <c r="F352" s="2" t="s">
        <v>1479</v>
      </c>
    </row>
    <row r="353" ht="36.0" customHeight="1">
      <c r="A353" s="3" t="s">
        <v>1480</v>
      </c>
      <c r="B353" s="3" t="s">
        <v>7</v>
      </c>
      <c r="C353" s="3" t="s">
        <v>1481</v>
      </c>
      <c r="D353" s="3" t="s">
        <v>1482</v>
      </c>
      <c r="E353" s="3" t="s">
        <v>323</v>
      </c>
      <c r="F353" s="3" t="s">
        <v>1483</v>
      </c>
    </row>
    <row r="354" ht="36.0" customHeight="1">
      <c r="A354" s="2" t="s">
        <v>1484</v>
      </c>
      <c r="B354" s="2" t="s">
        <v>7</v>
      </c>
      <c r="C354" s="2" t="s">
        <v>1485</v>
      </c>
      <c r="D354" s="2" t="s">
        <v>1486</v>
      </c>
      <c r="E354" s="2" t="s">
        <v>323</v>
      </c>
      <c r="F354" s="2" t="s">
        <v>1487</v>
      </c>
    </row>
    <row r="355" ht="36.0" customHeight="1">
      <c r="A355" s="3" t="s">
        <v>1488</v>
      </c>
      <c r="B355" s="3" t="s">
        <v>7</v>
      </c>
      <c r="C355" s="3" t="s">
        <v>1489</v>
      </c>
      <c r="D355" s="3" t="s">
        <v>1490</v>
      </c>
      <c r="E355" s="3" t="s">
        <v>148</v>
      </c>
      <c r="F355" s="3" t="s">
        <v>1491</v>
      </c>
    </row>
    <row r="356" ht="36.0" customHeight="1">
      <c r="A356" s="2" t="s">
        <v>1492</v>
      </c>
      <c r="B356" s="2" t="s">
        <v>7</v>
      </c>
      <c r="C356" s="2" t="s">
        <v>1493</v>
      </c>
      <c r="D356" s="2" t="s">
        <v>1494</v>
      </c>
      <c r="E356" s="2" t="s">
        <v>148</v>
      </c>
      <c r="F356" s="2" t="s">
        <v>1495</v>
      </c>
    </row>
    <row r="357" ht="36.0" customHeight="1">
      <c r="A357" s="3" t="s">
        <v>1496</v>
      </c>
      <c r="B357" s="3" t="s">
        <v>7</v>
      </c>
      <c r="C357" s="3" t="s">
        <v>1497</v>
      </c>
      <c r="D357" s="3" t="s">
        <v>1498</v>
      </c>
      <c r="E357" s="3" t="s">
        <v>148</v>
      </c>
      <c r="F357" s="3" t="s">
        <v>1499</v>
      </c>
    </row>
    <row r="358" ht="36.0" customHeight="1">
      <c r="A358" s="2" t="s">
        <v>1500</v>
      </c>
      <c r="B358" s="2" t="s">
        <v>7</v>
      </c>
      <c r="C358" s="2" t="s">
        <v>1501</v>
      </c>
      <c r="D358" s="2" t="s">
        <v>1502</v>
      </c>
      <c r="E358" s="2" t="s">
        <v>148</v>
      </c>
      <c r="F358" s="2" t="s">
        <v>1503</v>
      </c>
    </row>
    <row r="359" ht="36.0" customHeight="1">
      <c r="A359" s="3" t="s">
        <v>1504</v>
      </c>
      <c r="B359" s="3" t="s">
        <v>7</v>
      </c>
      <c r="C359" s="3" t="s">
        <v>1505</v>
      </c>
      <c r="D359" s="3" t="s">
        <v>1506</v>
      </c>
      <c r="E359" s="3" t="s">
        <v>148</v>
      </c>
      <c r="F359" s="3" t="s">
        <v>1507</v>
      </c>
    </row>
    <row r="360" ht="36.0" customHeight="1">
      <c r="A360" s="2" t="s">
        <v>1508</v>
      </c>
      <c r="B360" s="2" t="s">
        <v>7</v>
      </c>
      <c r="C360" s="2" t="s">
        <v>1509</v>
      </c>
      <c r="D360" s="2" t="s">
        <v>1510</v>
      </c>
      <c r="E360" s="2" t="s">
        <v>1511</v>
      </c>
      <c r="F360" s="2" t="s">
        <v>1512</v>
      </c>
    </row>
    <row r="361" ht="36.0" customHeight="1">
      <c r="A361" s="3" t="s">
        <v>1513</v>
      </c>
      <c r="B361" s="3" t="s">
        <v>7</v>
      </c>
      <c r="C361" s="3" t="s">
        <v>1514</v>
      </c>
      <c r="D361" s="3" t="s">
        <v>1515</v>
      </c>
      <c r="E361" s="3" t="s">
        <v>1516</v>
      </c>
      <c r="F361" s="3" t="s">
        <v>1517</v>
      </c>
    </row>
    <row r="362" ht="36.0" customHeight="1">
      <c r="A362" s="2" t="s">
        <v>1518</v>
      </c>
      <c r="B362" s="2" t="s">
        <v>7</v>
      </c>
      <c r="C362" s="2" t="s">
        <v>1519</v>
      </c>
      <c r="D362" s="2" t="s">
        <v>1520</v>
      </c>
      <c r="E362" s="2" t="s">
        <v>1511</v>
      </c>
      <c r="F362" s="2" t="s">
        <v>1521</v>
      </c>
    </row>
    <row r="363" ht="36.0" customHeight="1">
      <c r="A363" s="3" t="s">
        <v>1522</v>
      </c>
      <c r="B363" s="3" t="s">
        <v>7</v>
      </c>
      <c r="C363" s="3" t="s">
        <v>1523</v>
      </c>
      <c r="D363" s="3" t="s">
        <v>1524</v>
      </c>
      <c r="E363" s="3" t="s">
        <v>345</v>
      </c>
      <c r="F363" s="3" t="s">
        <v>1525</v>
      </c>
    </row>
    <row r="364" ht="36.0" customHeight="1">
      <c r="A364" s="2" t="s">
        <v>1526</v>
      </c>
      <c r="B364" s="2" t="s">
        <v>7</v>
      </c>
      <c r="C364" s="2" t="s">
        <v>1527</v>
      </c>
      <c r="D364" s="2" t="s">
        <v>1528</v>
      </c>
      <c r="E364" s="2" t="s">
        <v>362</v>
      </c>
      <c r="F364" s="2" t="s">
        <v>1529</v>
      </c>
    </row>
    <row r="365" ht="36.0" customHeight="1">
      <c r="A365" s="3" t="s">
        <v>1530</v>
      </c>
      <c r="B365" s="3" t="s">
        <v>7</v>
      </c>
      <c r="C365" s="3" t="s">
        <v>1531</v>
      </c>
      <c r="D365" s="3" t="s">
        <v>1532</v>
      </c>
      <c r="E365" s="3" t="s">
        <v>1533</v>
      </c>
      <c r="F365" s="3" t="s">
        <v>1534</v>
      </c>
    </row>
    <row r="366" ht="36.0" customHeight="1">
      <c r="A366" s="2" t="s">
        <v>1535</v>
      </c>
      <c r="B366" s="2" t="s">
        <v>7</v>
      </c>
      <c r="C366" s="2" t="s">
        <v>1536</v>
      </c>
      <c r="D366" s="2" t="s">
        <v>1537</v>
      </c>
      <c r="E366" s="2" t="s">
        <v>1538</v>
      </c>
      <c r="F366" s="2" t="s">
        <v>1539</v>
      </c>
    </row>
    <row r="367" ht="36.0" customHeight="1">
      <c r="A367" s="3" t="s">
        <v>1540</v>
      </c>
      <c r="B367" s="3" t="s">
        <v>7</v>
      </c>
      <c r="C367" s="3" t="s">
        <v>1541</v>
      </c>
      <c r="D367" s="3" t="s">
        <v>1542</v>
      </c>
      <c r="E367" s="3" t="s">
        <v>1538</v>
      </c>
      <c r="F367" s="3" t="s">
        <v>1543</v>
      </c>
    </row>
    <row r="368" ht="36.0" customHeight="1">
      <c r="A368" s="2" t="s">
        <v>1544</v>
      </c>
      <c r="B368" s="2" t="s">
        <v>7</v>
      </c>
      <c r="C368" s="2" t="s">
        <v>1545</v>
      </c>
      <c r="D368" s="2" t="s">
        <v>1546</v>
      </c>
      <c r="E368" s="2" t="s">
        <v>362</v>
      </c>
      <c r="F368" s="2" t="s">
        <v>1547</v>
      </c>
    </row>
    <row r="369" ht="36.0" customHeight="1">
      <c r="A369" s="3" t="s">
        <v>1548</v>
      </c>
      <c r="B369" s="3" t="s">
        <v>7</v>
      </c>
      <c r="C369" s="3" t="s">
        <v>1549</v>
      </c>
      <c r="D369" s="3" t="s">
        <v>1550</v>
      </c>
      <c r="E369" s="3" t="s">
        <v>767</v>
      </c>
      <c r="F369" s="3" t="s">
        <v>1551</v>
      </c>
    </row>
    <row r="370" ht="36.0" customHeight="1">
      <c r="A370" s="2" t="s">
        <v>1552</v>
      </c>
      <c r="B370" s="2" t="s">
        <v>7</v>
      </c>
      <c r="C370" s="2" t="s">
        <v>1553</v>
      </c>
      <c r="D370" s="2" t="s">
        <v>1554</v>
      </c>
      <c r="E370" s="2" t="s">
        <v>767</v>
      </c>
      <c r="F370" s="2" t="s">
        <v>1555</v>
      </c>
    </row>
    <row r="371" ht="36.0" customHeight="1">
      <c r="A371" s="3" t="s">
        <v>1556</v>
      </c>
      <c r="B371" s="3" t="s">
        <v>7</v>
      </c>
      <c r="C371" s="3" t="s">
        <v>1557</v>
      </c>
      <c r="D371" s="3" t="s">
        <v>1558</v>
      </c>
      <c r="E371" s="3" t="s">
        <v>1538</v>
      </c>
      <c r="F371" s="3" t="s">
        <v>1559</v>
      </c>
    </row>
    <row r="372" ht="36.0" customHeight="1">
      <c r="A372" s="2" t="s">
        <v>1560</v>
      </c>
      <c r="B372" s="2" t="s">
        <v>7</v>
      </c>
      <c r="C372" s="2" t="s">
        <v>1561</v>
      </c>
      <c r="D372" s="2" t="s">
        <v>1562</v>
      </c>
      <c r="E372" s="2" t="s">
        <v>767</v>
      </c>
      <c r="F372" s="2" t="s">
        <v>1563</v>
      </c>
    </row>
    <row r="373" ht="36.0" customHeight="1">
      <c r="A373" s="3" t="s">
        <v>1564</v>
      </c>
      <c r="B373" s="3" t="s">
        <v>7</v>
      </c>
      <c r="C373" s="3" t="s">
        <v>1565</v>
      </c>
      <c r="D373" s="3" t="s">
        <v>1566</v>
      </c>
      <c r="E373" s="3" t="s">
        <v>1538</v>
      </c>
      <c r="F373" s="3" t="s">
        <v>1567</v>
      </c>
    </row>
    <row r="374" ht="36.0" customHeight="1">
      <c r="A374" s="2" t="s">
        <v>1568</v>
      </c>
      <c r="B374" s="2" t="s">
        <v>7</v>
      </c>
      <c r="C374" s="2" t="s">
        <v>1569</v>
      </c>
      <c r="D374" s="2" t="s">
        <v>1570</v>
      </c>
      <c r="E374" s="2" t="s">
        <v>767</v>
      </c>
      <c r="F374" s="2" t="s">
        <v>1571</v>
      </c>
    </row>
    <row r="375" ht="36.0" customHeight="1">
      <c r="A375" s="3" t="s">
        <v>1572</v>
      </c>
      <c r="B375" s="3" t="s">
        <v>7</v>
      </c>
      <c r="C375" s="3" t="s">
        <v>1573</v>
      </c>
      <c r="D375" s="3" t="s">
        <v>1574</v>
      </c>
      <c r="E375" s="3" t="s">
        <v>767</v>
      </c>
      <c r="F375" s="3" t="s">
        <v>1575</v>
      </c>
    </row>
    <row r="376" ht="36.0" customHeight="1">
      <c r="A376" s="2" t="s">
        <v>1576</v>
      </c>
      <c r="B376" s="2" t="s">
        <v>7</v>
      </c>
      <c r="C376" s="2" t="s">
        <v>1577</v>
      </c>
      <c r="D376" s="2" t="s">
        <v>1578</v>
      </c>
      <c r="E376" s="2" t="s">
        <v>1538</v>
      </c>
      <c r="F376" s="2" t="s">
        <v>1579</v>
      </c>
    </row>
    <row r="377" ht="36.0" customHeight="1">
      <c r="A377" s="3" t="s">
        <v>1580</v>
      </c>
      <c r="B377" s="3" t="s">
        <v>7</v>
      </c>
      <c r="C377" s="3" t="s">
        <v>1581</v>
      </c>
      <c r="D377" s="3" t="s">
        <v>1582</v>
      </c>
      <c r="E377" s="3" t="s">
        <v>1583</v>
      </c>
      <c r="F377" s="3" t="s">
        <v>1584</v>
      </c>
    </row>
    <row r="378" ht="36.0" customHeight="1">
      <c r="A378" s="2" t="s">
        <v>1585</v>
      </c>
      <c r="B378" s="2" t="s">
        <v>7</v>
      </c>
      <c r="C378" s="2" t="s">
        <v>1586</v>
      </c>
      <c r="D378" s="2" t="s">
        <v>1587</v>
      </c>
      <c r="E378" s="2" t="s">
        <v>1355</v>
      </c>
      <c r="F378" s="2" t="s">
        <v>1588</v>
      </c>
    </row>
    <row r="379" ht="36.0" customHeight="1">
      <c r="A379" s="3" t="s">
        <v>1589</v>
      </c>
      <c r="B379" s="3" t="s">
        <v>7</v>
      </c>
      <c r="C379" s="3" t="s">
        <v>1590</v>
      </c>
      <c r="D379" s="3" t="s">
        <v>1591</v>
      </c>
      <c r="E379" s="3" t="s">
        <v>387</v>
      </c>
      <c r="F379" s="3" t="s">
        <v>1592</v>
      </c>
    </row>
    <row r="380" ht="36.0" customHeight="1">
      <c r="A380" s="2" t="s">
        <v>1593</v>
      </c>
      <c r="B380" s="2" t="s">
        <v>7</v>
      </c>
      <c r="C380" s="2" t="s">
        <v>1594</v>
      </c>
      <c r="D380" s="2" t="s">
        <v>1595</v>
      </c>
      <c r="E380" s="2" t="s">
        <v>387</v>
      </c>
      <c r="F380" s="2" t="s">
        <v>1596</v>
      </c>
    </row>
    <row r="381" ht="36.0" customHeight="1">
      <c r="A381" s="3" t="s">
        <v>1597</v>
      </c>
      <c r="B381" s="3" t="s">
        <v>7</v>
      </c>
      <c r="C381" s="3" t="s">
        <v>1598</v>
      </c>
      <c r="D381" s="3" t="s">
        <v>1599</v>
      </c>
      <c r="E381" s="3" t="s">
        <v>153</v>
      </c>
      <c r="F381" s="3" t="s">
        <v>1600</v>
      </c>
    </row>
    <row r="382" ht="36.0" customHeight="1">
      <c r="A382" s="2" t="s">
        <v>1601</v>
      </c>
      <c r="B382" s="2" t="s">
        <v>7</v>
      </c>
      <c r="C382" s="2" t="s">
        <v>1602</v>
      </c>
      <c r="D382" s="2" t="s">
        <v>1603</v>
      </c>
      <c r="E382" s="2" t="s">
        <v>153</v>
      </c>
      <c r="F382" s="2" t="s">
        <v>1604</v>
      </c>
    </row>
    <row r="383" ht="36.0" customHeight="1">
      <c r="A383" s="3" t="s">
        <v>1605</v>
      </c>
      <c r="B383" s="3" t="s">
        <v>7</v>
      </c>
      <c r="C383" s="3" t="s">
        <v>1606</v>
      </c>
      <c r="D383" s="3" t="s">
        <v>1607</v>
      </c>
      <c r="E383" s="3" t="s">
        <v>742</v>
      </c>
      <c r="F383" s="3" t="s">
        <v>1608</v>
      </c>
    </row>
    <row r="384" ht="36.0" customHeight="1">
      <c r="A384" s="2" t="s">
        <v>1609</v>
      </c>
      <c r="B384" s="2" t="s">
        <v>7</v>
      </c>
      <c r="C384" s="2" t="s">
        <v>1610</v>
      </c>
      <c r="D384" s="2" t="s">
        <v>1611</v>
      </c>
      <c r="E384" s="2" t="s">
        <v>254</v>
      </c>
      <c r="F384" s="2" t="s">
        <v>1612</v>
      </c>
    </row>
    <row r="385" ht="36.0" customHeight="1">
      <c r="A385" s="3" t="s">
        <v>1613</v>
      </c>
      <c r="B385" s="3" t="s">
        <v>7</v>
      </c>
      <c r="C385" s="3" t="s">
        <v>1614</v>
      </c>
      <c r="D385" s="3" t="s">
        <v>1615</v>
      </c>
      <c r="E385" s="3" t="s">
        <v>254</v>
      </c>
      <c r="F385" s="3" t="s">
        <v>1616</v>
      </c>
    </row>
    <row r="386" ht="36.0" customHeight="1">
      <c r="A386" s="2" t="s">
        <v>1617</v>
      </c>
      <c r="B386" s="2" t="s">
        <v>7</v>
      </c>
      <c r="C386" s="2" t="s">
        <v>1618</v>
      </c>
      <c r="D386" s="2" t="s">
        <v>1619</v>
      </c>
      <c r="E386" s="2" t="s">
        <v>254</v>
      </c>
      <c r="F386" s="2" t="s">
        <v>1620</v>
      </c>
    </row>
    <row r="387" ht="36.0" customHeight="1">
      <c r="A387" s="3" t="s">
        <v>1621</v>
      </c>
      <c r="B387" s="3" t="s">
        <v>7</v>
      </c>
      <c r="C387" s="3" t="s">
        <v>1622</v>
      </c>
      <c r="D387" s="3" t="s">
        <v>1623</v>
      </c>
      <c r="E387" s="3" t="s">
        <v>267</v>
      </c>
      <c r="F387" s="3" t="s">
        <v>1624</v>
      </c>
    </row>
    <row r="388" ht="36.0" customHeight="1">
      <c r="A388" s="2" t="s">
        <v>1625</v>
      </c>
      <c r="B388" s="2" t="s">
        <v>7</v>
      </c>
      <c r="C388" s="2" t="s">
        <v>1626</v>
      </c>
      <c r="D388" s="2" t="s">
        <v>1627</v>
      </c>
      <c r="E388" s="2" t="s">
        <v>76</v>
      </c>
      <c r="F388" s="2" t="s">
        <v>1628</v>
      </c>
    </row>
    <row r="389" ht="36.0" customHeight="1">
      <c r="A389" s="3" t="s">
        <v>1629</v>
      </c>
      <c r="B389" s="3" t="s">
        <v>1630</v>
      </c>
      <c r="C389" s="3" t="s">
        <v>1631</v>
      </c>
      <c r="D389" s="3" t="s">
        <v>1632</v>
      </c>
      <c r="E389" s="3" t="s">
        <v>430</v>
      </c>
      <c r="F389" s="3" t="s">
        <v>1633</v>
      </c>
    </row>
    <row r="390" ht="36.0" customHeight="1">
      <c r="A390" s="2" t="s">
        <v>1634</v>
      </c>
      <c r="B390" s="2" t="s">
        <v>1630</v>
      </c>
      <c r="C390" s="2" t="s">
        <v>1635</v>
      </c>
      <c r="D390" s="2" t="s">
        <v>1636</v>
      </c>
      <c r="E390" s="2" t="s">
        <v>430</v>
      </c>
      <c r="F390" s="2" t="s">
        <v>1637</v>
      </c>
    </row>
    <row r="391" ht="36.0" customHeight="1">
      <c r="A391" s="3" t="s">
        <v>1638</v>
      </c>
      <c r="B391" s="3" t="s">
        <v>1630</v>
      </c>
      <c r="C391" s="3" t="s">
        <v>1639</v>
      </c>
      <c r="D391" s="3" t="s">
        <v>1640</v>
      </c>
      <c r="E391" s="3" t="s">
        <v>1641</v>
      </c>
      <c r="F391" s="3" t="s">
        <v>1642</v>
      </c>
    </row>
    <row r="392" ht="36.0" customHeight="1">
      <c r="A392" s="2" t="s">
        <v>1643</v>
      </c>
      <c r="B392" s="2" t="s">
        <v>1630</v>
      </c>
      <c r="C392" s="2" t="s">
        <v>1644</v>
      </c>
      <c r="D392" s="2" t="s">
        <v>1645</v>
      </c>
      <c r="E392" s="2" t="s">
        <v>1646</v>
      </c>
      <c r="F392" s="2" t="s">
        <v>1647</v>
      </c>
    </row>
    <row r="393" ht="36.0" customHeight="1">
      <c r="A393" s="3" t="s">
        <v>1648</v>
      </c>
      <c r="B393" s="3" t="s">
        <v>1630</v>
      </c>
      <c r="C393" s="3" t="s">
        <v>1649</v>
      </c>
      <c r="D393" s="3" t="s">
        <v>1650</v>
      </c>
      <c r="E393" s="3" t="s">
        <v>1646</v>
      </c>
      <c r="F393" s="3" t="s">
        <v>1651</v>
      </c>
    </row>
    <row r="394" ht="36.0" customHeight="1">
      <c r="A394" s="2" t="s">
        <v>1652</v>
      </c>
      <c r="B394" s="2" t="s">
        <v>1630</v>
      </c>
      <c r="C394" s="2" t="s">
        <v>1653</v>
      </c>
      <c r="D394" s="2" t="s">
        <v>1654</v>
      </c>
      <c r="E394" s="2" t="s">
        <v>1655</v>
      </c>
      <c r="F394" s="2" t="s">
        <v>1656</v>
      </c>
    </row>
    <row r="395" ht="36.0" customHeight="1">
      <c r="A395" s="3" t="s">
        <v>1657</v>
      </c>
      <c r="B395" s="3" t="s">
        <v>1630</v>
      </c>
      <c r="C395" s="3" t="s">
        <v>1658</v>
      </c>
      <c r="D395" s="3" t="s">
        <v>1659</v>
      </c>
      <c r="E395" s="3" t="s">
        <v>91</v>
      </c>
      <c r="F395" s="3" t="s">
        <v>1660</v>
      </c>
    </row>
    <row r="396" ht="36.0" customHeight="1">
      <c r="A396" s="2" t="s">
        <v>1661</v>
      </c>
      <c r="B396" s="2" t="s">
        <v>1630</v>
      </c>
      <c r="C396" s="2" t="s">
        <v>1662</v>
      </c>
      <c r="D396" s="2" t="s">
        <v>1663</v>
      </c>
      <c r="E396" s="2" t="s">
        <v>983</v>
      </c>
      <c r="F396" s="2" t="s">
        <v>1664</v>
      </c>
    </row>
    <row r="397" ht="36.0" customHeight="1">
      <c r="A397" s="3" t="s">
        <v>1665</v>
      </c>
      <c r="B397" s="3" t="s">
        <v>1630</v>
      </c>
      <c r="C397" s="3" t="s">
        <v>1666</v>
      </c>
      <c r="D397" s="3" t="s">
        <v>1667</v>
      </c>
      <c r="E397" s="3" t="s">
        <v>1655</v>
      </c>
      <c r="F397" s="3" t="s">
        <v>1668</v>
      </c>
    </row>
    <row r="398" ht="36.0" customHeight="1">
      <c r="A398" s="2" t="s">
        <v>1669</v>
      </c>
      <c r="B398" s="2" t="s">
        <v>1630</v>
      </c>
      <c r="C398" s="2" t="s">
        <v>1670</v>
      </c>
      <c r="D398" s="2" t="s">
        <v>1671</v>
      </c>
      <c r="E398" s="2" t="s">
        <v>1458</v>
      </c>
      <c r="F398" s="2" t="s">
        <v>1672</v>
      </c>
    </row>
    <row r="399" ht="36.0" customHeight="1">
      <c r="A399" s="3" t="s">
        <v>1673</v>
      </c>
      <c r="B399" s="3" t="s">
        <v>1630</v>
      </c>
      <c r="C399" s="3" t="s">
        <v>1674</v>
      </c>
      <c r="D399" s="3" t="s">
        <v>1675</v>
      </c>
      <c r="E399" s="3" t="s">
        <v>742</v>
      </c>
      <c r="F399" s="3" t="s">
        <v>1676</v>
      </c>
    </row>
    <row r="400" ht="36.0" customHeight="1">
      <c r="A400" s="2" t="s">
        <v>1677</v>
      </c>
      <c r="B400" s="2" t="s">
        <v>1630</v>
      </c>
      <c r="C400" s="2" t="s">
        <v>1678</v>
      </c>
      <c r="D400" s="2" t="s">
        <v>1679</v>
      </c>
      <c r="E400" s="2" t="s">
        <v>742</v>
      </c>
      <c r="F400" s="2" t="s">
        <v>1680</v>
      </c>
    </row>
    <row r="401" ht="36.0" customHeight="1">
      <c r="A401" s="3" t="s">
        <v>1681</v>
      </c>
      <c r="B401" s="3" t="s">
        <v>1630</v>
      </c>
      <c r="C401" s="3" t="s">
        <v>1682</v>
      </c>
      <c r="D401" s="3" t="s">
        <v>1683</v>
      </c>
      <c r="E401" s="3" t="s">
        <v>345</v>
      </c>
      <c r="F401" s="3" t="s">
        <v>1684</v>
      </c>
    </row>
    <row r="402" ht="36.0" customHeight="1">
      <c r="A402" s="2" t="s">
        <v>1685</v>
      </c>
      <c r="B402" s="2" t="s">
        <v>1630</v>
      </c>
      <c r="C402" s="2" t="s">
        <v>1686</v>
      </c>
      <c r="D402" s="2" t="s">
        <v>1687</v>
      </c>
      <c r="E402" s="2" t="s">
        <v>1641</v>
      </c>
      <c r="F402" s="2" t="s">
        <v>1688</v>
      </c>
    </row>
    <row r="403" ht="36.0" customHeight="1">
      <c r="A403" s="3" t="s">
        <v>1689</v>
      </c>
      <c r="B403" s="3" t="s">
        <v>1630</v>
      </c>
      <c r="C403" s="3" t="s">
        <v>1690</v>
      </c>
      <c r="D403" s="3" t="s">
        <v>1691</v>
      </c>
      <c r="E403" s="3" t="s">
        <v>1641</v>
      </c>
      <c r="F403" s="3" t="s">
        <v>1692</v>
      </c>
    </row>
    <row r="404" ht="36.0" customHeight="1">
      <c r="A404" s="2" t="s">
        <v>1693</v>
      </c>
      <c r="B404" s="2" t="s">
        <v>1630</v>
      </c>
      <c r="C404" s="2" t="s">
        <v>1694</v>
      </c>
      <c r="D404" s="2" t="s">
        <v>1695</v>
      </c>
      <c r="E404" s="2" t="s">
        <v>1641</v>
      </c>
      <c r="F404" s="2" t="s">
        <v>1696</v>
      </c>
    </row>
    <row r="405" ht="36.0" customHeight="1">
      <c r="A405" s="3" t="s">
        <v>1697</v>
      </c>
      <c r="B405" s="3" t="s">
        <v>1630</v>
      </c>
      <c r="C405" s="3" t="s">
        <v>1698</v>
      </c>
      <c r="D405" s="3" t="s">
        <v>1699</v>
      </c>
      <c r="E405" s="3" t="s">
        <v>1646</v>
      </c>
      <c r="F405" s="3" t="s">
        <v>1700</v>
      </c>
    </row>
    <row r="406" ht="36.0" customHeight="1">
      <c r="A406" s="2" t="s">
        <v>1701</v>
      </c>
      <c r="B406" s="2" t="s">
        <v>1630</v>
      </c>
      <c r="C406" s="2" t="s">
        <v>1702</v>
      </c>
      <c r="D406" s="2" t="s">
        <v>1703</v>
      </c>
      <c r="E406" s="2" t="s">
        <v>323</v>
      </c>
      <c r="F406" s="2" t="s">
        <v>1704</v>
      </c>
    </row>
    <row r="407" ht="36.0" customHeight="1">
      <c r="A407" s="3" t="s">
        <v>1705</v>
      </c>
      <c r="B407" s="3" t="s">
        <v>1630</v>
      </c>
      <c r="C407" s="3" t="s">
        <v>1706</v>
      </c>
      <c r="D407" s="3" t="s">
        <v>1707</v>
      </c>
      <c r="E407" s="3" t="s">
        <v>323</v>
      </c>
      <c r="F407" s="3" t="s">
        <v>1708</v>
      </c>
    </row>
    <row r="408" ht="36.0" customHeight="1">
      <c r="A408" s="2" t="s">
        <v>1709</v>
      </c>
      <c r="B408" s="2" t="s">
        <v>1630</v>
      </c>
      <c r="C408" s="2" t="s">
        <v>1710</v>
      </c>
      <c r="D408" s="2" t="s">
        <v>1711</v>
      </c>
      <c r="E408" s="2" t="s">
        <v>345</v>
      </c>
      <c r="F408" s="2" t="s">
        <v>1712</v>
      </c>
    </row>
    <row r="409" ht="36.0" customHeight="1">
      <c r="A409" s="3" t="s">
        <v>1713</v>
      </c>
      <c r="B409" s="3" t="s">
        <v>1630</v>
      </c>
      <c r="C409" s="3" t="s">
        <v>1714</v>
      </c>
      <c r="D409" s="3" t="s">
        <v>1715</v>
      </c>
      <c r="E409" s="3" t="s">
        <v>1533</v>
      </c>
      <c r="F409" s="3" t="s">
        <v>1716</v>
      </c>
    </row>
    <row r="410" ht="36.0" customHeight="1">
      <c r="A410" s="2" t="s">
        <v>1717</v>
      </c>
      <c r="B410" s="2" t="s">
        <v>1630</v>
      </c>
      <c r="C410" s="2" t="s">
        <v>1718</v>
      </c>
      <c r="D410" s="2" t="s">
        <v>1719</v>
      </c>
      <c r="E410" s="2" t="s">
        <v>1533</v>
      </c>
      <c r="F410" s="2" t="s">
        <v>1720</v>
      </c>
    </row>
    <row r="411" ht="36.0" customHeight="1">
      <c r="A411" s="3" t="s">
        <v>1721</v>
      </c>
      <c r="B411" s="3" t="s">
        <v>1630</v>
      </c>
      <c r="C411" s="3" t="s">
        <v>1722</v>
      </c>
      <c r="D411" s="3" t="s">
        <v>1723</v>
      </c>
      <c r="E411" s="3" t="s">
        <v>430</v>
      </c>
      <c r="F411" s="3" t="s">
        <v>1724</v>
      </c>
    </row>
    <row r="412" ht="36.0" customHeight="1">
      <c r="A412" s="2" t="s">
        <v>1725</v>
      </c>
      <c r="B412" s="2" t="s">
        <v>1630</v>
      </c>
      <c r="C412" s="2" t="s">
        <v>1726</v>
      </c>
      <c r="D412" s="2" t="s">
        <v>1727</v>
      </c>
      <c r="E412" s="2" t="s">
        <v>1646</v>
      </c>
      <c r="F412" s="2" t="s">
        <v>1728</v>
      </c>
    </row>
    <row r="413" ht="36.0" customHeight="1">
      <c r="A413" s="3" t="s">
        <v>1729</v>
      </c>
      <c r="B413" s="3" t="s">
        <v>1630</v>
      </c>
      <c r="C413" s="3" t="s">
        <v>1730</v>
      </c>
      <c r="D413" s="3" t="s">
        <v>1731</v>
      </c>
      <c r="E413" s="3" t="s">
        <v>435</v>
      </c>
      <c r="F413" s="3" t="s">
        <v>1732</v>
      </c>
    </row>
    <row r="414" ht="36.0" customHeight="1">
      <c r="A414" s="2" t="s">
        <v>1733</v>
      </c>
      <c r="B414" s="2" t="s">
        <v>1630</v>
      </c>
      <c r="C414" s="2" t="s">
        <v>1734</v>
      </c>
      <c r="D414" s="2" t="s">
        <v>1735</v>
      </c>
      <c r="E414" s="2" t="s">
        <v>19</v>
      </c>
      <c r="F414" s="2" t="s">
        <v>1736</v>
      </c>
    </row>
    <row r="415" ht="36.0" customHeight="1">
      <c r="A415" s="3" t="s">
        <v>1737</v>
      </c>
      <c r="B415" s="3" t="s">
        <v>1630</v>
      </c>
      <c r="C415" s="3" t="s">
        <v>1738</v>
      </c>
      <c r="D415" s="3" t="s">
        <v>1739</v>
      </c>
      <c r="E415" s="3" t="s">
        <v>19</v>
      </c>
      <c r="F415" s="3" t="s">
        <v>1740</v>
      </c>
    </row>
    <row r="416" ht="36.0" customHeight="1">
      <c r="A416" s="2" t="s">
        <v>1741</v>
      </c>
      <c r="B416" s="2" t="s">
        <v>1630</v>
      </c>
      <c r="C416" s="2" t="s">
        <v>1742</v>
      </c>
      <c r="D416" s="2" t="s">
        <v>1743</v>
      </c>
      <c r="E416" s="2" t="s">
        <v>19</v>
      </c>
      <c r="F416" s="2" t="s">
        <v>1744</v>
      </c>
    </row>
    <row r="417" ht="36.0" customHeight="1">
      <c r="A417" s="3" t="s">
        <v>1745</v>
      </c>
      <c r="B417" s="3" t="s">
        <v>1630</v>
      </c>
      <c r="C417" s="3" t="s">
        <v>1746</v>
      </c>
      <c r="D417" s="3" t="s">
        <v>1747</v>
      </c>
      <c r="E417" s="3" t="s">
        <v>19</v>
      </c>
      <c r="F417" s="3" t="s">
        <v>1748</v>
      </c>
    </row>
    <row r="418" ht="36.0" customHeight="1">
      <c r="A418" s="2" t="s">
        <v>1749</v>
      </c>
      <c r="B418" s="2" t="s">
        <v>1630</v>
      </c>
      <c r="C418" s="2" t="s">
        <v>1750</v>
      </c>
      <c r="D418" s="2" t="s">
        <v>1751</v>
      </c>
      <c r="E418" s="2" t="s">
        <v>19</v>
      </c>
      <c r="F418" s="2" t="s">
        <v>1752</v>
      </c>
    </row>
    <row r="419" ht="36.0" customHeight="1">
      <c r="A419" s="3" t="s">
        <v>1753</v>
      </c>
      <c r="B419" s="3" t="s">
        <v>1630</v>
      </c>
      <c r="C419" s="3" t="s">
        <v>1754</v>
      </c>
      <c r="D419" s="3" t="s">
        <v>1755</v>
      </c>
      <c r="E419" s="3" t="s">
        <v>1756</v>
      </c>
      <c r="F419" s="3" t="s">
        <v>1757</v>
      </c>
    </row>
    <row r="420" ht="36.0" customHeight="1">
      <c r="A420" s="2" t="s">
        <v>1758</v>
      </c>
      <c r="B420" s="2" t="s">
        <v>1630</v>
      </c>
      <c r="C420" s="2" t="s">
        <v>1759</v>
      </c>
      <c r="D420" s="2" t="s">
        <v>1760</v>
      </c>
      <c r="E420" s="2" t="s">
        <v>1756</v>
      </c>
      <c r="F420" s="2" t="s">
        <v>1761</v>
      </c>
    </row>
    <row r="421" ht="36.0" customHeight="1">
      <c r="A421" s="3" t="s">
        <v>1762</v>
      </c>
      <c r="B421" s="3" t="s">
        <v>1630</v>
      </c>
      <c r="C421" s="3" t="s">
        <v>1763</v>
      </c>
      <c r="D421" s="3" t="s">
        <v>1764</v>
      </c>
      <c r="E421" s="3" t="s">
        <v>19</v>
      </c>
      <c r="F421" s="3" t="s">
        <v>1765</v>
      </c>
    </row>
    <row r="422" ht="36.0" customHeight="1">
      <c r="A422" s="2" t="s">
        <v>1766</v>
      </c>
      <c r="B422" s="2" t="s">
        <v>1630</v>
      </c>
      <c r="C422" s="2" t="s">
        <v>1767</v>
      </c>
      <c r="D422" s="2" t="s">
        <v>1768</v>
      </c>
      <c r="E422" s="2" t="s">
        <v>47</v>
      </c>
      <c r="F422" s="2" t="s">
        <v>1769</v>
      </c>
    </row>
    <row r="423" ht="36.0" customHeight="1">
      <c r="A423" s="3" t="s">
        <v>1770</v>
      </c>
      <c r="B423" s="3" t="s">
        <v>1630</v>
      </c>
      <c r="C423" s="3" t="s">
        <v>1771</v>
      </c>
      <c r="D423" s="3" t="s">
        <v>1772</v>
      </c>
      <c r="E423" s="3" t="s">
        <v>47</v>
      </c>
      <c r="F423" s="3" t="s">
        <v>1773</v>
      </c>
    </row>
    <row r="424" ht="36.0" customHeight="1">
      <c r="A424" s="2" t="s">
        <v>1774</v>
      </c>
      <c r="B424" s="2" t="s">
        <v>1630</v>
      </c>
      <c r="C424" s="2" t="s">
        <v>1775</v>
      </c>
      <c r="D424" s="2" t="s">
        <v>1776</v>
      </c>
      <c r="E424" s="2" t="s">
        <v>224</v>
      </c>
      <c r="F424" s="2" t="s">
        <v>1777</v>
      </c>
    </row>
    <row r="425" ht="36.0" customHeight="1">
      <c r="A425" s="3" t="s">
        <v>1778</v>
      </c>
      <c r="B425" s="3" t="s">
        <v>1630</v>
      </c>
      <c r="C425" s="3" t="s">
        <v>1779</v>
      </c>
      <c r="D425" s="3" t="s">
        <v>1780</v>
      </c>
      <c r="E425" s="3" t="s">
        <v>62</v>
      </c>
      <c r="F425" s="3" t="s">
        <v>1781</v>
      </c>
    </row>
    <row r="426" ht="36.0" customHeight="1">
      <c r="A426" s="2" t="s">
        <v>1782</v>
      </c>
      <c r="B426" s="2" t="s">
        <v>1630</v>
      </c>
      <c r="C426" s="2" t="s">
        <v>1783</v>
      </c>
      <c r="D426" s="2" t="s">
        <v>1784</v>
      </c>
      <c r="E426" s="2" t="s">
        <v>1458</v>
      </c>
      <c r="F426" s="2" t="s">
        <v>1785</v>
      </c>
    </row>
    <row r="427" ht="36.0" customHeight="1">
      <c r="A427" s="3" t="s">
        <v>1786</v>
      </c>
      <c r="B427" s="3" t="s">
        <v>1630</v>
      </c>
      <c r="C427" s="3" t="s">
        <v>1787</v>
      </c>
      <c r="D427" s="3" t="s">
        <v>1788</v>
      </c>
      <c r="E427" s="3" t="s">
        <v>1458</v>
      </c>
      <c r="F427" s="3" t="s">
        <v>1789</v>
      </c>
    </row>
    <row r="428" ht="36.0" customHeight="1">
      <c r="A428" s="2" t="s">
        <v>1790</v>
      </c>
      <c r="B428" s="2" t="s">
        <v>1630</v>
      </c>
      <c r="C428" s="2" t="s">
        <v>1791</v>
      </c>
      <c r="D428" s="2" t="s">
        <v>1792</v>
      </c>
      <c r="E428" s="2" t="s">
        <v>1458</v>
      </c>
      <c r="F428" s="2" t="s">
        <v>1793</v>
      </c>
    </row>
    <row r="429" ht="36.0" customHeight="1">
      <c r="A429" s="3" t="s">
        <v>1794</v>
      </c>
      <c r="B429" s="3" t="s">
        <v>1630</v>
      </c>
      <c r="C429" s="3" t="s">
        <v>1795</v>
      </c>
      <c r="D429" s="3" t="s">
        <v>574</v>
      </c>
      <c r="E429" s="3" t="s">
        <v>224</v>
      </c>
      <c r="F429" s="3" t="s">
        <v>1796</v>
      </c>
    </row>
    <row r="430" ht="36.0" customHeight="1">
      <c r="A430" s="2" t="s">
        <v>1797</v>
      </c>
      <c r="B430" s="2" t="s">
        <v>1630</v>
      </c>
      <c r="C430" s="2" t="s">
        <v>1798</v>
      </c>
      <c r="D430" s="2" t="s">
        <v>1799</v>
      </c>
      <c r="E430" s="2" t="s">
        <v>224</v>
      </c>
      <c r="F430" s="2" t="s">
        <v>1800</v>
      </c>
    </row>
    <row r="431" ht="36.0" customHeight="1">
      <c r="A431" s="3" t="s">
        <v>1801</v>
      </c>
      <c r="B431" s="3" t="s">
        <v>1630</v>
      </c>
      <c r="C431" s="3" t="s">
        <v>1802</v>
      </c>
      <c r="D431" s="3" t="s">
        <v>1803</v>
      </c>
      <c r="E431" s="3" t="s">
        <v>224</v>
      </c>
      <c r="F431" s="3" t="s">
        <v>1804</v>
      </c>
    </row>
    <row r="432" ht="36.0" customHeight="1">
      <c r="A432" s="2" t="s">
        <v>1805</v>
      </c>
      <c r="B432" s="2" t="s">
        <v>1630</v>
      </c>
      <c r="C432" s="2" t="s">
        <v>1806</v>
      </c>
      <c r="D432" s="2" t="s">
        <v>1807</v>
      </c>
      <c r="E432" s="2" t="s">
        <v>224</v>
      </c>
      <c r="F432" s="2" t="s">
        <v>1808</v>
      </c>
    </row>
    <row r="433" ht="36.0" customHeight="1">
      <c r="A433" s="3" t="s">
        <v>1809</v>
      </c>
      <c r="B433" s="3" t="s">
        <v>1630</v>
      </c>
      <c r="C433" s="3" t="s">
        <v>1810</v>
      </c>
      <c r="D433" s="3" t="s">
        <v>1811</v>
      </c>
      <c r="E433" s="3" t="s">
        <v>224</v>
      </c>
      <c r="F433" s="3" t="s">
        <v>1812</v>
      </c>
    </row>
    <row r="434" ht="36.0" customHeight="1">
      <c r="A434" s="2" t="s">
        <v>1813</v>
      </c>
      <c r="B434" s="2" t="s">
        <v>1630</v>
      </c>
      <c r="C434" s="2" t="s">
        <v>1814</v>
      </c>
      <c r="D434" s="2" t="s">
        <v>1815</v>
      </c>
      <c r="E434" s="2" t="s">
        <v>1816</v>
      </c>
      <c r="F434" s="2" t="s">
        <v>1817</v>
      </c>
    </row>
    <row r="435" ht="36.0" customHeight="1">
      <c r="A435" s="3" t="s">
        <v>1818</v>
      </c>
      <c r="B435" s="3" t="s">
        <v>1630</v>
      </c>
      <c r="C435" s="3" t="s">
        <v>1819</v>
      </c>
      <c r="D435" s="3" t="s">
        <v>1820</v>
      </c>
      <c r="E435" s="3" t="s">
        <v>1821</v>
      </c>
      <c r="F435" s="3" t="s">
        <v>1822</v>
      </c>
    </row>
    <row r="436" ht="36.0" customHeight="1">
      <c r="A436" s="2" t="s">
        <v>1823</v>
      </c>
      <c r="B436" s="2" t="s">
        <v>1630</v>
      </c>
      <c r="C436" s="2" t="s">
        <v>1824</v>
      </c>
      <c r="D436" s="2" t="s">
        <v>1825</v>
      </c>
      <c r="E436" s="2" t="s">
        <v>86</v>
      </c>
      <c r="F436" s="2" t="s">
        <v>1826</v>
      </c>
    </row>
    <row r="437" ht="36.0" customHeight="1">
      <c r="A437" s="3" t="s">
        <v>1827</v>
      </c>
      <c r="B437" s="3" t="s">
        <v>1630</v>
      </c>
      <c r="C437" s="3" t="s">
        <v>1828</v>
      </c>
      <c r="D437" s="3" t="s">
        <v>1829</v>
      </c>
      <c r="E437" s="3" t="s">
        <v>608</v>
      </c>
      <c r="F437" s="3" t="s">
        <v>1830</v>
      </c>
    </row>
    <row r="438" ht="36.0" customHeight="1">
      <c r="A438" s="2" t="s">
        <v>1831</v>
      </c>
      <c r="B438" s="2" t="s">
        <v>1630</v>
      </c>
      <c r="C438" s="2" t="s">
        <v>1832</v>
      </c>
      <c r="D438" s="2" t="s">
        <v>1833</v>
      </c>
      <c r="E438" s="2" t="s">
        <v>91</v>
      </c>
      <c r="F438" s="2" t="s">
        <v>1834</v>
      </c>
    </row>
    <row r="439" ht="36.0" customHeight="1">
      <c r="A439" s="3" t="s">
        <v>1835</v>
      </c>
      <c r="B439" s="3" t="s">
        <v>1630</v>
      </c>
      <c r="C439" s="3" t="s">
        <v>1836</v>
      </c>
      <c r="D439" s="3" t="s">
        <v>1837</v>
      </c>
      <c r="E439" s="3" t="s">
        <v>91</v>
      </c>
      <c r="F439" s="3" t="s">
        <v>1838</v>
      </c>
    </row>
    <row r="440" ht="36.0" customHeight="1">
      <c r="A440" s="2" t="s">
        <v>1839</v>
      </c>
      <c r="B440" s="2" t="s">
        <v>1630</v>
      </c>
      <c r="C440" s="2" t="s">
        <v>1840</v>
      </c>
      <c r="D440" s="2" t="s">
        <v>1841</v>
      </c>
      <c r="E440" s="2" t="s">
        <v>91</v>
      </c>
      <c r="F440" s="2" t="s">
        <v>1842</v>
      </c>
    </row>
    <row r="441" ht="36.0" customHeight="1">
      <c r="A441" s="3" t="s">
        <v>1843</v>
      </c>
      <c r="B441" s="3" t="s">
        <v>1630</v>
      </c>
      <c r="C441" s="3" t="s">
        <v>1844</v>
      </c>
      <c r="D441" s="3" t="s">
        <v>1845</v>
      </c>
      <c r="E441" s="3" t="s">
        <v>1846</v>
      </c>
      <c r="F441" s="3" t="s">
        <v>1847</v>
      </c>
    </row>
    <row r="442" ht="36.0" customHeight="1">
      <c r="A442" s="2" t="s">
        <v>1848</v>
      </c>
      <c r="B442" s="2" t="s">
        <v>1630</v>
      </c>
      <c r="C442" s="2" t="s">
        <v>1849</v>
      </c>
      <c r="D442" s="2" t="s">
        <v>1850</v>
      </c>
      <c r="E442" s="2" t="s">
        <v>695</v>
      </c>
      <c r="F442" s="2" t="s">
        <v>1851</v>
      </c>
    </row>
    <row r="443" ht="36.0" customHeight="1">
      <c r="A443" s="3" t="s">
        <v>1852</v>
      </c>
      <c r="B443" s="3" t="s">
        <v>1630</v>
      </c>
      <c r="C443" s="3" t="s">
        <v>1853</v>
      </c>
      <c r="D443" s="3" t="s">
        <v>1854</v>
      </c>
      <c r="E443" s="3" t="s">
        <v>1855</v>
      </c>
      <c r="F443" s="3" t="s">
        <v>1856</v>
      </c>
    </row>
    <row r="444" ht="36.0" customHeight="1">
      <c r="A444" s="2" t="s">
        <v>1857</v>
      </c>
      <c r="B444" s="2" t="s">
        <v>1630</v>
      </c>
      <c r="C444" s="2" t="s">
        <v>1858</v>
      </c>
      <c r="D444" s="2" t="s">
        <v>1859</v>
      </c>
      <c r="E444" s="2" t="s">
        <v>695</v>
      </c>
      <c r="F444" s="2" t="s">
        <v>1860</v>
      </c>
    </row>
    <row r="445" ht="36.0" customHeight="1">
      <c r="A445" s="3" t="s">
        <v>1861</v>
      </c>
      <c r="B445" s="3" t="s">
        <v>1630</v>
      </c>
      <c r="C445" s="3" t="s">
        <v>1862</v>
      </c>
      <c r="D445" s="3" t="s">
        <v>1863</v>
      </c>
      <c r="E445" s="3" t="s">
        <v>1855</v>
      </c>
      <c r="F445" s="3" t="s">
        <v>1864</v>
      </c>
    </row>
    <row r="446" ht="36.0" customHeight="1">
      <c r="A446" s="2" t="s">
        <v>1865</v>
      </c>
      <c r="B446" s="2" t="s">
        <v>1630</v>
      </c>
      <c r="C446" s="2" t="s">
        <v>1866</v>
      </c>
      <c r="D446" s="2" t="s">
        <v>1867</v>
      </c>
      <c r="E446" s="2" t="s">
        <v>1855</v>
      </c>
      <c r="F446" s="2" t="s">
        <v>1868</v>
      </c>
    </row>
    <row r="447" ht="36.0" customHeight="1">
      <c r="A447" s="3" t="s">
        <v>1869</v>
      </c>
      <c r="B447" s="3" t="s">
        <v>1630</v>
      </c>
      <c r="C447" s="3" t="s">
        <v>1870</v>
      </c>
      <c r="D447" s="3" t="s">
        <v>1871</v>
      </c>
      <c r="E447" s="3" t="s">
        <v>1855</v>
      </c>
      <c r="F447" s="3" t="s">
        <v>1872</v>
      </c>
    </row>
    <row r="448" ht="36.0" customHeight="1">
      <c r="A448" s="2" t="s">
        <v>1873</v>
      </c>
      <c r="B448" s="2" t="s">
        <v>1630</v>
      </c>
      <c r="C448" s="2" t="s">
        <v>1874</v>
      </c>
      <c r="D448" s="2" t="s">
        <v>1875</v>
      </c>
      <c r="E448" s="2" t="s">
        <v>695</v>
      </c>
      <c r="F448" s="2" t="s">
        <v>1876</v>
      </c>
    </row>
    <row r="449" ht="36.0" customHeight="1">
      <c r="A449" s="3" t="s">
        <v>1877</v>
      </c>
      <c r="B449" s="3" t="s">
        <v>1630</v>
      </c>
      <c r="C449" s="3" t="s">
        <v>1878</v>
      </c>
      <c r="D449" s="3" t="s">
        <v>1879</v>
      </c>
      <c r="E449" s="3" t="s">
        <v>695</v>
      </c>
      <c r="F449" s="3" t="s">
        <v>1880</v>
      </c>
    </row>
    <row r="450" ht="36.0" customHeight="1">
      <c r="A450" s="2" t="s">
        <v>1881</v>
      </c>
      <c r="B450" s="2" t="s">
        <v>1630</v>
      </c>
      <c r="C450" s="2" t="s">
        <v>1882</v>
      </c>
      <c r="D450" s="2" t="s">
        <v>1883</v>
      </c>
      <c r="E450" s="2" t="s">
        <v>695</v>
      </c>
      <c r="F450" s="2" t="s">
        <v>1884</v>
      </c>
    </row>
    <row r="451" ht="36.0" customHeight="1">
      <c r="A451" s="3" t="s">
        <v>1885</v>
      </c>
      <c r="B451" s="3" t="s">
        <v>1630</v>
      </c>
      <c r="C451" s="3" t="s">
        <v>1886</v>
      </c>
      <c r="D451" s="3" t="s">
        <v>1887</v>
      </c>
      <c r="E451" s="3" t="s">
        <v>695</v>
      </c>
      <c r="F451" s="3" t="s">
        <v>1888</v>
      </c>
    </row>
    <row r="452" ht="36.0" customHeight="1">
      <c r="A452" s="2" t="s">
        <v>1889</v>
      </c>
      <c r="B452" s="2" t="s">
        <v>1630</v>
      </c>
      <c r="C452" s="2" t="s">
        <v>1890</v>
      </c>
      <c r="D452" s="2" t="s">
        <v>1891</v>
      </c>
      <c r="E452" s="2" t="s">
        <v>695</v>
      </c>
      <c r="F452" s="2" t="s">
        <v>1892</v>
      </c>
    </row>
    <row r="453" ht="36.0" customHeight="1">
      <c r="A453" s="3" t="s">
        <v>1893</v>
      </c>
      <c r="B453" s="3" t="s">
        <v>1630</v>
      </c>
      <c r="C453" s="3" t="s">
        <v>1894</v>
      </c>
      <c r="D453" s="3" t="s">
        <v>1895</v>
      </c>
      <c r="E453" s="3" t="s">
        <v>139</v>
      </c>
      <c r="F453" s="3" t="s">
        <v>1896</v>
      </c>
    </row>
    <row r="454" ht="36.0" customHeight="1">
      <c r="A454" s="2" t="s">
        <v>1897</v>
      </c>
      <c r="B454" s="2" t="s">
        <v>1630</v>
      </c>
      <c r="C454" s="2" t="s">
        <v>1898</v>
      </c>
      <c r="D454" s="2" t="s">
        <v>1899</v>
      </c>
      <c r="E454" s="2" t="s">
        <v>139</v>
      </c>
      <c r="F454" s="2" t="s">
        <v>1900</v>
      </c>
    </row>
    <row r="455" ht="36.0" customHeight="1">
      <c r="A455" s="3" t="s">
        <v>1901</v>
      </c>
      <c r="B455" s="3" t="s">
        <v>1630</v>
      </c>
      <c r="C455" s="3" t="s">
        <v>1902</v>
      </c>
      <c r="D455" s="3" t="s">
        <v>1903</v>
      </c>
      <c r="E455" s="3" t="s">
        <v>139</v>
      </c>
      <c r="F455" s="3" t="s">
        <v>1904</v>
      </c>
    </row>
    <row r="456" ht="36.0" customHeight="1">
      <c r="A456" s="2" t="s">
        <v>1905</v>
      </c>
      <c r="B456" s="2" t="s">
        <v>1630</v>
      </c>
      <c r="C456" s="2" t="s">
        <v>1906</v>
      </c>
      <c r="D456" s="2" t="s">
        <v>1907</v>
      </c>
      <c r="E456" s="2" t="s">
        <v>695</v>
      </c>
      <c r="F456" s="2" t="s">
        <v>1908</v>
      </c>
    </row>
    <row r="457" ht="36.0" customHeight="1">
      <c r="A457" s="3" t="s">
        <v>1909</v>
      </c>
      <c r="B457" s="3" t="s">
        <v>1630</v>
      </c>
      <c r="C457" s="3" t="s">
        <v>1910</v>
      </c>
      <c r="D457" s="3" t="s">
        <v>1911</v>
      </c>
      <c r="E457" s="3" t="s">
        <v>139</v>
      </c>
      <c r="F457" s="3" t="s">
        <v>1912</v>
      </c>
    </row>
    <row r="458" ht="36.0" customHeight="1">
      <c r="A458" s="2" t="s">
        <v>1913</v>
      </c>
      <c r="B458" s="2" t="s">
        <v>1630</v>
      </c>
      <c r="C458" s="2" t="s">
        <v>1914</v>
      </c>
      <c r="D458" s="2" t="s">
        <v>1915</v>
      </c>
      <c r="E458" s="2" t="s">
        <v>139</v>
      </c>
      <c r="F458" s="2" t="s">
        <v>1916</v>
      </c>
    </row>
    <row r="459" ht="36.0" customHeight="1">
      <c r="A459" s="3" t="s">
        <v>1917</v>
      </c>
      <c r="B459" s="3" t="s">
        <v>1630</v>
      </c>
      <c r="C459" s="3" t="s">
        <v>1918</v>
      </c>
      <c r="D459" s="3" t="s">
        <v>1919</v>
      </c>
      <c r="E459" s="3" t="s">
        <v>139</v>
      </c>
      <c r="F459" s="3" t="s">
        <v>1920</v>
      </c>
    </row>
    <row r="460" ht="36.0" customHeight="1">
      <c r="A460" s="2" t="s">
        <v>1921</v>
      </c>
      <c r="B460" s="2" t="s">
        <v>1630</v>
      </c>
      <c r="C460" s="2" t="s">
        <v>1922</v>
      </c>
      <c r="D460" s="2" t="s">
        <v>1923</v>
      </c>
      <c r="E460" s="2" t="s">
        <v>139</v>
      </c>
      <c r="F460" s="2" t="s">
        <v>1924</v>
      </c>
    </row>
    <row r="461" ht="36.0" customHeight="1">
      <c r="A461" s="3" t="s">
        <v>1925</v>
      </c>
      <c r="B461" s="3" t="s">
        <v>1630</v>
      </c>
      <c r="C461" s="3" t="s">
        <v>1926</v>
      </c>
      <c r="D461" s="3" t="s">
        <v>1927</v>
      </c>
      <c r="E461" s="3" t="s">
        <v>139</v>
      </c>
      <c r="F461" s="3" t="s">
        <v>1928</v>
      </c>
    </row>
    <row r="462" ht="36.0" customHeight="1">
      <c r="A462" s="2" t="s">
        <v>1929</v>
      </c>
      <c r="B462" s="2" t="s">
        <v>1630</v>
      </c>
      <c r="C462" s="2" t="s">
        <v>1930</v>
      </c>
      <c r="D462" s="2" t="s">
        <v>1931</v>
      </c>
      <c r="E462" s="2" t="s">
        <v>139</v>
      </c>
      <c r="F462" s="2" t="s">
        <v>1932</v>
      </c>
    </row>
    <row r="463" ht="36.0" customHeight="1">
      <c r="A463" s="3" t="s">
        <v>1933</v>
      </c>
      <c r="B463" s="3" t="s">
        <v>1630</v>
      </c>
      <c r="C463" s="3" t="s">
        <v>1934</v>
      </c>
      <c r="D463" s="3" t="s">
        <v>1935</v>
      </c>
      <c r="E463" s="3" t="s">
        <v>742</v>
      </c>
      <c r="F463" s="3" t="s">
        <v>1936</v>
      </c>
    </row>
    <row r="464" ht="36.0" customHeight="1">
      <c r="A464" s="2" t="s">
        <v>1937</v>
      </c>
      <c r="B464" s="2" t="s">
        <v>1630</v>
      </c>
      <c r="C464" s="2" t="s">
        <v>1938</v>
      </c>
      <c r="D464" s="2" t="s">
        <v>1939</v>
      </c>
      <c r="E464" s="2" t="s">
        <v>742</v>
      </c>
      <c r="F464" s="2" t="s">
        <v>1940</v>
      </c>
    </row>
    <row r="465" ht="36.0" customHeight="1">
      <c r="A465" s="3" t="s">
        <v>1941</v>
      </c>
      <c r="B465" s="3" t="s">
        <v>1630</v>
      </c>
      <c r="C465" s="3" t="s">
        <v>1942</v>
      </c>
      <c r="D465" s="3" t="s">
        <v>1943</v>
      </c>
      <c r="E465" s="3" t="s">
        <v>742</v>
      </c>
      <c r="F465" s="3" t="s">
        <v>1944</v>
      </c>
    </row>
    <row r="466" ht="36.0" customHeight="1">
      <c r="A466" s="2" t="s">
        <v>1945</v>
      </c>
      <c r="B466" s="2" t="s">
        <v>1630</v>
      </c>
      <c r="C466" s="2" t="s">
        <v>1946</v>
      </c>
      <c r="D466" s="2" t="s">
        <v>1947</v>
      </c>
      <c r="E466" s="2" t="s">
        <v>742</v>
      </c>
      <c r="F466" s="2" t="s">
        <v>1948</v>
      </c>
    </row>
    <row r="467" ht="36.0" customHeight="1">
      <c r="A467" s="3" t="s">
        <v>1949</v>
      </c>
      <c r="B467" s="3" t="s">
        <v>1630</v>
      </c>
      <c r="C467" s="3" t="s">
        <v>1950</v>
      </c>
      <c r="D467" s="3" t="s">
        <v>1951</v>
      </c>
      <c r="E467" s="3" t="s">
        <v>742</v>
      </c>
      <c r="F467" s="3" t="s">
        <v>1952</v>
      </c>
    </row>
    <row r="468" ht="36.0" customHeight="1">
      <c r="A468" s="2" t="s">
        <v>1953</v>
      </c>
      <c r="B468" s="2" t="s">
        <v>1630</v>
      </c>
      <c r="C468" s="2" t="s">
        <v>1954</v>
      </c>
      <c r="D468" s="2" t="s">
        <v>1955</v>
      </c>
      <c r="E468" s="2" t="s">
        <v>742</v>
      </c>
      <c r="F468" s="2" t="s">
        <v>1956</v>
      </c>
    </row>
    <row r="469" ht="36.0" customHeight="1">
      <c r="A469" s="3" t="s">
        <v>1957</v>
      </c>
      <c r="B469" s="3" t="s">
        <v>1630</v>
      </c>
      <c r="C469" s="3" t="s">
        <v>1958</v>
      </c>
      <c r="D469" s="3" t="s">
        <v>1959</v>
      </c>
      <c r="E469" s="3" t="s">
        <v>1855</v>
      </c>
      <c r="F469" s="3" t="s">
        <v>1960</v>
      </c>
    </row>
    <row r="470" ht="36.0" customHeight="1">
      <c r="A470" s="2" t="s">
        <v>1961</v>
      </c>
      <c r="B470" s="2" t="s">
        <v>1630</v>
      </c>
      <c r="C470" s="2" t="s">
        <v>1962</v>
      </c>
      <c r="D470" s="2" t="s">
        <v>1963</v>
      </c>
      <c r="E470" s="2" t="s">
        <v>1855</v>
      </c>
      <c r="F470" s="2" t="s">
        <v>1964</v>
      </c>
    </row>
    <row r="471" ht="36.0" customHeight="1">
      <c r="A471" s="3" t="s">
        <v>1965</v>
      </c>
      <c r="B471" s="3" t="s">
        <v>1630</v>
      </c>
      <c r="C471" s="3" t="s">
        <v>1966</v>
      </c>
      <c r="D471" s="3" t="s">
        <v>1967</v>
      </c>
      <c r="E471" s="3" t="s">
        <v>1855</v>
      </c>
      <c r="F471" s="3" t="s">
        <v>1968</v>
      </c>
    </row>
    <row r="472" ht="36.0" customHeight="1">
      <c r="A472" s="2" t="s">
        <v>1969</v>
      </c>
      <c r="B472" s="2" t="s">
        <v>1630</v>
      </c>
      <c r="C472" s="2" t="s">
        <v>1970</v>
      </c>
      <c r="D472" s="2" t="s">
        <v>1971</v>
      </c>
      <c r="E472" s="2" t="s">
        <v>1855</v>
      </c>
      <c r="F472" s="2" t="s">
        <v>1972</v>
      </c>
    </row>
    <row r="473" ht="36.0" customHeight="1">
      <c r="A473" s="3" t="s">
        <v>1973</v>
      </c>
      <c r="B473" s="3" t="s">
        <v>1630</v>
      </c>
      <c r="C473" s="3" t="s">
        <v>1974</v>
      </c>
      <c r="D473" s="3" t="s">
        <v>1975</v>
      </c>
      <c r="E473" s="3" t="s">
        <v>1976</v>
      </c>
      <c r="F473" s="3" t="s">
        <v>1977</v>
      </c>
    </row>
    <row r="474" ht="36.0" customHeight="1">
      <c r="A474" s="2" t="s">
        <v>1978</v>
      </c>
      <c r="B474" s="2" t="s">
        <v>1630</v>
      </c>
      <c r="C474" s="2" t="s">
        <v>1979</v>
      </c>
      <c r="D474" s="2" t="s">
        <v>1980</v>
      </c>
      <c r="E474" s="2" t="s">
        <v>1976</v>
      </c>
      <c r="F474" s="2" t="s">
        <v>1981</v>
      </c>
    </row>
    <row r="475" ht="36.0" customHeight="1">
      <c r="A475" s="3" t="s">
        <v>1982</v>
      </c>
      <c r="B475" s="3" t="s">
        <v>1630</v>
      </c>
      <c r="C475" s="3" t="s">
        <v>1983</v>
      </c>
      <c r="D475" s="3" t="s">
        <v>1984</v>
      </c>
      <c r="E475" s="3" t="s">
        <v>1976</v>
      </c>
      <c r="F475" s="3" t="s">
        <v>1985</v>
      </c>
    </row>
    <row r="476" ht="36.0" customHeight="1">
      <c r="A476" s="2" t="s">
        <v>1986</v>
      </c>
      <c r="B476" s="2" t="s">
        <v>1630</v>
      </c>
      <c r="C476" s="2" t="s">
        <v>1987</v>
      </c>
      <c r="D476" s="2" t="s">
        <v>1988</v>
      </c>
      <c r="E476" s="2" t="s">
        <v>1976</v>
      </c>
      <c r="F476" s="2" t="s">
        <v>1989</v>
      </c>
    </row>
    <row r="477" ht="36.0" customHeight="1">
      <c r="A477" s="3" t="s">
        <v>1990</v>
      </c>
      <c r="B477" s="3" t="s">
        <v>1630</v>
      </c>
      <c r="C477" s="3" t="s">
        <v>1991</v>
      </c>
      <c r="D477" s="3" t="s">
        <v>1992</v>
      </c>
      <c r="E477" s="3" t="s">
        <v>362</v>
      </c>
      <c r="F477" s="3" t="s">
        <v>1993</v>
      </c>
    </row>
    <row r="478" ht="36.0" customHeight="1">
      <c r="A478" s="2" t="s">
        <v>1994</v>
      </c>
      <c r="B478" s="2" t="s">
        <v>1630</v>
      </c>
      <c r="C478" s="2" t="s">
        <v>1995</v>
      </c>
      <c r="D478" s="2" t="s">
        <v>1996</v>
      </c>
      <c r="E478" s="2" t="s">
        <v>1997</v>
      </c>
      <c r="F478" s="2" t="s">
        <v>1998</v>
      </c>
    </row>
    <row r="479" ht="36.0" customHeight="1">
      <c r="A479" s="3" t="s">
        <v>1999</v>
      </c>
      <c r="B479" s="3" t="s">
        <v>1630</v>
      </c>
      <c r="C479" s="3" t="s">
        <v>2000</v>
      </c>
      <c r="D479" s="3" t="s">
        <v>2001</v>
      </c>
      <c r="E479" s="3" t="s">
        <v>323</v>
      </c>
      <c r="F479" s="3" t="s">
        <v>2002</v>
      </c>
    </row>
    <row r="480" ht="36.0" customHeight="1">
      <c r="A480" s="2" t="s">
        <v>2003</v>
      </c>
      <c r="B480" s="2" t="s">
        <v>1630</v>
      </c>
      <c r="C480" s="2" t="s">
        <v>2004</v>
      </c>
      <c r="D480" s="2" t="s">
        <v>2005</v>
      </c>
      <c r="E480" s="2" t="s">
        <v>323</v>
      </c>
      <c r="F480" s="2" t="s">
        <v>2006</v>
      </c>
    </row>
    <row r="481" ht="36.0" customHeight="1">
      <c r="A481" s="3" t="s">
        <v>2007</v>
      </c>
      <c r="B481" s="3" t="s">
        <v>1630</v>
      </c>
      <c r="C481" s="3" t="s">
        <v>2008</v>
      </c>
      <c r="D481" s="3" t="s">
        <v>2009</v>
      </c>
      <c r="E481" s="3" t="s">
        <v>2010</v>
      </c>
      <c r="F481" s="3" t="s">
        <v>2011</v>
      </c>
    </row>
    <row r="482" ht="36.0" customHeight="1">
      <c r="A482" s="2" t="s">
        <v>2012</v>
      </c>
      <c r="B482" s="2" t="s">
        <v>1630</v>
      </c>
      <c r="C482" s="2" t="s">
        <v>2013</v>
      </c>
      <c r="D482" s="2" t="s">
        <v>2014</v>
      </c>
      <c r="E482" s="2" t="s">
        <v>2015</v>
      </c>
      <c r="F482" s="2" t="s">
        <v>2016</v>
      </c>
    </row>
    <row r="483" ht="36.0" customHeight="1">
      <c r="A483" s="3" t="s">
        <v>2017</v>
      </c>
      <c r="B483" s="3" t="s">
        <v>1630</v>
      </c>
      <c r="C483" s="3" t="s">
        <v>2018</v>
      </c>
      <c r="D483" s="3" t="s">
        <v>2019</v>
      </c>
      <c r="E483" s="3" t="s">
        <v>2020</v>
      </c>
      <c r="F483" s="3" t="s">
        <v>2021</v>
      </c>
    </row>
    <row r="484" ht="36.0" customHeight="1">
      <c r="A484" s="2" t="s">
        <v>2022</v>
      </c>
      <c r="B484" s="2" t="s">
        <v>1630</v>
      </c>
      <c r="C484" s="2" t="s">
        <v>2023</v>
      </c>
      <c r="D484" s="2" t="s">
        <v>2024</v>
      </c>
      <c r="E484" s="2" t="s">
        <v>2015</v>
      </c>
      <c r="F484" s="2" t="s">
        <v>2025</v>
      </c>
    </row>
    <row r="485" ht="36.0" customHeight="1">
      <c r="A485" s="3" t="s">
        <v>2026</v>
      </c>
      <c r="B485" s="3" t="s">
        <v>1630</v>
      </c>
      <c r="C485" s="3" t="s">
        <v>2027</v>
      </c>
      <c r="D485" s="3" t="s">
        <v>2028</v>
      </c>
      <c r="E485" s="3" t="s">
        <v>362</v>
      </c>
      <c r="F485" s="3" t="s">
        <v>2029</v>
      </c>
    </row>
    <row r="486" ht="36.0" customHeight="1">
      <c r="A486" s="2" t="s">
        <v>2030</v>
      </c>
      <c r="B486" s="2" t="s">
        <v>1630</v>
      </c>
      <c r="C486" s="2" t="s">
        <v>2031</v>
      </c>
      <c r="D486" s="2" t="s">
        <v>2032</v>
      </c>
      <c r="E486" s="2" t="s">
        <v>362</v>
      </c>
      <c r="F486" s="2" t="s">
        <v>2033</v>
      </c>
    </row>
    <row r="487" ht="36.0" customHeight="1">
      <c r="A487" s="3" t="s">
        <v>2034</v>
      </c>
      <c r="B487" s="3" t="s">
        <v>1630</v>
      </c>
      <c r="C487" s="3" t="s">
        <v>2035</v>
      </c>
      <c r="D487" s="3" t="s">
        <v>2036</v>
      </c>
      <c r="E487" s="3" t="s">
        <v>362</v>
      </c>
      <c r="F487" s="3" t="s">
        <v>2037</v>
      </c>
    </row>
    <row r="488" ht="36.0" customHeight="1">
      <c r="A488" s="2" t="s">
        <v>2038</v>
      </c>
      <c r="B488" s="2" t="s">
        <v>1630</v>
      </c>
      <c r="C488" s="2" t="s">
        <v>2039</v>
      </c>
      <c r="D488" s="2" t="s">
        <v>2040</v>
      </c>
      <c r="E488" s="2" t="s">
        <v>323</v>
      </c>
      <c r="F488" s="2" t="s">
        <v>2041</v>
      </c>
    </row>
    <row r="489" ht="36.0" customHeight="1">
      <c r="A489" s="3" t="s">
        <v>2042</v>
      </c>
      <c r="B489" s="3" t="s">
        <v>1630</v>
      </c>
      <c r="C489" s="3" t="s">
        <v>2043</v>
      </c>
      <c r="D489" s="3" t="s">
        <v>2044</v>
      </c>
      <c r="E489" s="3" t="s">
        <v>345</v>
      </c>
      <c r="F489" s="3" t="s">
        <v>2045</v>
      </c>
    </row>
    <row r="490" ht="36.0" customHeight="1">
      <c r="A490" s="2" t="s">
        <v>2046</v>
      </c>
      <c r="B490" s="2" t="s">
        <v>1630</v>
      </c>
      <c r="C490" s="2" t="s">
        <v>2047</v>
      </c>
      <c r="D490" s="2" t="s">
        <v>2048</v>
      </c>
      <c r="E490" s="2" t="s">
        <v>362</v>
      </c>
      <c r="F490" s="2" t="s">
        <v>2049</v>
      </c>
    </row>
    <row r="491" ht="36.0" customHeight="1">
      <c r="A491" s="3" t="s">
        <v>2050</v>
      </c>
      <c r="B491" s="3" t="s">
        <v>1630</v>
      </c>
      <c r="C491" s="3" t="s">
        <v>2051</v>
      </c>
      <c r="D491" s="3" t="s">
        <v>2052</v>
      </c>
      <c r="E491" s="3" t="s">
        <v>362</v>
      </c>
      <c r="F491" s="3" t="s">
        <v>2053</v>
      </c>
    </row>
    <row r="492" ht="36.0" customHeight="1">
      <c r="A492" s="2" t="s">
        <v>2054</v>
      </c>
      <c r="B492" s="2" t="s">
        <v>1630</v>
      </c>
      <c r="C492" s="2" t="s">
        <v>2055</v>
      </c>
      <c r="D492" s="2" t="s">
        <v>2056</v>
      </c>
      <c r="E492" s="2" t="s">
        <v>362</v>
      </c>
      <c r="F492" s="2" t="s">
        <v>2057</v>
      </c>
    </row>
    <row r="493" ht="36.0" customHeight="1">
      <c r="A493" s="3" t="s">
        <v>2058</v>
      </c>
      <c r="B493" s="3" t="s">
        <v>1630</v>
      </c>
      <c r="C493" s="3" t="s">
        <v>2059</v>
      </c>
      <c r="D493" s="3" t="s">
        <v>2060</v>
      </c>
      <c r="E493" s="3" t="s">
        <v>362</v>
      </c>
      <c r="F493" s="3" t="s">
        <v>2061</v>
      </c>
    </row>
    <row r="494" ht="36.0" customHeight="1">
      <c r="A494" s="2" t="s">
        <v>2062</v>
      </c>
      <c r="B494" s="2" t="s">
        <v>1630</v>
      </c>
      <c r="C494" s="2" t="s">
        <v>2063</v>
      </c>
      <c r="D494" s="2" t="s">
        <v>2064</v>
      </c>
      <c r="E494" s="2" t="s">
        <v>345</v>
      </c>
      <c r="F494" s="2" t="s">
        <v>2065</v>
      </c>
    </row>
    <row r="495" ht="36.0" customHeight="1">
      <c r="A495" s="3" t="s">
        <v>2066</v>
      </c>
      <c r="B495" s="3" t="s">
        <v>1630</v>
      </c>
      <c r="C495" s="3" t="s">
        <v>2067</v>
      </c>
      <c r="D495" s="3" t="s">
        <v>2068</v>
      </c>
      <c r="E495" s="3" t="s">
        <v>345</v>
      </c>
      <c r="F495" s="3" t="s">
        <v>2069</v>
      </c>
    </row>
    <row r="496" ht="36.0" customHeight="1">
      <c r="A496" s="2" t="s">
        <v>2070</v>
      </c>
      <c r="B496" s="2" t="s">
        <v>1630</v>
      </c>
      <c r="C496" s="2" t="s">
        <v>2071</v>
      </c>
      <c r="D496" s="2" t="s">
        <v>2072</v>
      </c>
      <c r="E496" s="2" t="s">
        <v>345</v>
      </c>
      <c r="F496" s="2" t="s">
        <v>2073</v>
      </c>
    </row>
    <row r="497" ht="36.0" customHeight="1">
      <c r="A497" s="3" t="s">
        <v>2074</v>
      </c>
      <c r="B497" s="3" t="s">
        <v>1630</v>
      </c>
      <c r="C497" s="3" t="s">
        <v>2075</v>
      </c>
      <c r="D497" s="3" t="s">
        <v>2076</v>
      </c>
      <c r="E497" s="3" t="s">
        <v>345</v>
      </c>
      <c r="F497" s="3" t="s">
        <v>2077</v>
      </c>
    </row>
    <row r="498" ht="36.0" customHeight="1">
      <c r="A498" s="2" t="s">
        <v>2078</v>
      </c>
      <c r="B498" s="2" t="s">
        <v>1630</v>
      </c>
      <c r="C498" s="2" t="s">
        <v>2079</v>
      </c>
      <c r="D498" s="2" t="s">
        <v>2080</v>
      </c>
      <c r="E498" s="2" t="s">
        <v>2020</v>
      </c>
      <c r="F498" s="2" t="s">
        <v>2081</v>
      </c>
    </row>
    <row r="499" ht="36.0" customHeight="1">
      <c r="A499" s="3" t="s">
        <v>2082</v>
      </c>
      <c r="B499" s="3" t="s">
        <v>1630</v>
      </c>
      <c r="C499" s="3" t="s">
        <v>2083</v>
      </c>
      <c r="D499" s="3" t="s">
        <v>2084</v>
      </c>
      <c r="E499" s="3" t="s">
        <v>362</v>
      </c>
      <c r="F499" s="3" t="s">
        <v>2085</v>
      </c>
    </row>
    <row r="500" ht="36.0" customHeight="1">
      <c r="A500" s="2" t="s">
        <v>2086</v>
      </c>
      <c r="B500" s="2" t="s">
        <v>1630</v>
      </c>
      <c r="C500" s="2" t="s">
        <v>2087</v>
      </c>
      <c r="D500" s="2" t="s">
        <v>2088</v>
      </c>
      <c r="E500" s="2" t="s">
        <v>362</v>
      </c>
      <c r="F500" s="2" t="s">
        <v>2089</v>
      </c>
    </row>
    <row r="501" ht="36.0" customHeight="1">
      <c r="A501" s="3" t="s">
        <v>2090</v>
      </c>
      <c r="B501" s="3" t="s">
        <v>1630</v>
      </c>
      <c r="C501" s="3" t="s">
        <v>2091</v>
      </c>
      <c r="D501" s="3" t="s">
        <v>2092</v>
      </c>
      <c r="E501" s="3" t="s">
        <v>387</v>
      </c>
      <c r="F501" s="3" t="s">
        <v>2093</v>
      </c>
    </row>
    <row r="502" ht="36.0" customHeight="1">
      <c r="A502" s="2" t="s">
        <v>2094</v>
      </c>
      <c r="B502" s="2" t="s">
        <v>1630</v>
      </c>
      <c r="C502" s="2" t="s">
        <v>2095</v>
      </c>
      <c r="D502" s="2" t="s">
        <v>2096</v>
      </c>
      <c r="E502" s="2" t="s">
        <v>2097</v>
      </c>
      <c r="F502" s="2" t="s">
        <v>2098</v>
      </c>
    </row>
    <row r="503" ht="36.0" customHeight="1">
      <c r="A503" s="3" t="s">
        <v>2099</v>
      </c>
      <c r="B503" s="3" t="s">
        <v>1630</v>
      </c>
      <c r="C503" s="3" t="s">
        <v>2100</v>
      </c>
      <c r="D503" s="3" t="s">
        <v>2101</v>
      </c>
      <c r="E503" s="3" t="s">
        <v>86</v>
      </c>
      <c r="F503" s="3" t="s">
        <v>2102</v>
      </c>
    </row>
    <row r="504" ht="36.0" customHeight="1">
      <c r="A504" s="2" t="s">
        <v>2103</v>
      </c>
      <c r="B504" s="2" t="s">
        <v>1630</v>
      </c>
      <c r="C504" s="2" t="s">
        <v>2104</v>
      </c>
      <c r="D504" s="2" t="s">
        <v>2105</v>
      </c>
      <c r="E504" s="2" t="s">
        <v>166</v>
      </c>
      <c r="F504" s="2" t="s">
        <v>2106</v>
      </c>
    </row>
    <row r="505" ht="36.0" customHeight="1">
      <c r="A505" s="3" t="s">
        <v>2107</v>
      </c>
      <c r="B505" s="3" t="s">
        <v>1630</v>
      </c>
      <c r="C505" s="3" t="s">
        <v>2108</v>
      </c>
      <c r="D505" s="3" t="s">
        <v>2109</v>
      </c>
      <c r="E505" s="3" t="s">
        <v>435</v>
      </c>
      <c r="F505" s="3" t="s">
        <v>2110</v>
      </c>
    </row>
    <row r="506" ht="36.0" customHeight="1">
      <c r="A506" s="2" t="s">
        <v>2111</v>
      </c>
      <c r="B506" s="2" t="s">
        <v>1630</v>
      </c>
      <c r="C506" s="2" t="s">
        <v>2112</v>
      </c>
      <c r="D506" s="2" t="s">
        <v>2113</v>
      </c>
      <c r="E506" s="2" t="s">
        <v>435</v>
      </c>
      <c r="F506" s="2" t="s">
        <v>2114</v>
      </c>
    </row>
    <row r="507" ht="36.0" customHeight="1">
      <c r="A507" s="3" t="s">
        <v>2115</v>
      </c>
      <c r="B507" s="3" t="s">
        <v>1630</v>
      </c>
      <c r="C507" s="3" t="s">
        <v>2116</v>
      </c>
      <c r="D507" s="3" t="s">
        <v>2117</v>
      </c>
      <c r="E507" s="3" t="s">
        <v>435</v>
      </c>
      <c r="F507" s="3" t="s">
        <v>2118</v>
      </c>
    </row>
    <row r="508" ht="36.0" customHeight="1">
      <c r="A508" s="2" t="s">
        <v>2119</v>
      </c>
      <c r="B508" s="2" t="s">
        <v>1630</v>
      </c>
      <c r="C508" s="2" t="s">
        <v>2120</v>
      </c>
      <c r="D508" s="2" t="s">
        <v>2121</v>
      </c>
      <c r="E508" s="2" t="s">
        <v>435</v>
      </c>
      <c r="F508" s="2" t="s">
        <v>2122</v>
      </c>
    </row>
    <row r="509" ht="36.0" customHeight="1">
      <c r="A509" s="3" t="s">
        <v>2123</v>
      </c>
      <c r="B509" s="3" t="s">
        <v>1630</v>
      </c>
      <c r="C509" s="3" t="s">
        <v>2124</v>
      </c>
      <c r="D509" s="3" t="s">
        <v>2125</v>
      </c>
      <c r="E509" s="3" t="s">
        <v>2126</v>
      </c>
      <c r="F509" s="3" t="s">
        <v>2127</v>
      </c>
    </row>
    <row r="510" ht="36.0" customHeight="1">
      <c r="A510" s="2" t="s">
        <v>2128</v>
      </c>
      <c r="B510" s="2" t="s">
        <v>1630</v>
      </c>
      <c r="C510" s="2" t="s">
        <v>2129</v>
      </c>
      <c r="D510" s="2" t="s">
        <v>2130</v>
      </c>
      <c r="E510" s="2" t="s">
        <v>24</v>
      </c>
      <c r="F510" s="2" t="s">
        <v>2131</v>
      </c>
    </row>
    <row r="511" ht="36.0" customHeight="1">
      <c r="A511" s="3" t="s">
        <v>2132</v>
      </c>
      <c r="B511" s="3" t="s">
        <v>1630</v>
      </c>
      <c r="C511" s="3" t="s">
        <v>2133</v>
      </c>
      <c r="D511" s="3" t="s">
        <v>2134</v>
      </c>
      <c r="E511" s="3" t="s">
        <v>24</v>
      </c>
      <c r="F511" s="3" t="s">
        <v>2135</v>
      </c>
    </row>
    <row r="512" ht="36.0" customHeight="1">
      <c r="A512" s="2" t="s">
        <v>2136</v>
      </c>
      <c r="B512" s="2" t="s">
        <v>1630</v>
      </c>
      <c r="C512" s="2" t="s">
        <v>2137</v>
      </c>
      <c r="D512" s="2" t="s">
        <v>2138</v>
      </c>
      <c r="E512" s="2" t="s">
        <v>207</v>
      </c>
      <c r="F512" s="2" t="s">
        <v>2139</v>
      </c>
    </row>
    <row r="513" ht="36.0" customHeight="1">
      <c r="A513" s="3" t="s">
        <v>2140</v>
      </c>
      <c r="B513" s="3" t="s">
        <v>1630</v>
      </c>
      <c r="C513" s="3" t="s">
        <v>2141</v>
      </c>
      <c r="D513" s="3" t="s">
        <v>2142</v>
      </c>
      <c r="E513" s="3" t="s">
        <v>2143</v>
      </c>
      <c r="F513" s="3" t="s">
        <v>2144</v>
      </c>
    </row>
    <row r="514" ht="36.0" customHeight="1">
      <c r="A514" s="2" t="s">
        <v>2145</v>
      </c>
      <c r="B514" s="2" t="s">
        <v>1630</v>
      </c>
      <c r="C514" s="2" t="s">
        <v>2146</v>
      </c>
      <c r="D514" s="2" t="s">
        <v>2147</v>
      </c>
      <c r="E514" s="2" t="s">
        <v>37</v>
      </c>
      <c r="F514" s="2" t="s">
        <v>2148</v>
      </c>
    </row>
    <row r="515" ht="36.0" customHeight="1">
      <c r="A515" s="3" t="s">
        <v>2149</v>
      </c>
      <c r="B515" s="3" t="s">
        <v>1630</v>
      </c>
      <c r="C515" s="3" t="s">
        <v>2150</v>
      </c>
      <c r="D515" s="3" t="s">
        <v>2151</v>
      </c>
      <c r="E515" s="3" t="s">
        <v>42</v>
      </c>
      <c r="F515" s="3" t="s">
        <v>2152</v>
      </c>
    </row>
    <row r="516" ht="36.0" customHeight="1">
      <c r="A516" s="2" t="s">
        <v>2153</v>
      </c>
      <c r="B516" s="2" t="s">
        <v>1630</v>
      </c>
      <c r="C516" s="2" t="s">
        <v>2154</v>
      </c>
      <c r="D516" s="2" t="s">
        <v>2155</v>
      </c>
      <c r="E516" s="2" t="s">
        <v>42</v>
      </c>
      <c r="F516" s="2" t="s">
        <v>2156</v>
      </c>
    </row>
    <row r="517" ht="36.0" customHeight="1">
      <c r="A517" s="3" t="s">
        <v>2157</v>
      </c>
      <c r="B517" s="3" t="s">
        <v>1630</v>
      </c>
      <c r="C517" s="3" t="s">
        <v>2158</v>
      </c>
      <c r="D517" s="3" t="s">
        <v>2159</v>
      </c>
      <c r="E517" s="3" t="s">
        <v>224</v>
      </c>
      <c r="F517" s="3" t="s">
        <v>2160</v>
      </c>
    </row>
    <row r="518" ht="36.0" customHeight="1">
      <c r="A518" s="2" t="s">
        <v>2161</v>
      </c>
      <c r="B518" s="2" t="s">
        <v>1630</v>
      </c>
      <c r="C518" s="2" t="s">
        <v>2162</v>
      </c>
      <c r="D518" s="2" t="s">
        <v>2163</v>
      </c>
      <c r="E518" s="2" t="s">
        <v>224</v>
      </c>
      <c r="F518" s="2" t="s">
        <v>2164</v>
      </c>
    </row>
    <row r="519" ht="36.0" customHeight="1">
      <c r="A519" s="3" t="s">
        <v>2165</v>
      </c>
      <c r="B519" s="3" t="s">
        <v>1630</v>
      </c>
      <c r="C519" s="3" t="s">
        <v>2166</v>
      </c>
      <c r="D519" s="3" t="s">
        <v>2167</v>
      </c>
      <c r="E519" s="3" t="s">
        <v>224</v>
      </c>
      <c r="F519" s="3" t="s">
        <v>2168</v>
      </c>
    </row>
    <row r="520" ht="36.0" customHeight="1">
      <c r="A520" s="2" t="s">
        <v>2169</v>
      </c>
      <c r="B520" s="2" t="s">
        <v>1630</v>
      </c>
      <c r="C520" s="2" t="s">
        <v>2170</v>
      </c>
      <c r="D520" s="2" t="s">
        <v>2171</v>
      </c>
      <c r="E520" s="2" t="s">
        <v>608</v>
      </c>
      <c r="F520" s="2" t="s">
        <v>2172</v>
      </c>
    </row>
    <row r="521" ht="36.0" customHeight="1">
      <c r="A521" s="3" t="s">
        <v>2173</v>
      </c>
      <c r="B521" s="3" t="s">
        <v>1630</v>
      </c>
      <c r="C521" s="3" t="s">
        <v>2174</v>
      </c>
      <c r="D521" s="3" t="s">
        <v>2175</v>
      </c>
      <c r="E521" s="3" t="s">
        <v>224</v>
      </c>
      <c r="F521" s="3" t="s">
        <v>2176</v>
      </c>
    </row>
    <row r="522" ht="36.0" customHeight="1">
      <c r="A522" s="2" t="s">
        <v>2177</v>
      </c>
      <c r="B522" s="2" t="s">
        <v>1630</v>
      </c>
      <c r="C522" s="2" t="s">
        <v>2178</v>
      </c>
      <c r="D522" s="2" t="s">
        <v>2179</v>
      </c>
      <c r="E522" s="2" t="s">
        <v>608</v>
      </c>
      <c r="F522" s="2" t="s">
        <v>2180</v>
      </c>
    </row>
    <row r="523" ht="36.0" customHeight="1">
      <c r="A523" s="3" t="s">
        <v>2181</v>
      </c>
      <c r="B523" s="3" t="s">
        <v>1630</v>
      </c>
      <c r="C523" s="3" t="s">
        <v>2182</v>
      </c>
      <c r="D523" s="3" t="s">
        <v>2183</v>
      </c>
      <c r="E523" s="3" t="s">
        <v>1148</v>
      </c>
      <c r="F523" s="3" t="s">
        <v>2184</v>
      </c>
    </row>
    <row r="524" ht="36.0" customHeight="1">
      <c r="A524" s="2" t="s">
        <v>2185</v>
      </c>
      <c r="B524" s="2" t="s">
        <v>1630</v>
      </c>
      <c r="C524" s="2" t="s">
        <v>2186</v>
      </c>
      <c r="D524" s="2" t="s">
        <v>2187</v>
      </c>
      <c r="E524" s="2" t="s">
        <v>608</v>
      </c>
      <c r="F524" s="2" t="s">
        <v>2188</v>
      </c>
    </row>
    <row r="525" ht="36.0" customHeight="1">
      <c r="A525" s="3" t="s">
        <v>2189</v>
      </c>
      <c r="B525" s="3" t="s">
        <v>1630</v>
      </c>
      <c r="C525" s="3" t="s">
        <v>2190</v>
      </c>
      <c r="D525" s="3" t="s">
        <v>2191</v>
      </c>
      <c r="E525" s="3" t="s">
        <v>608</v>
      </c>
      <c r="F525" s="3" t="s">
        <v>2192</v>
      </c>
    </row>
    <row r="526" ht="36.0" customHeight="1">
      <c r="A526" s="2" t="s">
        <v>2193</v>
      </c>
      <c r="B526" s="2" t="s">
        <v>1630</v>
      </c>
      <c r="C526" s="2" t="s">
        <v>2194</v>
      </c>
      <c r="D526" s="2" t="s">
        <v>2195</v>
      </c>
      <c r="E526" s="2" t="s">
        <v>608</v>
      </c>
      <c r="F526" s="2" t="s">
        <v>2196</v>
      </c>
    </row>
    <row r="527" ht="36.0" customHeight="1">
      <c r="A527" s="3" t="s">
        <v>2197</v>
      </c>
      <c r="B527" s="3" t="s">
        <v>1630</v>
      </c>
      <c r="C527" s="3" t="s">
        <v>2198</v>
      </c>
      <c r="D527" s="3" t="s">
        <v>2199</v>
      </c>
      <c r="E527" s="3" t="s">
        <v>608</v>
      </c>
      <c r="F527" s="3" t="s">
        <v>2200</v>
      </c>
    </row>
    <row r="528" ht="36.0" customHeight="1">
      <c r="A528" s="2" t="s">
        <v>2201</v>
      </c>
      <c r="B528" s="2" t="s">
        <v>1630</v>
      </c>
      <c r="C528" s="2" t="s">
        <v>2202</v>
      </c>
      <c r="D528" s="2" t="s">
        <v>2203</v>
      </c>
      <c r="E528" s="2" t="s">
        <v>608</v>
      </c>
      <c r="F528" s="2" t="s">
        <v>2204</v>
      </c>
    </row>
    <row r="529" ht="36.0" customHeight="1">
      <c r="A529" s="3" t="s">
        <v>2205</v>
      </c>
      <c r="B529" s="3" t="s">
        <v>1630</v>
      </c>
      <c r="C529" s="3" t="s">
        <v>2206</v>
      </c>
      <c r="D529" s="3" t="s">
        <v>2207</v>
      </c>
      <c r="E529" s="3" t="s">
        <v>2208</v>
      </c>
      <c r="F529" s="3" t="s">
        <v>2209</v>
      </c>
    </row>
    <row r="530" ht="36.0" customHeight="1">
      <c r="A530" s="2" t="s">
        <v>2210</v>
      </c>
      <c r="B530" s="2" t="s">
        <v>1630</v>
      </c>
      <c r="C530" s="2" t="s">
        <v>2211</v>
      </c>
      <c r="D530" s="2" t="s">
        <v>2212</v>
      </c>
      <c r="E530" s="2" t="s">
        <v>1855</v>
      </c>
      <c r="F530" s="2" t="s">
        <v>2213</v>
      </c>
    </row>
    <row r="531" ht="36.0" customHeight="1">
      <c r="A531" s="3" t="s">
        <v>2214</v>
      </c>
      <c r="B531" s="3" t="s">
        <v>1630</v>
      </c>
      <c r="C531" s="3" t="s">
        <v>2215</v>
      </c>
      <c r="D531" s="3" t="s">
        <v>2216</v>
      </c>
      <c r="E531" s="3" t="s">
        <v>284</v>
      </c>
      <c r="F531" s="3" t="s">
        <v>2217</v>
      </c>
    </row>
    <row r="532" ht="36.0" customHeight="1">
      <c r="A532" s="2" t="s">
        <v>2218</v>
      </c>
      <c r="B532" s="2" t="s">
        <v>1630</v>
      </c>
      <c r="C532" s="2" t="s">
        <v>2219</v>
      </c>
      <c r="D532" s="2" t="s">
        <v>2220</v>
      </c>
      <c r="E532" s="2" t="s">
        <v>284</v>
      </c>
      <c r="F532" s="2" t="s">
        <v>2221</v>
      </c>
    </row>
    <row r="533" ht="36.0" customHeight="1">
      <c r="A533" s="3" t="s">
        <v>2222</v>
      </c>
      <c r="B533" s="3" t="s">
        <v>1630</v>
      </c>
      <c r="C533" s="3" t="s">
        <v>2223</v>
      </c>
      <c r="D533" s="3" t="s">
        <v>2224</v>
      </c>
      <c r="E533" s="3" t="s">
        <v>2208</v>
      </c>
      <c r="F533" s="3" t="s">
        <v>2225</v>
      </c>
    </row>
    <row r="534" ht="36.0" customHeight="1">
      <c r="A534" s="2" t="s">
        <v>2226</v>
      </c>
      <c r="B534" s="2" t="s">
        <v>1630</v>
      </c>
      <c r="C534" s="2" t="s">
        <v>2227</v>
      </c>
      <c r="D534" s="2" t="s">
        <v>2228</v>
      </c>
      <c r="E534" s="2" t="s">
        <v>1250</v>
      </c>
      <c r="F534" s="2" t="s">
        <v>2229</v>
      </c>
    </row>
    <row r="535" ht="36.0" customHeight="1">
      <c r="A535" s="3" t="s">
        <v>2230</v>
      </c>
      <c r="B535" s="3" t="s">
        <v>1630</v>
      </c>
      <c r="C535" s="3" t="s">
        <v>2231</v>
      </c>
      <c r="D535" s="3" t="s">
        <v>2232</v>
      </c>
      <c r="E535" s="3" t="s">
        <v>1250</v>
      </c>
      <c r="F535" s="3" t="s">
        <v>2233</v>
      </c>
    </row>
    <row r="536" ht="36.0" customHeight="1">
      <c r="A536" s="2" t="s">
        <v>2234</v>
      </c>
      <c r="B536" s="2" t="s">
        <v>1630</v>
      </c>
      <c r="C536" s="2" t="s">
        <v>2235</v>
      </c>
      <c r="D536" s="2" t="s">
        <v>2236</v>
      </c>
      <c r="E536" s="2" t="s">
        <v>1143</v>
      </c>
      <c r="F536" s="2" t="s">
        <v>2237</v>
      </c>
    </row>
    <row r="537" ht="36.0" customHeight="1">
      <c r="A537" s="3" t="s">
        <v>2238</v>
      </c>
      <c r="B537" s="3" t="s">
        <v>1630</v>
      </c>
      <c r="C537" s="3" t="s">
        <v>2239</v>
      </c>
      <c r="D537" s="3" t="s">
        <v>2240</v>
      </c>
      <c r="E537" s="3" t="s">
        <v>2010</v>
      </c>
      <c r="F537" s="3" t="s">
        <v>2241</v>
      </c>
    </row>
    <row r="538" ht="36.0" customHeight="1">
      <c r="A538" s="2" t="s">
        <v>2242</v>
      </c>
      <c r="B538" s="2" t="s">
        <v>1630</v>
      </c>
      <c r="C538" s="2" t="s">
        <v>2243</v>
      </c>
      <c r="D538" s="2" t="s">
        <v>2244</v>
      </c>
      <c r="E538" s="2" t="s">
        <v>1997</v>
      </c>
      <c r="F538" s="2" t="s">
        <v>2245</v>
      </c>
    </row>
    <row r="539" ht="36.0" customHeight="1">
      <c r="A539" s="3" t="s">
        <v>2246</v>
      </c>
      <c r="B539" s="3" t="s">
        <v>1630</v>
      </c>
      <c r="C539" s="3" t="s">
        <v>2247</v>
      </c>
      <c r="D539" s="3" t="s">
        <v>2248</v>
      </c>
      <c r="E539" s="3" t="s">
        <v>1997</v>
      </c>
      <c r="F539" s="3" t="s">
        <v>2249</v>
      </c>
    </row>
    <row r="540" ht="36.0" customHeight="1">
      <c r="A540" s="2" t="s">
        <v>2250</v>
      </c>
      <c r="B540" s="2" t="s">
        <v>1630</v>
      </c>
      <c r="C540" s="2" t="s">
        <v>2251</v>
      </c>
      <c r="D540" s="2" t="s">
        <v>2252</v>
      </c>
      <c r="E540" s="2" t="s">
        <v>2126</v>
      </c>
      <c r="F540" s="2" t="s">
        <v>2253</v>
      </c>
    </row>
    <row r="541" ht="36.0" customHeight="1">
      <c r="A541" s="3" t="s">
        <v>2254</v>
      </c>
      <c r="B541" s="3" t="s">
        <v>1630</v>
      </c>
      <c r="C541" s="3" t="s">
        <v>2255</v>
      </c>
      <c r="D541" s="3" t="s">
        <v>2256</v>
      </c>
      <c r="E541" s="3" t="s">
        <v>2010</v>
      </c>
      <c r="F541" s="3" t="s">
        <v>2257</v>
      </c>
    </row>
    <row r="542" ht="36.0" customHeight="1">
      <c r="A542" s="2" t="s">
        <v>2258</v>
      </c>
      <c r="B542" s="2" t="s">
        <v>1630</v>
      </c>
      <c r="C542" s="2" t="s">
        <v>2259</v>
      </c>
      <c r="D542" s="2" t="s">
        <v>2260</v>
      </c>
      <c r="E542" s="2" t="s">
        <v>2010</v>
      </c>
      <c r="F542" s="2" t="s">
        <v>2261</v>
      </c>
    </row>
    <row r="543" ht="36.0" customHeight="1">
      <c r="A543" s="3" t="s">
        <v>2262</v>
      </c>
      <c r="B543" s="3" t="s">
        <v>1630</v>
      </c>
      <c r="C543" s="3" t="s">
        <v>2263</v>
      </c>
      <c r="D543" s="3" t="s">
        <v>2264</v>
      </c>
      <c r="E543" s="3" t="s">
        <v>2010</v>
      </c>
      <c r="F543" s="3" t="s">
        <v>2265</v>
      </c>
    </row>
    <row r="544" ht="36.0" customHeight="1">
      <c r="A544" s="2" t="s">
        <v>2266</v>
      </c>
      <c r="B544" s="2" t="s">
        <v>1630</v>
      </c>
      <c r="C544" s="2" t="s">
        <v>2267</v>
      </c>
      <c r="D544" s="2" t="s">
        <v>2268</v>
      </c>
      <c r="E544" s="2" t="s">
        <v>2020</v>
      </c>
      <c r="F544" s="2" t="s">
        <v>2269</v>
      </c>
    </row>
    <row r="545" ht="36.0" customHeight="1">
      <c r="A545" s="3" t="s">
        <v>2270</v>
      </c>
      <c r="B545" s="3" t="s">
        <v>1630</v>
      </c>
      <c r="C545" s="3" t="s">
        <v>2271</v>
      </c>
      <c r="D545" s="3" t="s">
        <v>2272</v>
      </c>
      <c r="E545" s="3" t="s">
        <v>2020</v>
      </c>
      <c r="F545" s="3" t="s">
        <v>2273</v>
      </c>
    </row>
    <row r="546" ht="36.0" customHeight="1">
      <c r="A546" s="2" t="s">
        <v>2274</v>
      </c>
      <c r="B546" s="2" t="s">
        <v>1630</v>
      </c>
      <c r="C546" s="2" t="s">
        <v>2275</v>
      </c>
      <c r="D546" s="2" t="s">
        <v>2276</v>
      </c>
      <c r="E546" s="2" t="s">
        <v>2020</v>
      </c>
      <c r="F546" s="2" t="s">
        <v>2277</v>
      </c>
    </row>
    <row r="547" ht="36.0" customHeight="1">
      <c r="A547" s="3" t="s">
        <v>2278</v>
      </c>
      <c r="B547" s="3" t="s">
        <v>1630</v>
      </c>
      <c r="C547" s="3" t="s">
        <v>2279</v>
      </c>
      <c r="D547" s="3" t="s">
        <v>2280</v>
      </c>
      <c r="E547" s="3" t="s">
        <v>323</v>
      </c>
      <c r="F547" s="3" t="s">
        <v>2281</v>
      </c>
    </row>
    <row r="548" ht="36.0" customHeight="1">
      <c r="A548" s="2" t="s">
        <v>2282</v>
      </c>
      <c r="B548" s="2" t="s">
        <v>1630</v>
      </c>
      <c r="C548" s="2" t="s">
        <v>2283</v>
      </c>
      <c r="D548" s="2" t="s">
        <v>2284</v>
      </c>
      <c r="E548" s="2" t="s">
        <v>2020</v>
      </c>
      <c r="F548" s="2" t="s">
        <v>2285</v>
      </c>
    </row>
    <row r="549" ht="36.0" customHeight="1">
      <c r="A549" s="3" t="s">
        <v>2286</v>
      </c>
      <c r="B549" s="3" t="s">
        <v>1630</v>
      </c>
      <c r="C549" s="3" t="s">
        <v>2287</v>
      </c>
      <c r="D549" s="3" t="s">
        <v>2288</v>
      </c>
      <c r="E549" s="3" t="s">
        <v>2020</v>
      </c>
      <c r="F549" s="3" t="s">
        <v>2289</v>
      </c>
    </row>
    <row r="550" ht="36.0" customHeight="1">
      <c r="A550" s="2" t="s">
        <v>2290</v>
      </c>
      <c r="B550" s="2" t="s">
        <v>1630</v>
      </c>
      <c r="C550" s="2" t="s">
        <v>2291</v>
      </c>
      <c r="D550" s="2" t="s">
        <v>2292</v>
      </c>
      <c r="E550" s="2" t="s">
        <v>2010</v>
      </c>
      <c r="F550" s="2" t="s">
        <v>2293</v>
      </c>
    </row>
    <row r="551" ht="36.0" customHeight="1">
      <c r="A551" s="3" t="s">
        <v>2294</v>
      </c>
      <c r="B551" s="3" t="s">
        <v>1630</v>
      </c>
      <c r="C551" s="3" t="s">
        <v>2295</v>
      </c>
      <c r="D551" s="3" t="s">
        <v>2296</v>
      </c>
      <c r="E551" s="3" t="s">
        <v>2297</v>
      </c>
      <c r="F551" s="3" t="s">
        <v>2298</v>
      </c>
    </row>
    <row r="552" ht="36.0" customHeight="1">
      <c r="A552" s="2" t="s">
        <v>2299</v>
      </c>
      <c r="B552" s="2" t="s">
        <v>1630</v>
      </c>
      <c r="C552" s="2" t="s">
        <v>2300</v>
      </c>
      <c r="D552" s="2" t="s">
        <v>2301</v>
      </c>
      <c r="E552" s="2" t="s">
        <v>1756</v>
      </c>
      <c r="F552" s="2" t="s">
        <v>2302</v>
      </c>
    </row>
    <row r="553" ht="36.0" customHeight="1">
      <c r="A553" s="3" t="s">
        <v>2303</v>
      </c>
      <c r="B553" s="3" t="s">
        <v>1630</v>
      </c>
      <c r="C553" s="3" t="s">
        <v>2304</v>
      </c>
      <c r="D553" s="3" t="s">
        <v>2305</v>
      </c>
      <c r="E553" s="3" t="s">
        <v>10</v>
      </c>
      <c r="F553" s="3" t="s">
        <v>2306</v>
      </c>
    </row>
    <row r="554" ht="36.0" customHeight="1">
      <c r="A554" s="2" t="s">
        <v>2307</v>
      </c>
      <c r="B554" s="2" t="s">
        <v>1630</v>
      </c>
      <c r="C554" s="2" t="s">
        <v>2308</v>
      </c>
      <c r="D554" s="2" t="s">
        <v>2309</v>
      </c>
      <c r="E554" s="2" t="s">
        <v>10</v>
      </c>
      <c r="F554" s="2" t="s">
        <v>2310</v>
      </c>
    </row>
    <row r="555" ht="36.0" customHeight="1">
      <c r="A555" s="3" t="s">
        <v>2311</v>
      </c>
      <c r="B555" s="3" t="s">
        <v>1630</v>
      </c>
      <c r="C555" s="3" t="s">
        <v>2312</v>
      </c>
      <c r="D555" s="3" t="s">
        <v>2313</v>
      </c>
      <c r="E555" s="3" t="s">
        <v>10</v>
      </c>
      <c r="F555" s="3" t="s">
        <v>2314</v>
      </c>
    </row>
    <row r="556" ht="36.0" customHeight="1">
      <c r="A556" s="2" t="s">
        <v>2315</v>
      </c>
      <c r="B556" s="2" t="s">
        <v>1630</v>
      </c>
      <c r="C556" s="2" t="s">
        <v>2316</v>
      </c>
      <c r="D556" s="2" t="s">
        <v>2317</v>
      </c>
      <c r="E556" s="2" t="s">
        <v>19</v>
      </c>
      <c r="F556" s="2" t="s">
        <v>2318</v>
      </c>
    </row>
    <row r="557" ht="36.0" customHeight="1">
      <c r="A557" s="3" t="s">
        <v>2319</v>
      </c>
      <c r="B557" s="3" t="s">
        <v>1630</v>
      </c>
      <c r="C557" s="3" t="s">
        <v>2320</v>
      </c>
      <c r="D557" s="3" t="s">
        <v>2321</v>
      </c>
      <c r="E557" s="3" t="s">
        <v>42</v>
      </c>
      <c r="F557" s="3" t="s">
        <v>2322</v>
      </c>
    </row>
    <row r="558" ht="36.0" customHeight="1">
      <c r="A558" s="2" t="s">
        <v>2323</v>
      </c>
      <c r="B558" s="2" t="s">
        <v>1630</v>
      </c>
      <c r="C558" s="2" t="s">
        <v>2324</v>
      </c>
      <c r="D558" s="2" t="s">
        <v>2325</v>
      </c>
      <c r="E558" s="2" t="s">
        <v>1655</v>
      </c>
      <c r="F558" s="2" t="s">
        <v>2326</v>
      </c>
    </row>
    <row r="559" ht="36.0" customHeight="1">
      <c r="A559" s="3" t="s">
        <v>2327</v>
      </c>
      <c r="B559" s="3" t="s">
        <v>1630</v>
      </c>
      <c r="C559" s="3" t="s">
        <v>2328</v>
      </c>
      <c r="D559" s="3" t="s">
        <v>2329</v>
      </c>
      <c r="E559" s="3" t="s">
        <v>2330</v>
      </c>
      <c r="F559" s="3" t="s">
        <v>2331</v>
      </c>
    </row>
    <row r="560" ht="36.0" customHeight="1">
      <c r="A560" s="2" t="s">
        <v>2332</v>
      </c>
      <c r="B560" s="2" t="s">
        <v>1630</v>
      </c>
      <c r="C560" s="2" t="s">
        <v>2333</v>
      </c>
      <c r="D560" s="2" t="s">
        <v>2334</v>
      </c>
      <c r="E560" s="2" t="s">
        <v>284</v>
      </c>
      <c r="F560" s="2" t="s">
        <v>2335</v>
      </c>
    </row>
    <row r="561" ht="36.0" customHeight="1">
      <c r="A561" s="3" t="s">
        <v>2336</v>
      </c>
      <c r="B561" s="3" t="s">
        <v>1630</v>
      </c>
      <c r="C561" s="3" t="s">
        <v>2337</v>
      </c>
      <c r="D561" s="3" t="s">
        <v>2338</v>
      </c>
      <c r="E561" s="3" t="s">
        <v>284</v>
      </c>
      <c r="F561" s="3" t="s">
        <v>2339</v>
      </c>
    </row>
    <row r="562" ht="36.0" customHeight="1">
      <c r="A562" s="2" t="s">
        <v>2340</v>
      </c>
      <c r="B562" s="2" t="s">
        <v>1630</v>
      </c>
      <c r="C562" s="2" t="s">
        <v>2341</v>
      </c>
      <c r="D562" s="2" t="s">
        <v>2342</v>
      </c>
      <c r="E562" s="2" t="s">
        <v>1250</v>
      </c>
      <c r="F562" s="2" t="s">
        <v>2343</v>
      </c>
    </row>
    <row r="563" ht="36.0" customHeight="1">
      <c r="A563" s="3" t="s">
        <v>2344</v>
      </c>
      <c r="B563" s="3" t="s">
        <v>1630</v>
      </c>
      <c r="C563" s="3" t="s">
        <v>2345</v>
      </c>
      <c r="D563" s="3" t="s">
        <v>2346</v>
      </c>
      <c r="E563" s="3" t="s">
        <v>2208</v>
      </c>
      <c r="F563" s="3" t="s">
        <v>2347</v>
      </c>
    </row>
    <row r="564" ht="36.0" customHeight="1">
      <c r="A564" s="2" t="s">
        <v>2348</v>
      </c>
      <c r="B564" s="2" t="s">
        <v>1630</v>
      </c>
      <c r="C564" s="2" t="s">
        <v>2349</v>
      </c>
      <c r="D564" s="2" t="s">
        <v>2350</v>
      </c>
      <c r="E564" s="2" t="s">
        <v>2010</v>
      </c>
      <c r="F564" s="2" t="s">
        <v>2351</v>
      </c>
    </row>
    <row r="565" ht="36.0" customHeight="1">
      <c r="A565" s="3" t="s">
        <v>2352</v>
      </c>
      <c r="B565" s="3" t="s">
        <v>1630</v>
      </c>
      <c r="C565" s="3" t="s">
        <v>2353</v>
      </c>
      <c r="D565" s="3" t="s">
        <v>2354</v>
      </c>
      <c r="E565" s="3" t="s">
        <v>2355</v>
      </c>
      <c r="F565" s="3" t="s">
        <v>2356</v>
      </c>
    </row>
    <row r="566" ht="36.0" customHeight="1">
      <c r="A566" s="2" t="s">
        <v>2357</v>
      </c>
      <c r="B566" s="2" t="s">
        <v>1630</v>
      </c>
      <c r="C566" s="2" t="s">
        <v>2358</v>
      </c>
      <c r="D566" s="2" t="s">
        <v>2359</v>
      </c>
      <c r="E566" s="2" t="s">
        <v>1756</v>
      </c>
      <c r="F566" s="2" t="s">
        <v>2360</v>
      </c>
    </row>
    <row r="567" ht="36.0" customHeight="1">
      <c r="A567" s="3" t="s">
        <v>2361</v>
      </c>
      <c r="B567" s="3" t="s">
        <v>1630</v>
      </c>
      <c r="C567" s="3" t="s">
        <v>2362</v>
      </c>
      <c r="D567" s="3" t="s">
        <v>2363</v>
      </c>
      <c r="E567" s="3" t="s">
        <v>1646</v>
      </c>
      <c r="F567" s="3" t="s">
        <v>2364</v>
      </c>
    </row>
    <row r="568" ht="36.0" customHeight="1">
      <c r="A568" s="2" t="s">
        <v>2365</v>
      </c>
      <c r="B568" s="2" t="s">
        <v>1630</v>
      </c>
      <c r="C568" s="2" t="s">
        <v>2366</v>
      </c>
      <c r="D568" s="2" t="s">
        <v>2367</v>
      </c>
      <c r="E568" s="2" t="s">
        <v>978</v>
      </c>
      <c r="F568" s="2" t="s">
        <v>2368</v>
      </c>
    </row>
    <row r="569" ht="36.0" customHeight="1">
      <c r="A569" s="3" t="s">
        <v>2369</v>
      </c>
      <c r="B569" s="3" t="s">
        <v>1630</v>
      </c>
      <c r="C569" s="3" t="s">
        <v>2370</v>
      </c>
      <c r="D569" s="3" t="s">
        <v>2371</v>
      </c>
      <c r="E569" s="3" t="s">
        <v>2143</v>
      </c>
      <c r="F569" s="3" t="s">
        <v>2372</v>
      </c>
    </row>
    <row r="570" ht="36.0" customHeight="1">
      <c r="A570" s="2" t="s">
        <v>2373</v>
      </c>
      <c r="B570" s="2" t="s">
        <v>1630</v>
      </c>
      <c r="C570" s="2" t="s">
        <v>2374</v>
      </c>
      <c r="D570" s="2" t="s">
        <v>2375</v>
      </c>
      <c r="E570" s="2" t="s">
        <v>62</v>
      </c>
      <c r="F570" s="2" t="s">
        <v>2376</v>
      </c>
    </row>
    <row r="571" ht="36.0" customHeight="1">
      <c r="A571" s="3" t="s">
        <v>2377</v>
      </c>
      <c r="B571" s="3" t="s">
        <v>1630</v>
      </c>
      <c r="C571" s="3" t="s">
        <v>2378</v>
      </c>
      <c r="D571" s="3" t="s">
        <v>2379</v>
      </c>
      <c r="E571" s="3" t="s">
        <v>62</v>
      </c>
      <c r="F571" s="3" t="s">
        <v>2380</v>
      </c>
    </row>
    <row r="572" ht="36.0" customHeight="1">
      <c r="A572" s="2" t="s">
        <v>2381</v>
      </c>
      <c r="B572" s="2" t="s">
        <v>1630</v>
      </c>
      <c r="C572" s="2" t="s">
        <v>2382</v>
      </c>
      <c r="D572" s="2" t="s">
        <v>2383</v>
      </c>
      <c r="E572" s="2" t="s">
        <v>1655</v>
      </c>
      <c r="F572" s="2" t="s">
        <v>2384</v>
      </c>
    </row>
    <row r="573" ht="36.0" customHeight="1">
      <c r="A573" s="3" t="s">
        <v>2385</v>
      </c>
      <c r="B573" s="3" t="s">
        <v>1630</v>
      </c>
      <c r="C573" s="3" t="s">
        <v>2386</v>
      </c>
      <c r="D573" s="3" t="s">
        <v>2387</v>
      </c>
      <c r="E573" s="3" t="s">
        <v>608</v>
      </c>
      <c r="F573" s="3" t="s">
        <v>2388</v>
      </c>
    </row>
    <row r="574" ht="36.0" customHeight="1">
      <c r="A574" s="2" t="s">
        <v>2389</v>
      </c>
      <c r="B574" s="2" t="s">
        <v>1630</v>
      </c>
      <c r="C574" s="2" t="s">
        <v>2390</v>
      </c>
      <c r="D574" s="2" t="s">
        <v>2391</v>
      </c>
      <c r="E574" s="2" t="s">
        <v>86</v>
      </c>
      <c r="F574" s="2" t="s">
        <v>2392</v>
      </c>
    </row>
    <row r="575" ht="36.0" customHeight="1">
      <c r="A575" s="3" t="s">
        <v>2393</v>
      </c>
      <c r="B575" s="3" t="s">
        <v>1630</v>
      </c>
      <c r="C575" s="3" t="s">
        <v>2394</v>
      </c>
      <c r="D575" s="3" t="s">
        <v>2395</v>
      </c>
      <c r="E575" s="3" t="s">
        <v>86</v>
      </c>
      <c r="F575" s="3" t="s">
        <v>2396</v>
      </c>
    </row>
    <row r="576" ht="36.0" customHeight="1">
      <c r="A576" s="2" t="s">
        <v>2397</v>
      </c>
      <c r="B576" s="2" t="s">
        <v>1630</v>
      </c>
      <c r="C576" s="2" t="s">
        <v>2398</v>
      </c>
      <c r="D576" s="2" t="s">
        <v>2399</v>
      </c>
      <c r="E576" s="2" t="s">
        <v>86</v>
      </c>
      <c r="F576" s="2" t="s">
        <v>2400</v>
      </c>
    </row>
    <row r="577" ht="36.0" customHeight="1">
      <c r="A577" s="3" t="s">
        <v>2401</v>
      </c>
      <c r="B577" s="3" t="s">
        <v>1630</v>
      </c>
      <c r="C577" s="3" t="s">
        <v>2402</v>
      </c>
      <c r="D577" s="3" t="s">
        <v>2403</v>
      </c>
      <c r="E577" s="3" t="s">
        <v>86</v>
      </c>
      <c r="F577" s="3" t="s">
        <v>2404</v>
      </c>
    </row>
    <row r="578" ht="36.0" customHeight="1">
      <c r="A578" s="2" t="s">
        <v>2405</v>
      </c>
      <c r="B578" s="2" t="s">
        <v>1630</v>
      </c>
      <c r="C578" s="2" t="s">
        <v>2406</v>
      </c>
      <c r="D578" s="2" t="s">
        <v>2407</v>
      </c>
      <c r="E578" s="2" t="s">
        <v>2408</v>
      </c>
      <c r="F578" s="2" t="s">
        <v>2409</v>
      </c>
    </row>
    <row r="579" ht="36.0" customHeight="1">
      <c r="A579" s="3" t="s">
        <v>2410</v>
      </c>
      <c r="B579" s="3" t="s">
        <v>1630</v>
      </c>
      <c r="C579" s="3" t="s">
        <v>2411</v>
      </c>
      <c r="D579" s="3" t="s">
        <v>2412</v>
      </c>
      <c r="E579" s="3" t="s">
        <v>608</v>
      </c>
      <c r="F579" s="3" t="s">
        <v>2413</v>
      </c>
    </row>
    <row r="580" ht="36.0" customHeight="1">
      <c r="A580" s="2" t="s">
        <v>2414</v>
      </c>
      <c r="B580" s="2" t="s">
        <v>1630</v>
      </c>
      <c r="C580" s="2" t="s">
        <v>2415</v>
      </c>
      <c r="D580" s="2" t="s">
        <v>2416</v>
      </c>
      <c r="E580" s="2" t="s">
        <v>254</v>
      </c>
      <c r="F580" s="2" t="s">
        <v>2417</v>
      </c>
    </row>
    <row r="581" ht="36.0" customHeight="1">
      <c r="A581" s="3" t="s">
        <v>2418</v>
      </c>
      <c r="B581" s="3" t="s">
        <v>1630</v>
      </c>
      <c r="C581" s="3" t="s">
        <v>2419</v>
      </c>
      <c r="D581" s="3" t="s">
        <v>2420</v>
      </c>
      <c r="E581" s="3" t="s">
        <v>91</v>
      </c>
      <c r="F581" s="3" t="s">
        <v>2421</v>
      </c>
    </row>
    <row r="582" ht="36.0" customHeight="1">
      <c r="A582" s="2" t="s">
        <v>2422</v>
      </c>
      <c r="B582" s="2" t="s">
        <v>1630</v>
      </c>
      <c r="C582" s="2" t="s">
        <v>2423</v>
      </c>
      <c r="D582" s="2" t="s">
        <v>2424</v>
      </c>
      <c r="E582" s="2" t="s">
        <v>267</v>
      </c>
      <c r="F582" s="2" t="s">
        <v>2425</v>
      </c>
    </row>
    <row r="583" ht="36.0" customHeight="1">
      <c r="A583" s="3" t="s">
        <v>2426</v>
      </c>
      <c r="B583" s="3" t="s">
        <v>1630</v>
      </c>
      <c r="C583" s="3" t="s">
        <v>2427</v>
      </c>
      <c r="D583" s="3" t="s">
        <v>2428</v>
      </c>
      <c r="E583" s="3" t="s">
        <v>267</v>
      </c>
      <c r="F583" s="3" t="s">
        <v>2429</v>
      </c>
    </row>
    <row r="584" ht="36.0" customHeight="1">
      <c r="A584" s="2" t="s">
        <v>2430</v>
      </c>
      <c r="B584" s="2" t="s">
        <v>1630</v>
      </c>
      <c r="C584" s="2" t="s">
        <v>2431</v>
      </c>
      <c r="D584" s="2" t="s">
        <v>2432</v>
      </c>
      <c r="E584" s="2" t="s">
        <v>229</v>
      </c>
      <c r="F584" s="2" t="s">
        <v>2433</v>
      </c>
    </row>
    <row r="585" ht="36.0" customHeight="1">
      <c r="A585" s="3" t="s">
        <v>2434</v>
      </c>
      <c r="B585" s="3" t="s">
        <v>1630</v>
      </c>
      <c r="C585" s="3" t="s">
        <v>2435</v>
      </c>
      <c r="D585" s="3" t="s">
        <v>2436</v>
      </c>
      <c r="E585" s="3" t="s">
        <v>229</v>
      </c>
      <c r="F585" s="3" t="s">
        <v>2437</v>
      </c>
    </row>
    <row r="586" ht="36.0" customHeight="1">
      <c r="A586" s="2" t="s">
        <v>2438</v>
      </c>
      <c r="B586" s="2" t="s">
        <v>1630</v>
      </c>
      <c r="C586" s="2" t="s">
        <v>2439</v>
      </c>
      <c r="D586" s="2" t="s">
        <v>2440</v>
      </c>
      <c r="E586" s="2" t="s">
        <v>229</v>
      </c>
      <c r="F586" s="2" t="s">
        <v>2441</v>
      </c>
    </row>
    <row r="587" ht="36.0" customHeight="1">
      <c r="A587" s="3" t="s">
        <v>2442</v>
      </c>
      <c r="B587" s="3" t="s">
        <v>1630</v>
      </c>
      <c r="C587" s="3" t="s">
        <v>2443</v>
      </c>
      <c r="D587" s="3" t="s">
        <v>2444</v>
      </c>
      <c r="E587" s="3" t="s">
        <v>229</v>
      </c>
      <c r="F587" s="3" t="s">
        <v>2445</v>
      </c>
    </row>
    <row r="588" ht="36.0" customHeight="1">
      <c r="A588" s="2" t="s">
        <v>2446</v>
      </c>
      <c r="B588" s="2" t="s">
        <v>1630</v>
      </c>
      <c r="C588" s="2" t="s">
        <v>2447</v>
      </c>
      <c r="D588" s="2" t="s">
        <v>2448</v>
      </c>
      <c r="E588" s="2" t="s">
        <v>2355</v>
      </c>
      <c r="F588" s="2" t="s">
        <v>2449</v>
      </c>
    </row>
    <row r="589" ht="36.0" customHeight="1">
      <c r="A589" s="3" t="s">
        <v>2450</v>
      </c>
      <c r="B589" s="3" t="s">
        <v>1630</v>
      </c>
      <c r="C589" s="3" t="s">
        <v>2451</v>
      </c>
      <c r="D589" s="3" t="s">
        <v>2452</v>
      </c>
      <c r="E589" s="3" t="s">
        <v>2355</v>
      </c>
      <c r="F589" s="3" t="s">
        <v>2453</v>
      </c>
    </row>
    <row r="590" ht="36.0" customHeight="1">
      <c r="A590" s="2" t="s">
        <v>2454</v>
      </c>
      <c r="B590" s="2" t="s">
        <v>1630</v>
      </c>
      <c r="C590" s="2" t="s">
        <v>2455</v>
      </c>
      <c r="D590" s="2" t="s">
        <v>2456</v>
      </c>
      <c r="E590" s="2" t="s">
        <v>2355</v>
      </c>
      <c r="F590" s="2" t="s">
        <v>2457</v>
      </c>
    </row>
    <row r="591" ht="36.0" customHeight="1">
      <c r="A591" s="3" t="s">
        <v>2458</v>
      </c>
      <c r="B591" s="3" t="s">
        <v>1630</v>
      </c>
      <c r="C591" s="3" t="s">
        <v>2459</v>
      </c>
      <c r="D591" s="3" t="s">
        <v>2460</v>
      </c>
      <c r="E591" s="3" t="s">
        <v>2208</v>
      </c>
      <c r="F591" s="3" t="s">
        <v>2461</v>
      </c>
    </row>
    <row r="592" ht="36.0" customHeight="1">
      <c r="A592" s="2" t="s">
        <v>2462</v>
      </c>
      <c r="B592" s="2" t="s">
        <v>1630</v>
      </c>
      <c r="C592" s="2" t="s">
        <v>2463</v>
      </c>
      <c r="D592" s="2" t="s">
        <v>2464</v>
      </c>
      <c r="E592" s="2" t="s">
        <v>2208</v>
      </c>
      <c r="F592" s="2" t="s">
        <v>2465</v>
      </c>
    </row>
    <row r="593" ht="36.0" customHeight="1">
      <c r="A593" s="3" t="s">
        <v>2466</v>
      </c>
      <c r="B593" s="3" t="s">
        <v>1630</v>
      </c>
      <c r="C593" s="3" t="s">
        <v>2467</v>
      </c>
      <c r="D593" s="3" t="s">
        <v>2468</v>
      </c>
      <c r="E593" s="3" t="s">
        <v>2208</v>
      </c>
      <c r="F593" s="3" t="s">
        <v>2469</v>
      </c>
    </row>
    <row r="594" ht="36.0" customHeight="1">
      <c r="A594" s="2" t="s">
        <v>2470</v>
      </c>
      <c r="B594" s="2" t="s">
        <v>1630</v>
      </c>
      <c r="C594" s="2" t="s">
        <v>2471</v>
      </c>
      <c r="D594" s="2" t="s">
        <v>2472</v>
      </c>
      <c r="E594" s="2" t="s">
        <v>96</v>
      </c>
      <c r="F594" s="2" t="s">
        <v>2473</v>
      </c>
    </row>
    <row r="595" ht="36.0" customHeight="1">
      <c r="A595" s="3" t="s">
        <v>2474</v>
      </c>
      <c r="B595" s="3" t="s">
        <v>1630</v>
      </c>
      <c r="C595" s="3" t="s">
        <v>2475</v>
      </c>
      <c r="D595" s="3" t="s">
        <v>2476</v>
      </c>
      <c r="E595" s="3" t="s">
        <v>96</v>
      </c>
      <c r="F595" s="3" t="s">
        <v>2477</v>
      </c>
    </row>
    <row r="596" ht="36.0" customHeight="1">
      <c r="A596" s="2" t="s">
        <v>2478</v>
      </c>
      <c r="B596" s="2" t="s">
        <v>1630</v>
      </c>
      <c r="C596" s="2" t="s">
        <v>2479</v>
      </c>
      <c r="D596" s="2" t="s">
        <v>2480</v>
      </c>
      <c r="E596" s="2" t="s">
        <v>2355</v>
      </c>
      <c r="F596" s="2" t="s">
        <v>2481</v>
      </c>
    </row>
    <row r="597" ht="36.0" customHeight="1">
      <c r="A597" s="3" t="s">
        <v>2482</v>
      </c>
      <c r="B597" s="3" t="s">
        <v>1630</v>
      </c>
      <c r="C597" s="3" t="s">
        <v>2483</v>
      </c>
      <c r="D597" s="3" t="s">
        <v>2484</v>
      </c>
      <c r="E597" s="3" t="s">
        <v>2355</v>
      </c>
      <c r="F597" s="3" t="s">
        <v>2485</v>
      </c>
    </row>
    <row r="598" ht="36.0" customHeight="1">
      <c r="A598" s="2" t="s">
        <v>2486</v>
      </c>
      <c r="B598" s="2" t="s">
        <v>1630</v>
      </c>
      <c r="C598" s="2" t="s">
        <v>2487</v>
      </c>
      <c r="D598" s="2" t="s">
        <v>2488</v>
      </c>
      <c r="E598" s="2" t="s">
        <v>695</v>
      </c>
      <c r="F598" s="2" t="s">
        <v>2489</v>
      </c>
    </row>
    <row r="599" ht="36.0" customHeight="1">
      <c r="A599" s="3" t="s">
        <v>2490</v>
      </c>
      <c r="B599" s="3" t="s">
        <v>1630</v>
      </c>
      <c r="C599" s="3" t="s">
        <v>2491</v>
      </c>
      <c r="D599" s="3" t="s">
        <v>2492</v>
      </c>
      <c r="E599" s="3" t="s">
        <v>2493</v>
      </c>
      <c r="F599" s="3" t="s">
        <v>2494</v>
      </c>
    </row>
    <row r="600" ht="36.0" customHeight="1">
      <c r="A600" s="2" t="s">
        <v>2495</v>
      </c>
      <c r="B600" s="2" t="s">
        <v>1630</v>
      </c>
      <c r="C600" s="2" t="s">
        <v>2496</v>
      </c>
      <c r="D600" s="2" t="s">
        <v>2497</v>
      </c>
      <c r="E600" s="2" t="s">
        <v>1250</v>
      </c>
      <c r="F600" s="2" t="s">
        <v>2498</v>
      </c>
    </row>
    <row r="601" ht="36.0" customHeight="1">
      <c r="A601" s="3" t="s">
        <v>2499</v>
      </c>
      <c r="B601" s="3" t="s">
        <v>1630</v>
      </c>
      <c r="C601" s="3" t="s">
        <v>2500</v>
      </c>
      <c r="D601" s="3" t="s">
        <v>2501</v>
      </c>
      <c r="E601" s="3" t="s">
        <v>2355</v>
      </c>
      <c r="F601" s="3" t="s">
        <v>2502</v>
      </c>
    </row>
    <row r="602" ht="36.0" customHeight="1">
      <c r="A602" s="2" t="s">
        <v>2503</v>
      </c>
      <c r="B602" s="2" t="s">
        <v>1630</v>
      </c>
      <c r="C602" s="2" t="s">
        <v>2504</v>
      </c>
      <c r="D602" s="2" t="s">
        <v>2505</v>
      </c>
      <c r="E602" s="2" t="s">
        <v>323</v>
      </c>
      <c r="F602" s="2" t="s">
        <v>2506</v>
      </c>
    </row>
    <row r="603" ht="36.0" customHeight="1">
      <c r="A603" s="3" t="s">
        <v>2507</v>
      </c>
      <c r="B603" s="3" t="s">
        <v>1630</v>
      </c>
      <c r="C603" s="3" t="s">
        <v>2508</v>
      </c>
      <c r="D603" s="3" t="s">
        <v>2509</v>
      </c>
      <c r="E603" s="3" t="s">
        <v>983</v>
      </c>
      <c r="F603" s="3" t="s">
        <v>2510</v>
      </c>
    </row>
    <row r="604" ht="36.0" customHeight="1">
      <c r="A604" s="2" t="s">
        <v>2511</v>
      </c>
      <c r="B604" s="2" t="s">
        <v>1630</v>
      </c>
      <c r="C604" s="2" t="s">
        <v>2512</v>
      </c>
      <c r="D604" s="2" t="s">
        <v>2513</v>
      </c>
      <c r="E604" s="2" t="s">
        <v>2514</v>
      </c>
      <c r="F604" s="2" t="s">
        <v>2515</v>
      </c>
    </row>
    <row r="605" ht="36.0" customHeight="1">
      <c r="A605" s="3" t="s">
        <v>2516</v>
      </c>
      <c r="B605" s="3" t="s">
        <v>1630</v>
      </c>
      <c r="C605" s="3" t="s">
        <v>2517</v>
      </c>
      <c r="D605" s="3" t="s">
        <v>2518</v>
      </c>
      <c r="E605" s="3" t="s">
        <v>2010</v>
      </c>
      <c r="F605" s="3" t="s">
        <v>2519</v>
      </c>
    </row>
    <row r="606" ht="36.0" customHeight="1">
      <c r="A606" s="2" t="s">
        <v>2520</v>
      </c>
      <c r="B606" s="2" t="s">
        <v>1630</v>
      </c>
      <c r="C606" s="2" t="s">
        <v>2521</v>
      </c>
      <c r="D606" s="2" t="s">
        <v>2522</v>
      </c>
      <c r="E606" s="2" t="s">
        <v>983</v>
      </c>
      <c r="F606" s="2" t="s">
        <v>2523</v>
      </c>
    </row>
    <row r="607" ht="36.0" customHeight="1">
      <c r="A607" s="3" t="s">
        <v>2524</v>
      </c>
      <c r="B607" s="3" t="s">
        <v>1630</v>
      </c>
      <c r="C607" s="3" t="s">
        <v>2525</v>
      </c>
      <c r="D607" s="3" t="s">
        <v>2526</v>
      </c>
      <c r="E607" s="3" t="s">
        <v>983</v>
      </c>
      <c r="F607" s="3" t="s">
        <v>2527</v>
      </c>
    </row>
    <row r="608" ht="36.0" customHeight="1">
      <c r="A608" s="2" t="s">
        <v>2528</v>
      </c>
      <c r="B608" s="2" t="s">
        <v>1630</v>
      </c>
      <c r="C608" s="2" t="s">
        <v>2529</v>
      </c>
      <c r="D608" s="2" t="s">
        <v>2530</v>
      </c>
      <c r="E608" s="2" t="s">
        <v>345</v>
      </c>
      <c r="F608" s="2" t="s">
        <v>2531</v>
      </c>
    </row>
    <row r="609" ht="36.0" customHeight="1">
      <c r="A609" s="3" t="s">
        <v>2532</v>
      </c>
      <c r="B609" s="3" t="s">
        <v>1630</v>
      </c>
      <c r="C609" s="3" t="s">
        <v>2533</v>
      </c>
      <c r="D609" s="3" t="s">
        <v>2534</v>
      </c>
      <c r="E609" s="3" t="s">
        <v>345</v>
      </c>
      <c r="F609" s="3" t="s">
        <v>2535</v>
      </c>
    </row>
    <row r="610" ht="36.0" customHeight="1">
      <c r="A610" s="2" t="s">
        <v>2536</v>
      </c>
      <c r="B610" s="2" t="s">
        <v>1630</v>
      </c>
      <c r="C610" s="2" t="s">
        <v>2537</v>
      </c>
      <c r="D610" s="2" t="s">
        <v>2538</v>
      </c>
      <c r="E610" s="2" t="s">
        <v>318</v>
      </c>
      <c r="F610" s="2" t="s">
        <v>2539</v>
      </c>
    </row>
    <row r="611" ht="36.0" customHeight="1">
      <c r="A611" s="3" t="s">
        <v>2540</v>
      </c>
      <c r="B611" s="3" t="s">
        <v>1630</v>
      </c>
      <c r="C611" s="3" t="s">
        <v>2541</v>
      </c>
      <c r="D611" s="3" t="s">
        <v>2542</v>
      </c>
      <c r="E611" s="3" t="s">
        <v>267</v>
      </c>
      <c r="F611" s="3" t="s">
        <v>2543</v>
      </c>
    </row>
    <row r="612" ht="36.0" customHeight="1">
      <c r="A612" s="2" t="s">
        <v>2544</v>
      </c>
      <c r="B612" s="2" t="s">
        <v>1630</v>
      </c>
      <c r="C612" s="2" t="s">
        <v>2545</v>
      </c>
      <c r="D612" s="2" t="s">
        <v>2546</v>
      </c>
      <c r="E612" s="2" t="s">
        <v>430</v>
      </c>
      <c r="F612" s="2" t="s">
        <v>2547</v>
      </c>
    </row>
    <row r="613" ht="36.0" customHeight="1">
      <c r="A613" s="3" t="s">
        <v>2548</v>
      </c>
      <c r="B613" s="3" t="s">
        <v>1630</v>
      </c>
      <c r="C613" s="3" t="s">
        <v>2549</v>
      </c>
      <c r="D613" s="3" t="s">
        <v>2550</v>
      </c>
      <c r="E613" s="3" t="s">
        <v>10</v>
      </c>
      <c r="F613" s="3" t="s">
        <v>2551</v>
      </c>
    </row>
    <row r="614" ht="36.0" customHeight="1">
      <c r="A614" s="2" t="s">
        <v>2552</v>
      </c>
      <c r="B614" s="2" t="s">
        <v>1630</v>
      </c>
      <c r="C614" s="2" t="s">
        <v>2553</v>
      </c>
      <c r="D614" s="2" t="s">
        <v>2554</v>
      </c>
      <c r="E614" s="2" t="s">
        <v>10</v>
      </c>
      <c r="F614" s="2" t="s">
        <v>2555</v>
      </c>
    </row>
    <row r="615" ht="36.0" customHeight="1">
      <c r="A615" s="3" t="s">
        <v>2556</v>
      </c>
      <c r="B615" s="3" t="s">
        <v>1630</v>
      </c>
      <c r="C615" s="3" t="s">
        <v>2557</v>
      </c>
      <c r="D615" s="3" t="s">
        <v>2558</v>
      </c>
      <c r="E615" s="3" t="s">
        <v>10</v>
      </c>
      <c r="F615" s="3" t="s">
        <v>2559</v>
      </c>
    </row>
    <row r="616" ht="36.0" customHeight="1">
      <c r="A616" s="2" t="s">
        <v>2560</v>
      </c>
      <c r="B616" s="2" t="s">
        <v>1630</v>
      </c>
      <c r="C616" s="2" t="s">
        <v>2561</v>
      </c>
      <c r="D616" s="2" t="s">
        <v>2562</v>
      </c>
      <c r="E616" s="2" t="s">
        <v>10</v>
      </c>
      <c r="F616" s="2" t="s">
        <v>2563</v>
      </c>
    </row>
    <row r="617" ht="36.0" customHeight="1">
      <c r="A617" s="3" t="s">
        <v>2564</v>
      </c>
      <c r="B617" s="3" t="s">
        <v>1630</v>
      </c>
      <c r="C617" s="3" t="s">
        <v>2565</v>
      </c>
      <c r="D617" s="3" t="s">
        <v>2566</v>
      </c>
      <c r="E617" s="3" t="s">
        <v>10</v>
      </c>
      <c r="F617" s="3" t="s">
        <v>2567</v>
      </c>
    </row>
    <row r="618" ht="36.0" customHeight="1">
      <c r="A618" s="2" t="s">
        <v>2568</v>
      </c>
      <c r="B618" s="2" t="s">
        <v>1630</v>
      </c>
      <c r="C618" s="2" t="s">
        <v>2569</v>
      </c>
      <c r="D618" s="2" t="s">
        <v>2570</v>
      </c>
      <c r="E618" s="2" t="s">
        <v>42</v>
      </c>
      <c r="F618" s="2" t="s">
        <v>2571</v>
      </c>
    </row>
    <row r="619" ht="36.0" customHeight="1">
      <c r="A619" s="3" t="s">
        <v>2572</v>
      </c>
      <c r="B619" s="3" t="s">
        <v>1630</v>
      </c>
      <c r="C619" s="3" t="s">
        <v>2573</v>
      </c>
      <c r="D619" s="3" t="s">
        <v>2574</v>
      </c>
      <c r="E619" s="3" t="s">
        <v>42</v>
      </c>
      <c r="F619" s="3" t="s">
        <v>2575</v>
      </c>
    </row>
    <row r="620" ht="36.0" customHeight="1">
      <c r="A620" s="2" t="s">
        <v>2576</v>
      </c>
      <c r="B620" s="2" t="s">
        <v>1630</v>
      </c>
      <c r="C620" s="2" t="s">
        <v>2577</v>
      </c>
      <c r="D620" s="2" t="s">
        <v>2578</v>
      </c>
      <c r="E620" s="2" t="s">
        <v>1143</v>
      </c>
      <c r="F620" s="2" t="s">
        <v>2579</v>
      </c>
    </row>
    <row r="621" ht="36.0" customHeight="1">
      <c r="A621" s="3" t="s">
        <v>2580</v>
      </c>
      <c r="B621" s="3" t="s">
        <v>1630</v>
      </c>
      <c r="C621" s="3" t="s">
        <v>2581</v>
      </c>
      <c r="D621" s="3" t="s">
        <v>2582</v>
      </c>
      <c r="E621" s="3" t="s">
        <v>2583</v>
      </c>
      <c r="F621" s="3" t="s">
        <v>2584</v>
      </c>
    </row>
    <row r="622" ht="36.0" customHeight="1">
      <c r="A622" s="2" t="s">
        <v>2585</v>
      </c>
      <c r="B622" s="2" t="s">
        <v>1630</v>
      </c>
      <c r="C622" s="2" t="s">
        <v>2586</v>
      </c>
      <c r="D622" s="2" t="s">
        <v>2587</v>
      </c>
      <c r="E622" s="2" t="s">
        <v>1816</v>
      </c>
      <c r="F622" s="2" t="s">
        <v>2588</v>
      </c>
    </row>
    <row r="623" ht="36.0" customHeight="1">
      <c r="A623" s="3" t="s">
        <v>2589</v>
      </c>
      <c r="B623" s="3" t="s">
        <v>1630</v>
      </c>
      <c r="C623" s="3" t="s">
        <v>2590</v>
      </c>
      <c r="D623" s="3" t="s">
        <v>2591</v>
      </c>
      <c r="E623" s="3" t="s">
        <v>2408</v>
      </c>
      <c r="F623" s="3" t="s">
        <v>2592</v>
      </c>
    </row>
    <row r="624" ht="36.0" customHeight="1">
      <c r="A624" s="2" t="s">
        <v>2593</v>
      </c>
      <c r="B624" s="2" t="s">
        <v>1630</v>
      </c>
      <c r="C624" s="2" t="s">
        <v>2594</v>
      </c>
      <c r="D624" s="2" t="s">
        <v>2595</v>
      </c>
      <c r="E624" s="2" t="s">
        <v>2596</v>
      </c>
      <c r="F624" s="2" t="s">
        <v>2597</v>
      </c>
    </row>
    <row r="625" ht="36.0" customHeight="1">
      <c r="A625" s="3" t="s">
        <v>2598</v>
      </c>
      <c r="B625" s="3" t="s">
        <v>1630</v>
      </c>
      <c r="C625" s="3" t="s">
        <v>2599</v>
      </c>
      <c r="D625" s="3" t="s">
        <v>2600</v>
      </c>
      <c r="E625" s="3" t="s">
        <v>1143</v>
      </c>
      <c r="F625" s="3" t="s">
        <v>2601</v>
      </c>
    </row>
    <row r="626" ht="36.0" customHeight="1">
      <c r="A626" s="2" t="s">
        <v>2602</v>
      </c>
      <c r="B626" s="2" t="s">
        <v>1630</v>
      </c>
      <c r="C626" s="2" t="s">
        <v>2603</v>
      </c>
      <c r="D626" s="2" t="s">
        <v>2604</v>
      </c>
      <c r="E626" s="2" t="s">
        <v>1646</v>
      </c>
      <c r="F626" s="2" t="s">
        <v>2605</v>
      </c>
    </row>
    <row r="627" ht="36.0" customHeight="1">
      <c r="A627" s="3" t="s">
        <v>2606</v>
      </c>
      <c r="B627" s="3" t="s">
        <v>1630</v>
      </c>
      <c r="C627" s="3" t="s">
        <v>2607</v>
      </c>
      <c r="D627" s="3" t="s">
        <v>2608</v>
      </c>
      <c r="E627" s="3" t="s">
        <v>86</v>
      </c>
      <c r="F627" s="3" t="s">
        <v>2609</v>
      </c>
    </row>
    <row r="628" ht="36.0" customHeight="1">
      <c r="A628" s="2" t="s">
        <v>2610</v>
      </c>
      <c r="B628" s="2" t="s">
        <v>1630</v>
      </c>
      <c r="C628" s="2" t="s">
        <v>2611</v>
      </c>
      <c r="D628" s="2" t="s">
        <v>2612</v>
      </c>
      <c r="E628" s="2" t="s">
        <v>229</v>
      </c>
      <c r="F628" s="2" t="s">
        <v>2613</v>
      </c>
    </row>
    <row r="629" ht="36.0" customHeight="1">
      <c r="A629" s="3" t="s">
        <v>2614</v>
      </c>
      <c r="B629" s="3" t="s">
        <v>1630</v>
      </c>
      <c r="C629" s="3" t="s">
        <v>2615</v>
      </c>
      <c r="D629" s="3" t="s">
        <v>2616</v>
      </c>
      <c r="E629" s="3" t="s">
        <v>1855</v>
      </c>
      <c r="F629" s="3" t="s">
        <v>2617</v>
      </c>
    </row>
    <row r="630" ht="36.0" customHeight="1">
      <c r="A630" s="2" t="s">
        <v>2618</v>
      </c>
      <c r="B630" s="2" t="s">
        <v>1630</v>
      </c>
      <c r="C630" s="2" t="s">
        <v>2619</v>
      </c>
      <c r="D630" s="2" t="s">
        <v>2620</v>
      </c>
      <c r="E630" s="2" t="s">
        <v>229</v>
      </c>
      <c r="F630" s="2" t="s">
        <v>2621</v>
      </c>
    </row>
    <row r="631" ht="36.0" customHeight="1">
      <c r="A631" s="3" t="s">
        <v>2622</v>
      </c>
      <c r="B631" s="3" t="s">
        <v>1630</v>
      </c>
      <c r="C631" s="3" t="s">
        <v>2623</v>
      </c>
      <c r="D631" s="3" t="s">
        <v>2624</v>
      </c>
      <c r="E631" s="3" t="s">
        <v>695</v>
      </c>
      <c r="F631" s="3" t="s">
        <v>2625</v>
      </c>
    </row>
    <row r="632" ht="36.0" customHeight="1">
      <c r="A632" s="2" t="s">
        <v>2626</v>
      </c>
      <c r="B632" s="2" t="s">
        <v>1630</v>
      </c>
      <c r="C632" s="2" t="s">
        <v>2627</v>
      </c>
      <c r="D632" s="2" t="s">
        <v>2628</v>
      </c>
      <c r="E632" s="2" t="s">
        <v>284</v>
      </c>
      <c r="F632" s="2" t="s">
        <v>2629</v>
      </c>
    </row>
    <row r="633" ht="36.0" customHeight="1">
      <c r="A633" s="3" t="s">
        <v>2630</v>
      </c>
      <c r="B633" s="3" t="s">
        <v>1630</v>
      </c>
      <c r="C633" s="3" t="s">
        <v>2631</v>
      </c>
      <c r="D633" s="3" t="s">
        <v>2632</v>
      </c>
      <c r="E633" s="3" t="s">
        <v>1516</v>
      </c>
      <c r="F633" s="3" t="s">
        <v>2633</v>
      </c>
    </row>
    <row r="634" ht="36.0" customHeight="1">
      <c r="A634" s="2" t="s">
        <v>2634</v>
      </c>
      <c r="B634" s="2" t="s">
        <v>1630</v>
      </c>
      <c r="C634" s="2" t="s">
        <v>2635</v>
      </c>
      <c r="D634" s="2" t="s">
        <v>2636</v>
      </c>
      <c r="E634" s="2" t="s">
        <v>1533</v>
      </c>
      <c r="F634" s="2" t="s">
        <v>2637</v>
      </c>
    </row>
    <row r="635" ht="36.0" customHeight="1">
      <c r="A635" s="3" t="s">
        <v>2638</v>
      </c>
      <c r="B635" s="3" t="s">
        <v>1630</v>
      </c>
      <c r="C635" s="3" t="s">
        <v>2639</v>
      </c>
      <c r="D635" s="3" t="s">
        <v>2640</v>
      </c>
      <c r="E635" s="3" t="s">
        <v>1268</v>
      </c>
      <c r="F635" s="3" t="s">
        <v>2641</v>
      </c>
    </row>
    <row r="636" ht="36.0" customHeight="1">
      <c r="A636" s="2" t="s">
        <v>2642</v>
      </c>
      <c r="B636" s="2" t="s">
        <v>1630</v>
      </c>
      <c r="C636" s="2" t="s">
        <v>2643</v>
      </c>
      <c r="D636" s="2" t="s">
        <v>2644</v>
      </c>
      <c r="E636" s="2" t="s">
        <v>1268</v>
      </c>
      <c r="F636" s="2" t="s">
        <v>2645</v>
      </c>
    </row>
    <row r="637" ht="36.0" customHeight="1">
      <c r="A637" s="3" t="s">
        <v>2646</v>
      </c>
      <c r="B637" s="3" t="s">
        <v>1630</v>
      </c>
      <c r="C637" s="3" t="s">
        <v>2647</v>
      </c>
      <c r="D637" s="3" t="s">
        <v>2648</v>
      </c>
      <c r="E637" s="3" t="s">
        <v>1268</v>
      </c>
      <c r="F637" s="3" t="s">
        <v>2649</v>
      </c>
    </row>
    <row r="638" ht="36.0" customHeight="1">
      <c r="A638" s="2" t="s">
        <v>2650</v>
      </c>
      <c r="B638" s="2" t="s">
        <v>1630</v>
      </c>
      <c r="C638" s="2" t="s">
        <v>2651</v>
      </c>
      <c r="D638" s="2" t="s">
        <v>2652</v>
      </c>
      <c r="E638" s="2" t="s">
        <v>1268</v>
      </c>
      <c r="F638" s="2" t="s">
        <v>2653</v>
      </c>
    </row>
    <row r="639" ht="36.0" customHeight="1">
      <c r="A639" s="3" t="s">
        <v>2654</v>
      </c>
      <c r="B639" s="3" t="s">
        <v>1630</v>
      </c>
      <c r="C639" s="3" t="s">
        <v>2655</v>
      </c>
      <c r="D639" s="3" t="s">
        <v>2656</v>
      </c>
      <c r="E639" s="3" t="s">
        <v>1268</v>
      </c>
      <c r="F639" s="3" t="s">
        <v>2657</v>
      </c>
    </row>
    <row r="640" ht="36.0" customHeight="1">
      <c r="A640" s="2" t="s">
        <v>2658</v>
      </c>
      <c r="B640" s="2" t="s">
        <v>1630</v>
      </c>
      <c r="C640" s="2" t="s">
        <v>2659</v>
      </c>
      <c r="D640" s="2" t="s">
        <v>2660</v>
      </c>
      <c r="E640" s="2" t="s">
        <v>996</v>
      </c>
      <c r="F640" s="2" t="s">
        <v>2661</v>
      </c>
    </row>
    <row r="641" ht="36.0" customHeight="1">
      <c r="A641" s="3" t="s">
        <v>2662</v>
      </c>
      <c r="B641" s="3" t="s">
        <v>1630</v>
      </c>
      <c r="C641" s="3" t="s">
        <v>2663</v>
      </c>
      <c r="D641" s="3" t="s">
        <v>2664</v>
      </c>
      <c r="E641" s="3" t="s">
        <v>1855</v>
      </c>
      <c r="F641" s="3" t="s">
        <v>2665</v>
      </c>
    </row>
    <row r="642" ht="36.0" customHeight="1">
      <c r="A642" s="2" t="s">
        <v>2666</v>
      </c>
      <c r="B642" s="2" t="s">
        <v>1630</v>
      </c>
      <c r="C642" s="2" t="s">
        <v>2667</v>
      </c>
      <c r="D642" s="2" t="s">
        <v>2668</v>
      </c>
      <c r="E642" s="2" t="s">
        <v>430</v>
      </c>
      <c r="F642" s="2" t="s">
        <v>2669</v>
      </c>
    </row>
    <row r="643" ht="36.0" customHeight="1">
      <c r="A643" s="3" t="s">
        <v>2670</v>
      </c>
      <c r="B643" s="3" t="s">
        <v>1630</v>
      </c>
      <c r="C643" s="3" t="s">
        <v>2671</v>
      </c>
      <c r="D643" s="3" t="s">
        <v>2672</v>
      </c>
      <c r="E643" s="3" t="s">
        <v>19</v>
      </c>
      <c r="F643" s="3" t="s">
        <v>2673</v>
      </c>
    </row>
    <row r="644" ht="36.0" customHeight="1">
      <c r="A644" s="2" t="s">
        <v>2674</v>
      </c>
      <c r="B644" s="2" t="s">
        <v>1630</v>
      </c>
      <c r="C644" s="2" t="s">
        <v>2675</v>
      </c>
      <c r="D644" s="2" t="s">
        <v>2676</v>
      </c>
      <c r="E644" s="2" t="s">
        <v>24</v>
      </c>
      <c r="F644" s="2" t="s">
        <v>2677</v>
      </c>
    </row>
    <row r="645" ht="36.0" customHeight="1">
      <c r="A645" s="3" t="s">
        <v>2678</v>
      </c>
      <c r="B645" s="3" t="s">
        <v>1630</v>
      </c>
      <c r="C645" s="3" t="s">
        <v>2679</v>
      </c>
      <c r="D645" s="3" t="s">
        <v>2680</v>
      </c>
      <c r="E645" s="3" t="s">
        <v>207</v>
      </c>
      <c r="F645" s="3" t="s">
        <v>2681</v>
      </c>
    </row>
    <row r="646" ht="36.0" customHeight="1">
      <c r="A646" s="2" t="s">
        <v>2682</v>
      </c>
      <c r="B646" s="2" t="s">
        <v>1630</v>
      </c>
      <c r="C646" s="2" t="s">
        <v>2683</v>
      </c>
      <c r="D646" s="2" t="s">
        <v>2684</v>
      </c>
      <c r="E646" s="2" t="s">
        <v>62</v>
      </c>
      <c r="F646" s="2" t="s">
        <v>2685</v>
      </c>
    </row>
    <row r="647" ht="36.0" customHeight="1">
      <c r="A647" s="3" t="s">
        <v>2686</v>
      </c>
      <c r="B647" s="3" t="s">
        <v>1630</v>
      </c>
      <c r="C647" s="3" t="s">
        <v>2687</v>
      </c>
      <c r="D647" s="3" t="s">
        <v>2688</v>
      </c>
      <c r="E647" s="3" t="s">
        <v>1655</v>
      </c>
      <c r="F647" s="3" t="s">
        <v>2689</v>
      </c>
    </row>
    <row r="648" ht="36.0" customHeight="1">
      <c r="A648" s="2" t="s">
        <v>2690</v>
      </c>
      <c r="B648" s="2" t="s">
        <v>1630</v>
      </c>
      <c r="C648" s="2" t="s">
        <v>2691</v>
      </c>
      <c r="D648" s="2" t="s">
        <v>2692</v>
      </c>
      <c r="E648" s="2" t="s">
        <v>1458</v>
      </c>
      <c r="F648" s="2" t="s">
        <v>2693</v>
      </c>
    </row>
    <row r="649" ht="36.0" customHeight="1">
      <c r="A649" s="3" t="s">
        <v>2694</v>
      </c>
      <c r="B649" s="3" t="s">
        <v>1630</v>
      </c>
      <c r="C649" s="3" t="s">
        <v>2695</v>
      </c>
      <c r="D649" s="3" t="s">
        <v>2696</v>
      </c>
      <c r="E649" s="3" t="s">
        <v>86</v>
      </c>
      <c r="F649" s="3" t="s">
        <v>2697</v>
      </c>
    </row>
    <row r="650" ht="36.0" customHeight="1">
      <c r="A650" s="2" t="s">
        <v>2698</v>
      </c>
      <c r="B650" s="2" t="s">
        <v>1630</v>
      </c>
      <c r="C650" s="2" t="s">
        <v>2699</v>
      </c>
      <c r="D650" s="2" t="s">
        <v>2700</v>
      </c>
      <c r="E650" s="2" t="s">
        <v>86</v>
      </c>
      <c r="F650" s="2" t="s">
        <v>2701</v>
      </c>
    </row>
    <row r="651" ht="36.0" customHeight="1">
      <c r="A651" s="3" t="s">
        <v>2702</v>
      </c>
      <c r="B651" s="3" t="s">
        <v>1630</v>
      </c>
      <c r="C651" s="3" t="s">
        <v>2703</v>
      </c>
      <c r="D651" s="3" t="s">
        <v>2704</v>
      </c>
      <c r="E651" s="3" t="s">
        <v>86</v>
      </c>
      <c r="F651" s="3" t="s">
        <v>2705</v>
      </c>
    </row>
    <row r="652" ht="36.0" customHeight="1">
      <c r="A652" s="2" t="s">
        <v>2706</v>
      </c>
      <c r="B652" s="2" t="s">
        <v>1630</v>
      </c>
      <c r="C652" s="2" t="s">
        <v>2707</v>
      </c>
      <c r="D652" s="2" t="s">
        <v>2708</v>
      </c>
      <c r="E652" s="2" t="s">
        <v>599</v>
      </c>
      <c r="F652" s="2" t="s">
        <v>2709</v>
      </c>
    </row>
    <row r="653" ht="36.0" customHeight="1">
      <c r="A653" s="3" t="s">
        <v>2710</v>
      </c>
      <c r="B653" s="3" t="s">
        <v>1630</v>
      </c>
      <c r="C653" s="3" t="s">
        <v>2711</v>
      </c>
      <c r="D653" s="3" t="s">
        <v>2712</v>
      </c>
      <c r="E653" s="3" t="s">
        <v>86</v>
      </c>
      <c r="F653" s="3" t="s">
        <v>2713</v>
      </c>
    </row>
    <row r="654" ht="36.0" customHeight="1">
      <c r="A654" s="2" t="s">
        <v>2714</v>
      </c>
      <c r="B654" s="2" t="s">
        <v>1630</v>
      </c>
      <c r="C654" s="2" t="s">
        <v>2715</v>
      </c>
      <c r="D654" s="2" t="s">
        <v>2716</v>
      </c>
      <c r="E654" s="2" t="s">
        <v>608</v>
      </c>
      <c r="F654" s="2" t="s">
        <v>2717</v>
      </c>
    </row>
    <row r="655" ht="36.0" customHeight="1">
      <c r="A655" s="3" t="s">
        <v>2718</v>
      </c>
      <c r="B655" s="3" t="s">
        <v>1630</v>
      </c>
      <c r="C655" s="3" t="s">
        <v>2719</v>
      </c>
      <c r="D655" s="3" t="s">
        <v>2720</v>
      </c>
      <c r="E655" s="3" t="s">
        <v>2355</v>
      </c>
      <c r="F655" s="3" t="s">
        <v>2721</v>
      </c>
    </row>
    <row r="656" ht="36.0" customHeight="1">
      <c r="A656" s="2" t="s">
        <v>2722</v>
      </c>
      <c r="B656" s="2" t="s">
        <v>1630</v>
      </c>
      <c r="C656" s="2" t="s">
        <v>2723</v>
      </c>
      <c r="D656" s="2" t="s">
        <v>2724</v>
      </c>
      <c r="E656" s="2" t="s">
        <v>2355</v>
      </c>
      <c r="F656" s="2" t="s">
        <v>2725</v>
      </c>
    </row>
    <row r="657" ht="36.0" customHeight="1">
      <c r="A657" s="3" t="s">
        <v>2726</v>
      </c>
      <c r="B657" s="3" t="s">
        <v>1630</v>
      </c>
      <c r="C657" s="3" t="s">
        <v>2727</v>
      </c>
      <c r="D657" s="3" t="s">
        <v>2728</v>
      </c>
      <c r="E657" s="3" t="s">
        <v>91</v>
      </c>
      <c r="F657" s="3" t="s">
        <v>2729</v>
      </c>
    </row>
    <row r="658" ht="36.0" customHeight="1">
      <c r="A658" s="2" t="s">
        <v>2730</v>
      </c>
      <c r="B658" s="2" t="s">
        <v>1630</v>
      </c>
      <c r="C658" s="2" t="s">
        <v>2731</v>
      </c>
      <c r="D658" s="2" t="s">
        <v>2732</v>
      </c>
      <c r="E658" s="2" t="s">
        <v>2733</v>
      </c>
      <c r="F658" s="2" t="s">
        <v>2734</v>
      </c>
    </row>
    <row r="659" ht="36.0" customHeight="1">
      <c r="A659" s="3" t="s">
        <v>2735</v>
      </c>
      <c r="B659" s="3" t="s">
        <v>1630</v>
      </c>
      <c r="C659" s="3" t="s">
        <v>2736</v>
      </c>
      <c r="D659" s="3" t="s">
        <v>2737</v>
      </c>
      <c r="E659" s="3" t="s">
        <v>1350</v>
      </c>
      <c r="F659" s="3" t="s">
        <v>2738</v>
      </c>
    </row>
    <row r="660" ht="36.0" customHeight="1">
      <c r="A660" s="2" t="s">
        <v>2739</v>
      </c>
      <c r="B660" s="2" t="s">
        <v>1630</v>
      </c>
      <c r="C660" s="2" t="s">
        <v>2740</v>
      </c>
      <c r="D660" s="2" t="s">
        <v>2741</v>
      </c>
      <c r="E660" s="2" t="s">
        <v>2733</v>
      </c>
      <c r="F660" s="2" t="s">
        <v>2742</v>
      </c>
    </row>
    <row r="661" ht="36.0" customHeight="1">
      <c r="A661" s="3" t="s">
        <v>2743</v>
      </c>
      <c r="B661" s="3" t="s">
        <v>1630</v>
      </c>
      <c r="C661" s="3" t="s">
        <v>2744</v>
      </c>
      <c r="D661" s="3" t="s">
        <v>2745</v>
      </c>
      <c r="E661" s="3" t="s">
        <v>1401</v>
      </c>
      <c r="F661" s="3" t="s">
        <v>2746</v>
      </c>
    </row>
    <row r="662" ht="36.0" customHeight="1">
      <c r="A662" s="2" t="s">
        <v>2747</v>
      </c>
      <c r="B662" s="2" t="s">
        <v>1630</v>
      </c>
      <c r="C662" s="2" t="s">
        <v>2748</v>
      </c>
      <c r="D662" s="2" t="s">
        <v>2749</v>
      </c>
      <c r="E662" s="2" t="s">
        <v>1401</v>
      </c>
      <c r="F662" s="2" t="s">
        <v>2750</v>
      </c>
    </row>
    <row r="663" ht="36.0" customHeight="1">
      <c r="A663" s="3" t="s">
        <v>2751</v>
      </c>
      <c r="B663" s="3" t="s">
        <v>1630</v>
      </c>
      <c r="C663" s="3" t="s">
        <v>2752</v>
      </c>
      <c r="D663" s="3" t="s">
        <v>2753</v>
      </c>
      <c r="E663" s="3" t="s">
        <v>742</v>
      </c>
      <c r="F663" s="3" t="s">
        <v>2754</v>
      </c>
    </row>
    <row r="664" ht="36.0" customHeight="1">
      <c r="A664" s="2" t="s">
        <v>2755</v>
      </c>
      <c r="B664" s="2" t="s">
        <v>1630</v>
      </c>
      <c r="C664" s="2" t="s">
        <v>2756</v>
      </c>
      <c r="D664" s="2" t="s">
        <v>2757</v>
      </c>
      <c r="E664" s="2" t="s">
        <v>742</v>
      </c>
      <c r="F664" s="2" t="s">
        <v>2758</v>
      </c>
    </row>
    <row r="665" ht="36.0" customHeight="1">
      <c r="A665" s="3" t="s">
        <v>2759</v>
      </c>
      <c r="B665" s="3" t="s">
        <v>1630</v>
      </c>
      <c r="C665" s="3" t="s">
        <v>2760</v>
      </c>
      <c r="D665" s="3" t="s">
        <v>2761</v>
      </c>
      <c r="E665" s="3" t="s">
        <v>345</v>
      </c>
      <c r="F665" s="3" t="s">
        <v>2762</v>
      </c>
    </row>
    <row r="666" ht="36.0" customHeight="1">
      <c r="A666" s="2" t="s">
        <v>2763</v>
      </c>
      <c r="B666" s="2" t="s">
        <v>1630</v>
      </c>
      <c r="C666" s="2" t="s">
        <v>2764</v>
      </c>
      <c r="D666" s="2" t="s">
        <v>2765</v>
      </c>
      <c r="E666" s="2" t="s">
        <v>1533</v>
      </c>
      <c r="F666" s="2" t="s">
        <v>2766</v>
      </c>
    </row>
    <row r="667" ht="36.0" customHeight="1">
      <c r="A667" s="3" t="s">
        <v>2767</v>
      </c>
      <c r="B667" s="3" t="s">
        <v>2768</v>
      </c>
      <c r="C667" s="3" t="s">
        <v>2769</v>
      </c>
      <c r="D667" s="3" t="s">
        <v>2770</v>
      </c>
      <c r="E667" s="3" t="s">
        <v>166</v>
      </c>
      <c r="F667" s="3" t="s">
        <v>2771</v>
      </c>
    </row>
    <row r="668" ht="36.0" customHeight="1">
      <c r="A668" s="2" t="s">
        <v>2772</v>
      </c>
      <c r="B668" s="2" t="s">
        <v>2768</v>
      </c>
      <c r="C668" s="2" t="s">
        <v>2773</v>
      </c>
      <c r="D668" s="2" t="s">
        <v>2774</v>
      </c>
      <c r="E668" s="2" t="s">
        <v>19</v>
      </c>
      <c r="F668" s="2" t="s">
        <v>2775</v>
      </c>
    </row>
    <row r="669" ht="36.0" customHeight="1">
      <c r="A669" s="3" t="s">
        <v>2776</v>
      </c>
      <c r="B669" s="3" t="s">
        <v>2768</v>
      </c>
      <c r="C669" s="3" t="s">
        <v>2777</v>
      </c>
      <c r="D669" s="3" t="s">
        <v>2778</v>
      </c>
      <c r="E669" s="3" t="s">
        <v>52</v>
      </c>
      <c r="F669" s="3" t="s">
        <v>2779</v>
      </c>
    </row>
    <row r="670" ht="36.0" customHeight="1">
      <c r="A670" s="2" t="s">
        <v>2780</v>
      </c>
      <c r="B670" s="2" t="s">
        <v>2768</v>
      </c>
      <c r="C670" s="2" t="s">
        <v>2781</v>
      </c>
      <c r="D670" s="2" t="s">
        <v>2782</v>
      </c>
      <c r="E670" s="2" t="s">
        <v>52</v>
      </c>
      <c r="F670" s="2" t="s">
        <v>2783</v>
      </c>
    </row>
    <row r="671" ht="36.0" customHeight="1">
      <c r="A671" s="3" t="s">
        <v>2784</v>
      </c>
      <c r="B671" s="3" t="s">
        <v>2768</v>
      </c>
      <c r="C671" s="3" t="s">
        <v>2785</v>
      </c>
      <c r="D671" s="3" t="s">
        <v>2786</v>
      </c>
      <c r="E671" s="3" t="s">
        <v>47</v>
      </c>
      <c r="F671" s="3" t="s">
        <v>2787</v>
      </c>
    </row>
    <row r="672" ht="36.0" customHeight="1">
      <c r="A672" s="2" t="s">
        <v>2788</v>
      </c>
      <c r="B672" s="2" t="s">
        <v>2768</v>
      </c>
      <c r="C672" s="2" t="s">
        <v>2789</v>
      </c>
      <c r="D672" s="2" t="s">
        <v>2790</v>
      </c>
      <c r="E672" s="2" t="s">
        <v>47</v>
      </c>
      <c r="F672" s="2" t="s">
        <v>2791</v>
      </c>
    </row>
    <row r="673" ht="36.0" customHeight="1">
      <c r="A673" s="3" t="s">
        <v>2792</v>
      </c>
      <c r="B673" s="3" t="s">
        <v>2768</v>
      </c>
      <c r="C673" s="3" t="s">
        <v>2793</v>
      </c>
      <c r="D673" s="3" t="s">
        <v>2794</v>
      </c>
      <c r="E673" s="3" t="s">
        <v>224</v>
      </c>
      <c r="F673" s="3" t="s">
        <v>2795</v>
      </c>
    </row>
    <row r="674" ht="36.0" customHeight="1">
      <c r="A674" s="2" t="s">
        <v>2796</v>
      </c>
      <c r="B674" s="2" t="s">
        <v>2768</v>
      </c>
      <c r="C674" s="2" t="s">
        <v>2797</v>
      </c>
      <c r="D674" s="2" t="s">
        <v>2798</v>
      </c>
      <c r="E674" s="2" t="s">
        <v>538</v>
      </c>
      <c r="F674" s="2" t="s">
        <v>2799</v>
      </c>
    </row>
    <row r="675" ht="36.0" customHeight="1">
      <c r="A675" s="3" t="s">
        <v>2800</v>
      </c>
      <c r="B675" s="3" t="s">
        <v>2768</v>
      </c>
      <c r="C675" s="3" t="s">
        <v>2801</v>
      </c>
      <c r="D675" s="3" t="s">
        <v>2802</v>
      </c>
      <c r="E675" s="3" t="s">
        <v>229</v>
      </c>
      <c r="F675" s="3" t="s">
        <v>2803</v>
      </c>
    </row>
    <row r="676" ht="36.0" customHeight="1">
      <c r="A676" s="2" t="s">
        <v>2804</v>
      </c>
      <c r="B676" s="2" t="s">
        <v>2768</v>
      </c>
      <c r="C676" s="2" t="s">
        <v>2805</v>
      </c>
      <c r="D676" s="2" t="s">
        <v>2806</v>
      </c>
      <c r="E676" s="2" t="s">
        <v>229</v>
      </c>
      <c r="F676" s="2" t="s">
        <v>2807</v>
      </c>
    </row>
    <row r="677" ht="36.0" customHeight="1">
      <c r="A677" s="3" t="s">
        <v>2808</v>
      </c>
      <c r="B677" s="3" t="s">
        <v>2768</v>
      </c>
      <c r="C677" s="3" t="s">
        <v>2809</v>
      </c>
      <c r="D677" s="3" t="s">
        <v>2810</v>
      </c>
      <c r="E677" s="3" t="s">
        <v>2811</v>
      </c>
      <c r="F677" s="3" t="s">
        <v>2812</v>
      </c>
    </row>
    <row r="678" ht="36.0" customHeight="1">
      <c r="A678" s="2" t="s">
        <v>2813</v>
      </c>
      <c r="B678" s="2" t="s">
        <v>2768</v>
      </c>
      <c r="C678" s="2" t="s">
        <v>2814</v>
      </c>
      <c r="D678" s="2" t="s">
        <v>2815</v>
      </c>
      <c r="E678" s="2" t="s">
        <v>695</v>
      </c>
      <c r="F678" s="2" t="s">
        <v>2816</v>
      </c>
    </row>
    <row r="679" ht="36.0" customHeight="1">
      <c r="A679" s="3" t="s">
        <v>2817</v>
      </c>
      <c r="B679" s="3" t="s">
        <v>2768</v>
      </c>
      <c r="C679" s="3" t="s">
        <v>2818</v>
      </c>
      <c r="D679" s="3" t="s">
        <v>2819</v>
      </c>
      <c r="E679" s="3" t="s">
        <v>695</v>
      </c>
      <c r="F679" s="3" t="s">
        <v>2820</v>
      </c>
    </row>
    <row r="680" ht="36.0" customHeight="1">
      <c r="A680" s="2" t="s">
        <v>2821</v>
      </c>
      <c r="B680" s="2" t="s">
        <v>2768</v>
      </c>
      <c r="C680" s="2" t="s">
        <v>2822</v>
      </c>
      <c r="D680" s="2" t="s">
        <v>2823</v>
      </c>
      <c r="E680" s="2" t="s">
        <v>2824</v>
      </c>
      <c r="F680" s="2" t="s">
        <v>2825</v>
      </c>
    </row>
    <row r="681" ht="36.0" customHeight="1">
      <c r="A681" s="3" t="s">
        <v>2826</v>
      </c>
      <c r="B681" s="3" t="s">
        <v>2768</v>
      </c>
      <c r="C681" s="3" t="s">
        <v>2827</v>
      </c>
      <c r="D681" s="3" t="s">
        <v>2828</v>
      </c>
      <c r="E681" s="3" t="s">
        <v>2010</v>
      </c>
      <c r="F681" s="3" t="s">
        <v>2829</v>
      </c>
    </row>
    <row r="682" ht="36.0" customHeight="1">
      <c r="A682" s="2" t="s">
        <v>2830</v>
      </c>
      <c r="B682" s="2" t="s">
        <v>2768</v>
      </c>
      <c r="C682" s="2" t="s">
        <v>2831</v>
      </c>
      <c r="D682" s="2" t="s">
        <v>2832</v>
      </c>
      <c r="E682" s="2" t="s">
        <v>2833</v>
      </c>
      <c r="F682" s="2" t="s">
        <v>2834</v>
      </c>
    </row>
    <row r="683" ht="36.0" customHeight="1">
      <c r="A683" s="3" t="s">
        <v>2835</v>
      </c>
      <c r="B683" s="3" t="s">
        <v>2768</v>
      </c>
      <c r="C683" s="3" t="s">
        <v>2836</v>
      </c>
      <c r="D683" s="3" t="s">
        <v>2837</v>
      </c>
      <c r="E683" s="3" t="s">
        <v>2833</v>
      </c>
      <c r="F683" s="3" t="s">
        <v>2838</v>
      </c>
    </row>
    <row r="684" ht="36.0" customHeight="1">
      <c r="A684" s="2" t="s">
        <v>2839</v>
      </c>
      <c r="B684" s="2" t="s">
        <v>2768</v>
      </c>
      <c r="C684" s="2" t="s">
        <v>2840</v>
      </c>
      <c r="D684" s="2" t="s">
        <v>2841</v>
      </c>
      <c r="E684" s="2" t="s">
        <v>1511</v>
      </c>
      <c r="F684" s="2" t="s">
        <v>2842</v>
      </c>
    </row>
    <row r="685" ht="36.0" customHeight="1">
      <c r="A685" s="3" t="s">
        <v>2843</v>
      </c>
      <c r="B685" s="3" t="s">
        <v>2768</v>
      </c>
      <c r="C685" s="3" t="s">
        <v>2844</v>
      </c>
      <c r="D685" s="3" t="s">
        <v>2845</v>
      </c>
      <c r="E685" s="3" t="s">
        <v>2846</v>
      </c>
      <c r="F685" s="3" t="s">
        <v>2847</v>
      </c>
    </row>
    <row r="686" ht="36.0" customHeight="1">
      <c r="A686" s="2" t="s">
        <v>2848</v>
      </c>
      <c r="B686" s="2" t="s">
        <v>2768</v>
      </c>
      <c r="C686" s="2" t="s">
        <v>2849</v>
      </c>
      <c r="D686" s="2" t="s">
        <v>2850</v>
      </c>
      <c r="E686" s="2" t="s">
        <v>2846</v>
      </c>
      <c r="F686" s="2" t="s">
        <v>2851</v>
      </c>
    </row>
    <row r="687" ht="36.0" customHeight="1">
      <c r="A687" s="3" t="s">
        <v>2852</v>
      </c>
      <c r="B687" s="3" t="s">
        <v>2768</v>
      </c>
      <c r="C687" s="3" t="s">
        <v>2853</v>
      </c>
      <c r="D687" s="3" t="s">
        <v>2854</v>
      </c>
      <c r="E687" s="3" t="s">
        <v>2855</v>
      </c>
      <c r="F687" s="3" t="s">
        <v>2856</v>
      </c>
    </row>
    <row r="688" ht="36.0" customHeight="1">
      <c r="A688" s="2" t="s">
        <v>2857</v>
      </c>
      <c r="B688" s="2" t="s">
        <v>2768</v>
      </c>
      <c r="C688" s="2" t="s">
        <v>2858</v>
      </c>
      <c r="D688" s="2" t="s">
        <v>2859</v>
      </c>
      <c r="E688" s="2" t="s">
        <v>695</v>
      </c>
      <c r="F688" s="2" t="s">
        <v>2860</v>
      </c>
    </row>
    <row r="689" ht="36.0" customHeight="1">
      <c r="A689" s="3" t="s">
        <v>2861</v>
      </c>
      <c r="B689" s="3" t="s">
        <v>2768</v>
      </c>
      <c r="C689" s="3" t="s">
        <v>2862</v>
      </c>
      <c r="D689" s="3" t="s">
        <v>2863</v>
      </c>
      <c r="E689" s="3" t="s">
        <v>430</v>
      </c>
      <c r="F689" s="3" t="s">
        <v>2864</v>
      </c>
    </row>
    <row r="690" ht="36.0" customHeight="1">
      <c r="A690" s="2" t="s">
        <v>2865</v>
      </c>
      <c r="B690" s="2" t="s">
        <v>2768</v>
      </c>
      <c r="C690" s="2" t="s">
        <v>2866</v>
      </c>
      <c r="D690" s="2" t="s">
        <v>2867</v>
      </c>
      <c r="E690" s="2" t="s">
        <v>430</v>
      </c>
      <c r="F690" s="2" t="s">
        <v>2868</v>
      </c>
    </row>
    <row r="691" ht="36.0" customHeight="1">
      <c r="A691" s="3" t="s">
        <v>2869</v>
      </c>
      <c r="B691" s="3" t="s">
        <v>2768</v>
      </c>
      <c r="C691" s="3" t="s">
        <v>2870</v>
      </c>
      <c r="D691" s="3" t="s">
        <v>2871</v>
      </c>
      <c r="E691" s="3" t="s">
        <v>430</v>
      </c>
      <c r="F691" s="3" t="s">
        <v>2872</v>
      </c>
    </row>
    <row r="692" ht="36.0" customHeight="1">
      <c r="A692" s="2" t="s">
        <v>2873</v>
      </c>
      <c r="B692" s="2" t="s">
        <v>2768</v>
      </c>
      <c r="C692" s="2" t="s">
        <v>2874</v>
      </c>
      <c r="D692" s="2" t="s">
        <v>2875</v>
      </c>
      <c r="E692" s="2" t="s">
        <v>19</v>
      </c>
      <c r="F692" s="2" t="s">
        <v>2876</v>
      </c>
    </row>
    <row r="693" ht="36.0" customHeight="1">
      <c r="A693" s="3" t="s">
        <v>2877</v>
      </c>
      <c r="B693" s="3" t="s">
        <v>2768</v>
      </c>
      <c r="C693" s="3" t="s">
        <v>2878</v>
      </c>
      <c r="D693" s="3" t="s">
        <v>2879</v>
      </c>
      <c r="E693" s="3" t="s">
        <v>52</v>
      </c>
      <c r="F693" s="3" t="s">
        <v>2880</v>
      </c>
    </row>
    <row r="694" ht="36.0" customHeight="1">
      <c r="A694" s="2" t="s">
        <v>2881</v>
      </c>
      <c r="B694" s="2" t="s">
        <v>2768</v>
      </c>
      <c r="C694" s="2" t="s">
        <v>2882</v>
      </c>
      <c r="D694" s="2" t="s">
        <v>2883</v>
      </c>
      <c r="E694" s="2" t="s">
        <v>47</v>
      </c>
      <c r="F694" s="2" t="s">
        <v>2884</v>
      </c>
    </row>
    <row r="695" ht="36.0" customHeight="1">
      <c r="A695" s="3" t="s">
        <v>2885</v>
      </c>
      <c r="B695" s="3" t="s">
        <v>2768</v>
      </c>
      <c r="C695" s="3" t="s">
        <v>2886</v>
      </c>
      <c r="D695" s="3" t="s">
        <v>2887</v>
      </c>
      <c r="E695" s="3" t="s">
        <v>1102</v>
      </c>
      <c r="F695" s="3" t="s">
        <v>2888</v>
      </c>
    </row>
    <row r="696" ht="36.0" customHeight="1">
      <c r="A696" s="2" t="s">
        <v>2889</v>
      </c>
      <c r="B696" s="2" t="s">
        <v>2768</v>
      </c>
      <c r="C696" s="2" t="s">
        <v>2890</v>
      </c>
      <c r="D696" s="2" t="s">
        <v>2891</v>
      </c>
      <c r="E696" s="2" t="s">
        <v>91</v>
      </c>
      <c r="F696" s="2" t="s">
        <v>2892</v>
      </c>
    </row>
    <row r="697" ht="36.0" customHeight="1">
      <c r="A697" s="3" t="s">
        <v>2893</v>
      </c>
      <c r="B697" s="3" t="s">
        <v>2768</v>
      </c>
      <c r="C697" s="3" t="s">
        <v>2894</v>
      </c>
      <c r="D697" s="3" t="s">
        <v>2895</v>
      </c>
      <c r="E697" s="3" t="s">
        <v>91</v>
      </c>
      <c r="F697" s="3" t="s">
        <v>2896</v>
      </c>
    </row>
    <row r="698" ht="36.0" customHeight="1">
      <c r="A698" s="2" t="s">
        <v>2897</v>
      </c>
      <c r="B698" s="2" t="s">
        <v>2768</v>
      </c>
      <c r="C698" s="2" t="s">
        <v>2898</v>
      </c>
      <c r="D698" s="2" t="s">
        <v>2899</v>
      </c>
      <c r="E698" s="2" t="s">
        <v>91</v>
      </c>
      <c r="F698" s="2" t="s">
        <v>2900</v>
      </c>
    </row>
    <row r="699" ht="36.0" customHeight="1">
      <c r="A699" s="3" t="s">
        <v>2901</v>
      </c>
      <c r="B699" s="3" t="s">
        <v>2768</v>
      </c>
      <c r="C699" s="3" t="s">
        <v>2902</v>
      </c>
      <c r="D699" s="3" t="s">
        <v>2903</v>
      </c>
      <c r="E699" s="3" t="s">
        <v>91</v>
      </c>
      <c r="F699" s="3" t="s">
        <v>2904</v>
      </c>
    </row>
    <row r="700" ht="36.0" customHeight="1">
      <c r="A700" s="2" t="s">
        <v>2905</v>
      </c>
      <c r="B700" s="2" t="s">
        <v>2768</v>
      </c>
      <c r="C700" s="2" t="s">
        <v>2906</v>
      </c>
      <c r="D700" s="2" t="s">
        <v>2907</v>
      </c>
      <c r="E700" s="2" t="s">
        <v>91</v>
      </c>
      <c r="F700" s="2" t="s">
        <v>2908</v>
      </c>
    </row>
    <row r="701" ht="36.0" customHeight="1">
      <c r="A701" s="3" t="s">
        <v>2909</v>
      </c>
      <c r="B701" s="3" t="s">
        <v>2768</v>
      </c>
      <c r="C701" s="3" t="s">
        <v>2910</v>
      </c>
      <c r="D701" s="3" t="s">
        <v>2911</v>
      </c>
      <c r="E701" s="3" t="s">
        <v>267</v>
      </c>
      <c r="F701" s="3" t="s">
        <v>2912</v>
      </c>
    </row>
    <row r="702" ht="36.0" customHeight="1">
      <c r="A702" s="2" t="s">
        <v>2913</v>
      </c>
      <c r="B702" s="2" t="s">
        <v>2768</v>
      </c>
      <c r="C702" s="2" t="s">
        <v>2914</v>
      </c>
      <c r="D702" s="2" t="s">
        <v>2915</v>
      </c>
      <c r="E702" s="2" t="s">
        <v>2824</v>
      </c>
      <c r="F702" s="2" t="s">
        <v>2916</v>
      </c>
    </row>
    <row r="703" ht="36.0" customHeight="1">
      <c r="A703" s="3" t="s">
        <v>2917</v>
      </c>
      <c r="B703" s="3" t="s">
        <v>2768</v>
      </c>
      <c r="C703" s="3" t="s">
        <v>2918</v>
      </c>
      <c r="D703" s="3" t="s">
        <v>2919</v>
      </c>
      <c r="E703" s="3" t="s">
        <v>2920</v>
      </c>
      <c r="F703" s="3" t="s">
        <v>2921</v>
      </c>
    </row>
    <row r="704" ht="36.0" customHeight="1">
      <c r="A704" s="2" t="s">
        <v>2922</v>
      </c>
      <c r="B704" s="2" t="s">
        <v>2768</v>
      </c>
      <c r="C704" s="2" t="s">
        <v>2923</v>
      </c>
      <c r="D704" s="2" t="s">
        <v>2924</v>
      </c>
      <c r="E704" s="2" t="s">
        <v>2920</v>
      </c>
      <c r="F704" s="2" t="s">
        <v>2925</v>
      </c>
    </row>
    <row r="705" ht="36.0" customHeight="1">
      <c r="A705" s="3" t="s">
        <v>2926</v>
      </c>
      <c r="B705" s="3" t="s">
        <v>2768</v>
      </c>
      <c r="C705" s="3" t="s">
        <v>2927</v>
      </c>
      <c r="D705" s="3" t="s">
        <v>2928</v>
      </c>
      <c r="E705" s="3" t="s">
        <v>101</v>
      </c>
      <c r="F705" s="3" t="s">
        <v>2929</v>
      </c>
    </row>
    <row r="706" ht="36.0" customHeight="1">
      <c r="A706" s="2" t="s">
        <v>2930</v>
      </c>
      <c r="B706" s="2" t="s">
        <v>2768</v>
      </c>
      <c r="C706" s="2" t="s">
        <v>2931</v>
      </c>
      <c r="D706" s="2" t="s">
        <v>2932</v>
      </c>
      <c r="E706" s="2" t="s">
        <v>101</v>
      </c>
      <c r="F706" s="2" t="s">
        <v>2933</v>
      </c>
    </row>
    <row r="707" ht="36.0" customHeight="1">
      <c r="A707" s="3" t="s">
        <v>2934</v>
      </c>
      <c r="B707" s="3" t="s">
        <v>2768</v>
      </c>
      <c r="C707" s="3" t="s">
        <v>2935</v>
      </c>
      <c r="D707" s="3" t="s">
        <v>2936</v>
      </c>
      <c r="E707" s="3" t="s">
        <v>101</v>
      </c>
      <c r="F707" s="3" t="s">
        <v>2937</v>
      </c>
    </row>
    <row r="708" ht="36.0" customHeight="1">
      <c r="A708" s="2" t="s">
        <v>2938</v>
      </c>
      <c r="B708" s="2" t="s">
        <v>2768</v>
      </c>
      <c r="C708" s="2" t="s">
        <v>2939</v>
      </c>
      <c r="D708" s="2" t="s">
        <v>2940</v>
      </c>
      <c r="E708" s="2" t="s">
        <v>1401</v>
      </c>
      <c r="F708" s="2" t="s">
        <v>2941</v>
      </c>
    </row>
    <row r="709" ht="36.0" customHeight="1">
      <c r="A709" s="3" t="s">
        <v>2942</v>
      </c>
      <c r="B709" s="3" t="s">
        <v>2768</v>
      </c>
      <c r="C709" s="3" t="s">
        <v>2943</v>
      </c>
      <c r="D709" s="3" t="s">
        <v>2944</v>
      </c>
      <c r="E709" s="3" t="s">
        <v>2015</v>
      </c>
      <c r="F709" s="3" t="s">
        <v>2945</v>
      </c>
    </row>
    <row r="710" ht="36.0" customHeight="1">
      <c r="A710" s="2" t="s">
        <v>2946</v>
      </c>
      <c r="B710" s="2" t="s">
        <v>2768</v>
      </c>
      <c r="C710" s="2" t="s">
        <v>2947</v>
      </c>
      <c r="D710" s="2" t="s">
        <v>2948</v>
      </c>
      <c r="E710" s="2" t="s">
        <v>345</v>
      </c>
      <c r="F710" s="2" t="s">
        <v>2949</v>
      </c>
    </row>
    <row r="711" ht="36.0" customHeight="1">
      <c r="A711" s="3" t="s">
        <v>2950</v>
      </c>
      <c r="B711" s="3" t="s">
        <v>2768</v>
      </c>
      <c r="C711" s="3" t="s">
        <v>2951</v>
      </c>
      <c r="D711" s="3" t="s">
        <v>2952</v>
      </c>
      <c r="E711" s="3" t="s">
        <v>345</v>
      </c>
      <c r="F711" s="3" t="s">
        <v>2953</v>
      </c>
    </row>
    <row r="712" ht="36.0" customHeight="1">
      <c r="A712" s="2" t="s">
        <v>2954</v>
      </c>
      <c r="B712" s="2" t="s">
        <v>2768</v>
      </c>
      <c r="C712" s="2" t="s">
        <v>2955</v>
      </c>
      <c r="D712" s="2" t="s">
        <v>2956</v>
      </c>
      <c r="E712" s="2" t="s">
        <v>345</v>
      </c>
      <c r="F712" s="2" t="s">
        <v>2957</v>
      </c>
    </row>
    <row r="713" ht="36.0" customHeight="1">
      <c r="A713" s="3" t="s">
        <v>2958</v>
      </c>
      <c r="B713" s="3" t="s">
        <v>2768</v>
      </c>
      <c r="C713" s="3" t="s">
        <v>2959</v>
      </c>
      <c r="D713" s="3" t="s">
        <v>2960</v>
      </c>
      <c r="E713" s="3" t="s">
        <v>345</v>
      </c>
      <c r="F713" s="3" t="s">
        <v>2961</v>
      </c>
    </row>
    <row r="714" ht="36.0" customHeight="1">
      <c r="A714" s="2" t="s">
        <v>2962</v>
      </c>
      <c r="B714" s="2" t="s">
        <v>2768</v>
      </c>
      <c r="C714" s="2" t="s">
        <v>2963</v>
      </c>
      <c r="D714" s="2" t="s">
        <v>2964</v>
      </c>
      <c r="E714" s="2" t="s">
        <v>2020</v>
      </c>
      <c r="F714" s="2" t="s">
        <v>2965</v>
      </c>
    </row>
    <row r="715" ht="36.0" customHeight="1">
      <c r="A715" s="3" t="s">
        <v>2966</v>
      </c>
      <c r="B715" s="3" t="s">
        <v>2768</v>
      </c>
      <c r="C715" s="3" t="s">
        <v>2967</v>
      </c>
      <c r="D715" s="3" t="s">
        <v>2968</v>
      </c>
      <c r="E715" s="3" t="s">
        <v>1268</v>
      </c>
      <c r="F715" s="3" t="s">
        <v>2969</v>
      </c>
    </row>
    <row r="716" ht="36.0" customHeight="1">
      <c r="A716" s="2" t="s">
        <v>2970</v>
      </c>
      <c r="B716" s="2" t="s">
        <v>2768</v>
      </c>
      <c r="C716" s="2" t="s">
        <v>2971</v>
      </c>
      <c r="D716" s="2" t="s">
        <v>2972</v>
      </c>
      <c r="E716" s="2" t="s">
        <v>1538</v>
      </c>
      <c r="F716" s="2" t="s">
        <v>2973</v>
      </c>
    </row>
    <row r="717" ht="36.0" customHeight="1">
      <c r="A717" s="3" t="s">
        <v>2974</v>
      </c>
      <c r="B717" s="3" t="s">
        <v>2768</v>
      </c>
      <c r="C717" s="3" t="s">
        <v>2975</v>
      </c>
      <c r="D717" s="3" t="s">
        <v>2976</v>
      </c>
      <c r="E717" s="3" t="s">
        <v>2977</v>
      </c>
      <c r="F717" s="3" t="s">
        <v>2978</v>
      </c>
    </row>
    <row r="718" ht="36.0" customHeight="1">
      <c r="A718" s="2" t="s">
        <v>2979</v>
      </c>
      <c r="B718" s="2" t="s">
        <v>2768</v>
      </c>
      <c r="C718" s="2" t="s">
        <v>2980</v>
      </c>
      <c r="D718" s="2" t="s">
        <v>2981</v>
      </c>
      <c r="E718" s="2" t="s">
        <v>2982</v>
      </c>
      <c r="F718" s="2" t="s">
        <v>2983</v>
      </c>
    </row>
    <row r="719" ht="36.0" customHeight="1">
      <c r="A719" s="3" t="s">
        <v>2984</v>
      </c>
      <c r="B719" s="3" t="s">
        <v>2768</v>
      </c>
      <c r="C719" s="3" t="s">
        <v>2985</v>
      </c>
      <c r="D719" s="3" t="s">
        <v>2986</v>
      </c>
      <c r="E719" s="3" t="s">
        <v>2982</v>
      </c>
      <c r="F719" s="3" t="s">
        <v>2987</v>
      </c>
    </row>
    <row r="720" ht="36.0" customHeight="1">
      <c r="A720" s="2" t="s">
        <v>2988</v>
      </c>
      <c r="B720" s="2" t="s">
        <v>2768</v>
      </c>
      <c r="C720" s="2" t="s">
        <v>2989</v>
      </c>
      <c r="D720" s="2" t="s">
        <v>2990</v>
      </c>
      <c r="E720" s="2" t="s">
        <v>2982</v>
      </c>
      <c r="F720" s="2" t="s">
        <v>2991</v>
      </c>
    </row>
    <row r="721" ht="36.0" customHeight="1">
      <c r="A721" s="3" t="s">
        <v>2992</v>
      </c>
      <c r="B721" s="3" t="s">
        <v>2768</v>
      </c>
      <c r="C721" s="3" t="s">
        <v>2993</v>
      </c>
      <c r="D721" s="3" t="s">
        <v>2994</v>
      </c>
      <c r="E721" s="3" t="s">
        <v>1268</v>
      </c>
      <c r="F721" s="3" t="s">
        <v>2995</v>
      </c>
    </row>
    <row r="722" ht="36.0" customHeight="1">
      <c r="A722" s="2" t="s">
        <v>2996</v>
      </c>
      <c r="B722" s="2" t="s">
        <v>2768</v>
      </c>
      <c r="C722" s="2" t="s">
        <v>2997</v>
      </c>
      <c r="D722" s="2" t="s">
        <v>2998</v>
      </c>
      <c r="E722" s="2" t="s">
        <v>1268</v>
      </c>
      <c r="F722" s="2" t="s">
        <v>2999</v>
      </c>
    </row>
    <row r="723" ht="36.0" customHeight="1">
      <c r="A723" s="3" t="s">
        <v>3000</v>
      </c>
      <c r="B723" s="3" t="s">
        <v>2768</v>
      </c>
      <c r="C723" s="3" t="s">
        <v>3001</v>
      </c>
      <c r="D723" s="3" t="s">
        <v>3002</v>
      </c>
      <c r="E723" s="3" t="s">
        <v>101</v>
      </c>
      <c r="F723" s="3" t="s">
        <v>3003</v>
      </c>
    </row>
    <row r="724" ht="36.0" customHeight="1">
      <c r="A724" s="2" t="s">
        <v>3004</v>
      </c>
      <c r="B724" s="2" t="s">
        <v>2768</v>
      </c>
      <c r="C724" s="2" t="s">
        <v>3005</v>
      </c>
      <c r="D724" s="2" t="s">
        <v>3006</v>
      </c>
      <c r="E724" s="2" t="s">
        <v>1268</v>
      </c>
      <c r="F724" s="2" t="s">
        <v>3007</v>
      </c>
    </row>
    <row r="725" ht="36.0" customHeight="1">
      <c r="A725" s="3" t="s">
        <v>3008</v>
      </c>
      <c r="B725" s="3" t="s">
        <v>2768</v>
      </c>
      <c r="C725" s="3" t="s">
        <v>3009</v>
      </c>
      <c r="D725" s="3" t="s">
        <v>3010</v>
      </c>
      <c r="E725" s="3" t="s">
        <v>1268</v>
      </c>
      <c r="F725" s="3" t="s">
        <v>3011</v>
      </c>
    </row>
    <row r="726" ht="36.0" customHeight="1">
      <c r="A726" s="2" t="s">
        <v>3012</v>
      </c>
      <c r="B726" s="2" t="s">
        <v>2768</v>
      </c>
      <c r="C726" s="2" t="s">
        <v>3013</v>
      </c>
      <c r="D726" s="2" t="s">
        <v>3014</v>
      </c>
      <c r="E726" s="2" t="s">
        <v>1268</v>
      </c>
      <c r="F726" s="2" t="s">
        <v>3015</v>
      </c>
    </row>
    <row r="727" ht="36.0" customHeight="1">
      <c r="A727" s="3" t="s">
        <v>3016</v>
      </c>
      <c r="B727" s="3" t="s">
        <v>2768</v>
      </c>
      <c r="C727" s="3" t="s">
        <v>3017</v>
      </c>
      <c r="D727" s="3" t="s">
        <v>3018</v>
      </c>
      <c r="E727" s="3" t="s">
        <v>2855</v>
      </c>
      <c r="F727" s="3" t="s">
        <v>3019</v>
      </c>
    </row>
    <row r="728" ht="36.0" customHeight="1">
      <c r="A728" s="2" t="s">
        <v>3020</v>
      </c>
      <c r="B728" s="2" t="s">
        <v>2768</v>
      </c>
      <c r="C728" s="2" t="s">
        <v>3021</v>
      </c>
      <c r="D728" s="2" t="s">
        <v>3022</v>
      </c>
      <c r="E728" s="2" t="s">
        <v>2855</v>
      </c>
      <c r="F728" s="2" t="s">
        <v>3023</v>
      </c>
    </row>
    <row r="729" ht="36.0" customHeight="1">
      <c r="A729" s="3" t="s">
        <v>3024</v>
      </c>
      <c r="B729" s="3" t="s">
        <v>2768</v>
      </c>
      <c r="C729" s="3" t="s">
        <v>3025</v>
      </c>
      <c r="D729" s="3" t="s">
        <v>3026</v>
      </c>
      <c r="E729" s="3" t="s">
        <v>937</v>
      </c>
      <c r="F729" s="3" t="s">
        <v>3027</v>
      </c>
    </row>
    <row r="730" ht="36.0" customHeight="1">
      <c r="A730" s="2" t="s">
        <v>3028</v>
      </c>
      <c r="B730" s="2" t="s">
        <v>2768</v>
      </c>
      <c r="C730" s="2" t="s">
        <v>3029</v>
      </c>
      <c r="D730" s="2" t="s">
        <v>3030</v>
      </c>
      <c r="E730" s="2" t="s">
        <v>19</v>
      </c>
      <c r="F730" s="2" t="s">
        <v>3031</v>
      </c>
    </row>
    <row r="731" ht="36.0" customHeight="1">
      <c r="A731" s="3" t="s">
        <v>3032</v>
      </c>
      <c r="B731" s="3" t="s">
        <v>2768</v>
      </c>
      <c r="C731" s="3" t="s">
        <v>3033</v>
      </c>
      <c r="D731" s="3" t="s">
        <v>3034</v>
      </c>
      <c r="E731" s="3" t="s">
        <v>19</v>
      </c>
      <c r="F731" s="3" t="s">
        <v>3035</v>
      </c>
    </row>
    <row r="732" ht="36.0" customHeight="1">
      <c r="A732" s="2" t="s">
        <v>3036</v>
      </c>
      <c r="B732" s="2" t="s">
        <v>2768</v>
      </c>
      <c r="C732" s="2" t="s">
        <v>3037</v>
      </c>
      <c r="D732" s="2" t="s">
        <v>3038</v>
      </c>
      <c r="E732" s="2" t="s">
        <v>19</v>
      </c>
      <c r="F732" s="2" t="s">
        <v>3039</v>
      </c>
    </row>
    <row r="733" ht="36.0" customHeight="1">
      <c r="A733" s="3" t="s">
        <v>3040</v>
      </c>
      <c r="B733" s="3" t="s">
        <v>2768</v>
      </c>
      <c r="C733" s="3" t="s">
        <v>3041</v>
      </c>
      <c r="D733" s="3" t="s">
        <v>3042</v>
      </c>
      <c r="E733" s="3" t="s">
        <v>1756</v>
      </c>
      <c r="F733" s="3" t="s">
        <v>3043</v>
      </c>
    </row>
    <row r="734" ht="36.0" customHeight="1">
      <c r="A734" s="2" t="s">
        <v>3044</v>
      </c>
      <c r="B734" s="2" t="s">
        <v>2768</v>
      </c>
      <c r="C734" s="2" t="s">
        <v>3045</v>
      </c>
      <c r="D734" s="2" t="s">
        <v>3046</v>
      </c>
      <c r="E734" s="2" t="s">
        <v>52</v>
      </c>
      <c r="F734" s="2" t="s">
        <v>3047</v>
      </c>
    </row>
    <row r="735" ht="36.0" customHeight="1">
      <c r="A735" s="3" t="s">
        <v>3048</v>
      </c>
      <c r="B735" s="3" t="s">
        <v>2768</v>
      </c>
      <c r="C735" s="3" t="s">
        <v>3049</v>
      </c>
      <c r="D735" s="3" t="s">
        <v>3050</v>
      </c>
      <c r="E735" s="3" t="s">
        <v>207</v>
      </c>
      <c r="F735" s="3" t="s">
        <v>3051</v>
      </c>
    </row>
    <row r="736" ht="36.0" customHeight="1">
      <c r="A736" s="2" t="s">
        <v>3052</v>
      </c>
      <c r="B736" s="2" t="s">
        <v>2768</v>
      </c>
      <c r="C736" s="2" t="s">
        <v>3053</v>
      </c>
      <c r="D736" s="2" t="s">
        <v>3054</v>
      </c>
      <c r="E736" s="2" t="s">
        <v>207</v>
      </c>
      <c r="F736" s="2" t="s">
        <v>3055</v>
      </c>
    </row>
    <row r="737" ht="36.0" customHeight="1">
      <c r="A737" s="3" t="s">
        <v>3056</v>
      </c>
      <c r="B737" s="3" t="s">
        <v>2768</v>
      </c>
      <c r="C737" s="3" t="s">
        <v>3057</v>
      </c>
      <c r="D737" s="3" t="s">
        <v>3058</v>
      </c>
      <c r="E737" s="3" t="s">
        <v>62</v>
      </c>
      <c r="F737" s="3" t="s">
        <v>3059</v>
      </c>
    </row>
    <row r="738" ht="36.0" customHeight="1">
      <c r="A738" s="2" t="s">
        <v>3060</v>
      </c>
      <c r="B738" s="2" t="s">
        <v>2768</v>
      </c>
      <c r="C738" s="2" t="s">
        <v>3061</v>
      </c>
      <c r="D738" s="2" t="s">
        <v>3062</v>
      </c>
      <c r="E738" s="2" t="s">
        <v>37</v>
      </c>
      <c r="F738" s="2" t="s">
        <v>3063</v>
      </c>
    </row>
    <row r="739" ht="36.0" customHeight="1">
      <c r="A739" s="3" t="s">
        <v>3064</v>
      </c>
      <c r="B739" s="3" t="s">
        <v>2768</v>
      </c>
      <c r="C739" s="3" t="s">
        <v>3065</v>
      </c>
      <c r="D739" s="3" t="s">
        <v>3066</v>
      </c>
      <c r="E739" s="3" t="s">
        <v>538</v>
      </c>
      <c r="F739" s="3" t="s">
        <v>3067</v>
      </c>
    </row>
    <row r="740" ht="36.0" customHeight="1">
      <c r="A740" s="2" t="s">
        <v>3068</v>
      </c>
      <c r="B740" s="2" t="s">
        <v>2768</v>
      </c>
      <c r="C740" s="2" t="s">
        <v>3069</v>
      </c>
      <c r="D740" s="2" t="s">
        <v>3070</v>
      </c>
      <c r="E740" s="2" t="s">
        <v>52</v>
      </c>
      <c r="F740" s="2" t="s">
        <v>3071</v>
      </c>
    </row>
    <row r="741" ht="36.0" customHeight="1">
      <c r="A741" s="3" t="s">
        <v>3072</v>
      </c>
      <c r="B741" s="3" t="s">
        <v>2768</v>
      </c>
      <c r="C741" s="3" t="s">
        <v>3073</v>
      </c>
      <c r="D741" s="3" t="s">
        <v>3074</v>
      </c>
      <c r="E741" s="3" t="s">
        <v>1073</v>
      </c>
      <c r="F741" s="3" t="s">
        <v>3075</v>
      </c>
    </row>
    <row r="742" ht="36.0" customHeight="1">
      <c r="A742" s="2" t="s">
        <v>3076</v>
      </c>
      <c r="B742" s="2" t="s">
        <v>2768</v>
      </c>
      <c r="C742" s="2" t="s">
        <v>3077</v>
      </c>
      <c r="D742" s="2" t="s">
        <v>3078</v>
      </c>
      <c r="E742" s="2" t="s">
        <v>2977</v>
      </c>
      <c r="F742" s="2" t="s">
        <v>3079</v>
      </c>
    </row>
    <row r="743" ht="36.0" customHeight="1">
      <c r="A743" s="3" t="s">
        <v>3080</v>
      </c>
      <c r="B743" s="3" t="s">
        <v>2768</v>
      </c>
      <c r="C743" s="3" t="s">
        <v>3081</v>
      </c>
      <c r="D743" s="3" t="s">
        <v>3082</v>
      </c>
      <c r="E743" s="3" t="s">
        <v>2977</v>
      </c>
      <c r="F743" s="3" t="s">
        <v>3083</v>
      </c>
    </row>
    <row r="744" ht="36.0" customHeight="1">
      <c r="A744" s="2" t="s">
        <v>3084</v>
      </c>
      <c r="B744" s="2" t="s">
        <v>2768</v>
      </c>
      <c r="C744" s="2" t="s">
        <v>3085</v>
      </c>
      <c r="D744" s="2" t="s">
        <v>3086</v>
      </c>
      <c r="E744" s="2" t="s">
        <v>737</v>
      </c>
      <c r="F744" s="2" t="s">
        <v>3087</v>
      </c>
    </row>
    <row r="745" ht="36.0" customHeight="1">
      <c r="A745" s="3" t="s">
        <v>3088</v>
      </c>
      <c r="B745" s="3" t="s">
        <v>2768</v>
      </c>
      <c r="C745" s="3" t="s">
        <v>3089</v>
      </c>
      <c r="D745" s="3" t="s">
        <v>3090</v>
      </c>
      <c r="E745" s="3" t="s">
        <v>2514</v>
      </c>
      <c r="F745" s="3" t="s">
        <v>3091</v>
      </c>
    </row>
    <row r="746" ht="36.0" customHeight="1">
      <c r="A746" s="2" t="s">
        <v>3092</v>
      </c>
      <c r="B746" s="2" t="s">
        <v>2768</v>
      </c>
      <c r="C746" s="2" t="s">
        <v>3093</v>
      </c>
      <c r="D746" s="2" t="s">
        <v>3094</v>
      </c>
      <c r="E746" s="2" t="s">
        <v>2982</v>
      </c>
      <c r="F746" s="2" t="s">
        <v>3095</v>
      </c>
    </row>
    <row r="747" ht="36.0" customHeight="1">
      <c r="A747" s="3" t="s">
        <v>3096</v>
      </c>
      <c r="B747" s="3" t="s">
        <v>2768</v>
      </c>
      <c r="C747" s="3" t="s">
        <v>3097</v>
      </c>
      <c r="D747" s="3" t="s">
        <v>3098</v>
      </c>
      <c r="E747" s="3" t="s">
        <v>2010</v>
      </c>
      <c r="F747" s="3" t="s">
        <v>3099</v>
      </c>
    </row>
    <row r="748" ht="36.0" customHeight="1">
      <c r="A748" s="2" t="s">
        <v>3100</v>
      </c>
      <c r="B748" s="2" t="s">
        <v>2768</v>
      </c>
      <c r="C748" s="2" t="s">
        <v>3101</v>
      </c>
      <c r="D748" s="2" t="s">
        <v>3102</v>
      </c>
      <c r="E748" s="2" t="s">
        <v>345</v>
      </c>
      <c r="F748" s="2" t="s">
        <v>3103</v>
      </c>
    </row>
    <row r="749" ht="36.0" customHeight="1">
      <c r="A749" s="3" t="s">
        <v>3104</v>
      </c>
      <c r="B749" s="3" t="s">
        <v>2768</v>
      </c>
      <c r="C749" s="3" t="s">
        <v>3105</v>
      </c>
      <c r="D749" s="3" t="s">
        <v>2854</v>
      </c>
      <c r="E749" s="3" t="s">
        <v>2855</v>
      </c>
      <c r="F749" s="3" t="s">
        <v>3106</v>
      </c>
    </row>
    <row r="750" ht="36.0" customHeight="1">
      <c r="A750" s="2" t="s">
        <v>3107</v>
      </c>
      <c r="B750" s="2" t="s">
        <v>2768</v>
      </c>
      <c r="C750" s="2" t="s">
        <v>3108</v>
      </c>
      <c r="D750" s="2" t="s">
        <v>3109</v>
      </c>
      <c r="E750" s="2" t="s">
        <v>2855</v>
      </c>
      <c r="F750" s="2" t="s">
        <v>3110</v>
      </c>
    </row>
    <row r="751" ht="36.0" customHeight="1">
      <c r="A751" s="3" t="s">
        <v>3111</v>
      </c>
      <c r="B751" s="3" t="s">
        <v>2768</v>
      </c>
      <c r="C751" s="3" t="s">
        <v>3112</v>
      </c>
      <c r="D751" s="3" t="s">
        <v>3113</v>
      </c>
      <c r="E751" s="3" t="s">
        <v>538</v>
      </c>
      <c r="F751" s="3" t="s">
        <v>3114</v>
      </c>
    </row>
    <row r="752" ht="36.0" customHeight="1">
      <c r="A752" s="2" t="s">
        <v>3115</v>
      </c>
      <c r="B752" s="2" t="s">
        <v>2768</v>
      </c>
      <c r="C752" s="2" t="s">
        <v>3116</v>
      </c>
      <c r="D752" s="2" t="s">
        <v>3117</v>
      </c>
      <c r="E752" s="2" t="s">
        <v>538</v>
      </c>
      <c r="F752" s="2" t="s">
        <v>3118</v>
      </c>
    </row>
    <row r="753" ht="36.0" customHeight="1">
      <c r="A753" s="3" t="s">
        <v>3119</v>
      </c>
      <c r="B753" s="3" t="s">
        <v>2768</v>
      </c>
      <c r="C753" s="3" t="s">
        <v>3120</v>
      </c>
      <c r="D753" s="3" t="s">
        <v>3121</v>
      </c>
      <c r="E753" s="3" t="s">
        <v>2977</v>
      </c>
      <c r="F753" s="3" t="s">
        <v>3122</v>
      </c>
    </row>
    <row r="754" ht="36.0" customHeight="1">
      <c r="A754" s="2" t="s">
        <v>3123</v>
      </c>
      <c r="B754" s="2" t="s">
        <v>2768</v>
      </c>
      <c r="C754" s="2" t="s">
        <v>3124</v>
      </c>
      <c r="D754" s="2" t="s">
        <v>3125</v>
      </c>
      <c r="E754" s="2" t="s">
        <v>435</v>
      </c>
      <c r="F754" s="2" t="s">
        <v>3126</v>
      </c>
    </row>
    <row r="755" ht="36.0" customHeight="1">
      <c r="A755" s="3" t="s">
        <v>3127</v>
      </c>
      <c r="B755" s="3" t="s">
        <v>2768</v>
      </c>
      <c r="C755" s="3" t="s">
        <v>3128</v>
      </c>
      <c r="D755" s="3" t="s">
        <v>3129</v>
      </c>
      <c r="E755" s="3" t="s">
        <v>19</v>
      </c>
      <c r="F755" s="3" t="s">
        <v>3130</v>
      </c>
    </row>
    <row r="756" ht="36.0" customHeight="1">
      <c r="A756" s="2" t="s">
        <v>3131</v>
      </c>
      <c r="B756" s="2" t="s">
        <v>2768</v>
      </c>
      <c r="C756" s="2" t="s">
        <v>3132</v>
      </c>
      <c r="D756" s="2" t="s">
        <v>3133</v>
      </c>
      <c r="E756" s="2" t="s">
        <v>42</v>
      </c>
      <c r="F756" s="2" t="s">
        <v>3134</v>
      </c>
    </row>
    <row r="757" ht="36.0" customHeight="1">
      <c r="A757" s="3" t="s">
        <v>3135</v>
      </c>
      <c r="B757" s="3" t="s">
        <v>2768</v>
      </c>
      <c r="C757" s="3" t="s">
        <v>3136</v>
      </c>
      <c r="D757" s="3" t="s">
        <v>3137</v>
      </c>
      <c r="E757" s="3" t="s">
        <v>229</v>
      </c>
      <c r="F757" s="3" t="s">
        <v>3138</v>
      </c>
    </row>
    <row r="758" ht="36.0" customHeight="1">
      <c r="A758" s="2" t="s">
        <v>3139</v>
      </c>
      <c r="B758" s="2" t="s">
        <v>2768</v>
      </c>
      <c r="C758" s="2" t="s">
        <v>3140</v>
      </c>
      <c r="D758" s="2" t="s">
        <v>3141</v>
      </c>
      <c r="E758" s="2" t="s">
        <v>517</v>
      </c>
      <c r="F758" s="2" t="s">
        <v>3142</v>
      </c>
    </row>
    <row r="759" ht="36.0" customHeight="1">
      <c r="A759" s="3" t="s">
        <v>3143</v>
      </c>
      <c r="B759" s="3" t="s">
        <v>2768</v>
      </c>
      <c r="C759" s="3" t="s">
        <v>3144</v>
      </c>
      <c r="D759" s="3" t="s">
        <v>3145</v>
      </c>
      <c r="E759" s="3" t="s">
        <v>517</v>
      </c>
      <c r="F759" s="3" t="s">
        <v>3146</v>
      </c>
    </row>
    <row r="760" ht="36.0" customHeight="1">
      <c r="A760" s="2" t="s">
        <v>3147</v>
      </c>
      <c r="B760" s="2" t="s">
        <v>2768</v>
      </c>
      <c r="C760" s="2" t="s">
        <v>3148</v>
      </c>
      <c r="D760" s="2" t="s">
        <v>3149</v>
      </c>
      <c r="E760" s="2" t="s">
        <v>267</v>
      </c>
      <c r="F760" s="2" t="s">
        <v>3150</v>
      </c>
    </row>
    <row r="761" ht="36.0" customHeight="1">
      <c r="A761" s="3" t="s">
        <v>3151</v>
      </c>
      <c r="B761" s="3" t="s">
        <v>2768</v>
      </c>
      <c r="C761" s="3" t="s">
        <v>3152</v>
      </c>
      <c r="D761" s="3" t="s">
        <v>3153</v>
      </c>
      <c r="E761" s="3" t="s">
        <v>3154</v>
      </c>
      <c r="F761" s="3" t="s">
        <v>3155</v>
      </c>
    </row>
    <row r="762" ht="36.0" customHeight="1">
      <c r="A762" s="2" t="s">
        <v>3156</v>
      </c>
      <c r="B762" s="2" t="s">
        <v>2768</v>
      </c>
      <c r="C762" s="2" t="s">
        <v>3157</v>
      </c>
      <c r="D762" s="2" t="s">
        <v>3158</v>
      </c>
      <c r="E762" s="2" t="s">
        <v>3154</v>
      </c>
      <c r="F762" s="2" t="s">
        <v>3159</v>
      </c>
    </row>
    <row r="763" ht="36.0" customHeight="1">
      <c r="A763" s="3" t="s">
        <v>3160</v>
      </c>
      <c r="B763" s="3" t="s">
        <v>2768</v>
      </c>
      <c r="C763" s="3" t="s">
        <v>3161</v>
      </c>
      <c r="D763" s="3" t="s">
        <v>3162</v>
      </c>
      <c r="E763" s="3" t="s">
        <v>1756</v>
      </c>
      <c r="F763" s="3" t="s">
        <v>3163</v>
      </c>
    </row>
    <row r="764" ht="36.0" customHeight="1">
      <c r="A764" s="2" t="s">
        <v>3164</v>
      </c>
      <c r="B764" s="2" t="s">
        <v>2768</v>
      </c>
      <c r="C764" s="2" t="s">
        <v>3165</v>
      </c>
      <c r="D764" s="2" t="s">
        <v>3166</v>
      </c>
      <c r="E764" s="2" t="s">
        <v>1655</v>
      </c>
      <c r="F764" s="2" t="s">
        <v>3167</v>
      </c>
    </row>
    <row r="765" ht="36.0" customHeight="1">
      <c r="A765" s="3" t="s">
        <v>3168</v>
      </c>
      <c r="B765" s="3" t="s">
        <v>2768</v>
      </c>
      <c r="C765" s="3" t="s">
        <v>3169</v>
      </c>
      <c r="D765" s="3" t="s">
        <v>3170</v>
      </c>
      <c r="E765" s="3" t="s">
        <v>1655</v>
      </c>
      <c r="F765" s="3" t="s">
        <v>3171</v>
      </c>
    </row>
    <row r="766" ht="36.0" customHeight="1">
      <c r="A766" s="2" t="s">
        <v>3172</v>
      </c>
      <c r="B766" s="2" t="s">
        <v>2768</v>
      </c>
      <c r="C766" s="2" t="s">
        <v>3173</v>
      </c>
      <c r="D766" s="2" t="s">
        <v>3174</v>
      </c>
      <c r="E766" s="2" t="s">
        <v>1655</v>
      </c>
      <c r="F766" s="2" t="s">
        <v>3175</v>
      </c>
    </row>
    <row r="767" ht="36.0" customHeight="1">
      <c r="A767" s="3" t="s">
        <v>3176</v>
      </c>
      <c r="B767" s="3" t="s">
        <v>2768</v>
      </c>
      <c r="C767" s="3" t="s">
        <v>3177</v>
      </c>
      <c r="D767" s="3" t="s">
        <v>3178</v>
      </c>
      <c r="E767" s="3" t="s">
        <v>2010</v>
      </c>
      <c r="F767" s="3" t="s">
        <v>3179</v>
      </c>
    </row>
    <row r="768" ht="36.0" customHeight="1">
      <c r="A768" s="2" t="s">
        <v>3180</v>
      </c>
      <c r="B768" s="2" t="s">
        <v>2768</v>
      </c>
      <c r="C768" s="2" t="s">
        <v>3181</v>
      </c>
      <c r="D768" s="2" t="s">
        <v>3182</v>
      </c>
      <c r="E768" s="2" t="s">
        <v>2126</v>
      </c>
      <c r="F768" s="2" t="s">
        <v>3183</v>
      </c>
    </row>
    <row r="769" ht="36.0" customHeight="1">
      <c r="A769" s="3" t="s">
        <v>3184</v>
      </c>
      <c r="B769" s="3" t="s">
        <v>2768</v>
      </c>
      <c r="C769" s="3" t="s">
        <v>3185</v>
      </c>
      <c r="D769" s="3" t="s">
        <v>3186</v>
      </c>
      <c r="E769" s="3" t="s">
        <v>1073</v>
      </c>
      <c r="F769" s="3" t="s">
        <v>3187</v>
      </c>
    </row>
    <row r="770" ht="36.0" customHeight="1">
      <c r="A770" s="2" t="s">
        <v>3188</v>
      </c>
      <c r="B770" s="2" t="s">
        <v>2768</v>
      </c>
      <c r="C770" s="2" t="s">
        <v>3189</v>
      </c>
      <c r="D770" s="2" t="s">
        <v>3190</v>
      </c>
      <c r="E770" s="2" t="s">
        <v>1073</v>
      </c>
      <c r="F770" s="2" t="s">
        <v>3191</v>
      </c>
    </row>
    <row r="771" ht="36.0" customHeight="1">
      <c r="A771" s="3" t="s">
        <v>3192</v>
      </c>
      <c r="B771" s="3" t="s">
        <v>2768</v>
      </c>
      <c r="C771" s="3" t="s">
        <v>3193</v>
      </c>
      <c r="D771" s="3" t="s">
        <v>3194</v>
      </c>
      <c r="E771" s="3" t="s">
        <v>19</v>
      </c>
      <c r="F771" s="3" t="s">
        <v>3195</v>
      </c>
    </row>
    <row r="772" ht="36.0" customHeight="1">
      <c r="A772" s="2" t="s">
        <v>3196</v>
      </c>
      <c r="B772" s="2" t="s">
        <v>2768</v>
      </c>
      <c r="C772" s="2" t="s">
        <v>3197</v>
      </c>
      <c r="D772" s="2" t="s">
        <v>3198</v>
      </c>
      <c r="E772" s="2" t="s">
        <v>19</v>
      </c>
      <c r="F772" s="2" t="s">
        <v>3199</v>
      </c>
    </row>
    <row r="773" ht="36.0" customHeight="1">
      <c r="A773" s="3" t="s">
        <v>3200</v>
      </c>
      <c r="B773" s="3" t="s">
        <v>2768</v>
      </c>
      <c r="C773" s="3" t="s">
        <v>3201</v>
      </c>
      <c r="D773" s="3" t="s">
        <v>3202</v>
      </c>
      <c r="E773" s="3" t="s">
        <v>19</v>
      </c>
      <c r="F773" s="3" t="s">
        <v>3203</v>
      </c>
    </row>
    <row r="774" ht="36.0" customHeight="1">
      <c r="A774" s="2" t="s">
        <v>3204</v>
      </c>
      <c r="B774" s="2" t="s">
        <v>2768</v>
      </c>
      <c r="C774" s="2" t="s">
        <v>3205</v>
      </c>
      <c r="D774" s="2" t="s">
        <v>3206</v>
      </c>
      <c r="E774" s="2" t="s">
        <v>3207</v>
      </c>
      <c r="F774" s="2" t="s">
        <v>3208</v>
      </c>
    </row>
    <row r="775" ht="36.0" customHeight="1">
      <c r="A775" s="3" t="s">
        <v>3209</v>
      </c>
      <c r="B775" s="3" t="s">
        <v>2768</v>
      </c>
      <c r="C775" s="3" t="s">
        <v>3210</v>
      </c>
      <c r="D775" s="3" t="s">
        <v>3211</v>
      </c>
      <c r="E775" s="3" t="s">
        <v>3207</v>
      </c>
      <c r="F775" s="3" t="s">
        <v>3212</v>
      </c>
    </row>
    <row r="776" ht="36.0" customHeight="1">
      <c r="A776" s="2" t="s">
        <v>3213</v>
      </c>
      <c r="B776" s="2" t="s">
        <v>2768</v>
      </c>
      <c r="C776" s="2" t="s">
        <v>3214</v>
      </c>
      <c r="D776" s="2" t="s">
        <v>3215</v>
      </c>
      <c r="E776" s="2" t="s">
        <v>207</v>
      </c>
      <c r="F776" s="2" t="s">
        <v>3216</v>
      </c>
    </row>
    <row r="777" ht="36.0" customHeight="1">
      <c r="A777" s="3" t="s">
        <v>3217</v>
      </c>
      <c r="B777" s="3" t="s">
        <v>2768</v>
      </c>
      <c r="C777" s="3" t="s">
        <v>3218</v>
      </c>
      <c r="D777" s="3" t="s">
        <v>3219</v>
      </c>
      <c r="E777" s="3" t="s">
        <v>207</v>
      </c>
      <c r="F777" s="3" t="s">
        <v>3220</v>
      </c>
    </row>
    <row r="778" ht="36.0" customHeight="1">
      <c r="A778" s="2" t="s">
        <v>3221</v>
      </c>
      <c r="B778" s="2" t="s">
        <v>2768</v>
      </c>
      <c r="C778" s="2" t="s">
        <v>3222</v>
      </c>
      <c r="D778" s="2" t="s">
        <v>3223</v>
      </c>
      <c r="E778" s="2" t="s">
        <v>62</v>
      </c>
      <c r="F778" s="2" t="s">
        <v>3224</v>
      </c>
    </row>
    <row r="779" ht="36.0" customHeight="1">
      <c r="A779" s="3" t="s">
        <v>3225</v>
      </c>
      <c r="B779" s="3" t="s">
        <v>2768</v>
      </c>
      <c r="C779" s="3" t="s">
        <v>3226</v>
      </c>
      <c r="D779" s="3" t="s">
        <v>3227</v>
      </c>
      <c r="E779" s="3" t="s">
        <v>2143</v>
      </c>
      <c r="F779" s="3" t="s">
        <v>3228</v>
      </c>
    </row>
    <row r="780" ht="36.0" customHeight="1">
      <c r="A780" s="2" t="s">
        <v>3229</v>
      </c>
      <c r="B780" s="2" t="s">
        <v>2768</v>
      </c>
      <c r="C780" s="2" t="s">
        <v>3230</v>
      </c>
      <c r="D780" s="2" t="s">
        <v>3231</v>
      </c>
      <c r="E780" s="2" t="s">
        <v>37</v>
      </c>
      <c r="F780" s="2" t="s">
        <v>3232</v>
      </c>
    </row>
    <row r="781" ht="36.0" customHeight="1">
      <c r="A781" s="3" t="s">
        <v>3233</v>
      </c>
      <c r="B781" s="3" t="s">
        <v>2768</v>
      </c>
      <c r="C781" s="3" t="s">
        <v>3234</v>
      </c>
      <c r="D781" s="3" t="s">
        <v>3235</v>
      </c>
      <c r="E781" s="3" t="s">
        <v>42</v>
      </c>
      <c r="F781" s="3" t="s">
        <v>3236</v>
      </c>
    </row>
    <row r="782" ht="36.0" customHeight="1">
      <c r="A782" s="2" t="s">
        <v>3237</v>
      </c>
      <c r="B782" s="2" t="s">
        <v>2768</v>
      </c>
      <c r="C782" s="2" t="s">
        <v>3238</v>
      </c>
      <c r="D782" s="2" t="s">
        <v>3239</v>
      </c>
      <c r="E782" s="2" t="s">
        <v>1655</v>
      </c>
      <c r="F782" s="2" t="s">
        <v>3240</v>
      </c>
    </row>
    <row r="783" ht="36.0" customHeight="1">
      <c r="A783" s="3" t="s">
        <v>3241</v>
      </c>
      <c r="B783" s="3" t="s">
        <v>2768</v>
      </c>
      <c r="C783" s="3" t="s">
        <v>3242</v>
      </c>
      <c r="D783" s="3" t="s">
        <v>3243</v>
      </c>
      <c r="E783" s="3" t="s">
        <v>229</v>
      </c>
      <c r="F783" s="3" t="s">
        <v>3244</v>
      </c>
    </row>
    <row r="784" ht="36.0" customHeight="1">
      <c r="A784" s="2" t="s">
        <v>3245</v>
      </c>
      <c r="B784" s="2" t="s">
        <v>2768</v>
      </c>
      <c r="C784" s="2" t="s">
        <v>3246</v>
      </c>
      <c r="D784" s="2" t="s">
        <v>3247</v>
      </c>
      <c r="E784" s="2" t="s">
        <v>229</v>
      </c>
      <c r="F784" s="2" t="s">
        <v>3248</v>
      </c>
    </row>
    <row r="785" ht="36.0" customHeight="1">
      <c r="A785" s="3" t="s">
        <v>3249</v>
      </c>
      <c r="B785" s="3" t="s">
        <v>2768</v>
      </c>
      <c r="C785" s="3" t="s">
        <v>3250</v>
      </c>
      <c r="D785" s="3" t="s">
        <v>3251</v>
      </c>
      <c r="E785" s="3" t="s">
        <v>229</v>
      </c>
      <c r="F785" s="3" t="s">
        <v>3252</v>
      </c>
    </row>
    <row r="786" ht="36.0" customHeight="1">
      <c r="A786" s="2" t="s">
        <v>3253</v>
      </c>
      <c r="B786" s="2" t="s">
        <v>2768</v>
      </c>
      <c r="C786" s="2" t="s">
        <v>3254</v>
      </c>
      <c r="D786" s="2" t="s">
        <v>3255</v>
      </c>
      <c r="E786" s="2" t="s">
        <v>57</v>
      </c>
      <c r="F786" s="2" t="s">
        <v>3256</v>
      </c>
    </row>
    <row r="787" ht="36.0" customHeight="1">
      <c r="A787" s="3" t="s">
        <v>3257</v>
      </c>
      <c r="B787" s="3" t="s">
        <v>2768</v>
      </c>
      <c r="C787" s="3" t="s">
        <v>3258</v>
      </c>
      <c r="D787" s="3" t="s">
        <v>3259</v>
      </c>
      <c r="E787" s="3" t="s">
        <v>2977</v>
      </c>
      <c r="F787" s="3" t="s">
        <v>3260</v>
      </c>
    </row>
    <row r="788" ht="36.0" customHeight="1">
      <c r="A788" s="2" t="s">
        <v>3261</v>
      </c>
      <c r="B788" s="2" t="s">
        <v>2768</v>
      </c>
      <c r="C788" s="2" t="s">
        <v>3262</v>
      </c>
      <c r="D788" s="2" t="s">
        <v>3263</v>
      </c>
      <c r="E788" s="2" t="s">
        <v>2977</v>
      </c>
      <c r="F788" s="2" t="s">
        <v>3264</v>
      </c>
    </row>
    <row r="789" ht="36.0" customHeight="1">
      <c r="A789" s="3" t="s">
        <v>3265</v>
      </c>
      <c r="B789" s="3" t="s">
        <v>2768</v>
      </c>
      <c r="C789" s="3" t="s">
        <v>3266</v>
      </c>
      <c r="D789" s="3" t="s">
        <v>3267</v>
      </c>
      <c r="E789" s="3" t="s">
        <v>2977</v>
      </c>
      <c r="F789" s="3" t="s">
        <v>3268</v>
      </c>
    </row>
    <row r="790" ht="36.0" customHeight="1">
      <c r="A790" s="2" t="s">
        <v>3269</v>
      </c>
      <c r="B790" s="2" t="s">
        <v>2768</v>
      </c>
      <c r="C790" s="2" t="s">
        <v>3270</v>
      </c>
      <c r="D790" s="2" t="s">
        <v>3271</v>
      </c>
      <c r="E790" s="2" t="s">
        <v>2977</v>
      </c>
      <c r="F790" s="2" t="s">
        <v>3272</v>
      </c>
    </row>
    <row r="791" ht="36.0" customHeight="1">
      <c r="A791" s="3" t="s">
        <v>3273</v>
      </c>
      <c r="B791" s="3" t="s">
        <v>2768</v>
      </c>
      <c r="C791" s="3" t="s">
        <v>3274</v>
      </c>
      <c r="D791" s="3" t="s">
        <v>3275</v>
      </c>
      <c r="E791" s="3" t="s">
        <v>2977</v>
      </c>
      <c r="F791" s="3" t="s">
        <v>3276</v>
      </c>
    </row>
    <row r="792" ht="36.0" customHeight="1">
      <c r="A792" s="2" t="s">
        <v>3277</v>
      </c>
      <c r="B792" s="2" t="s">
        <v>2768</v>
      </c>
      <c r="C792" s="2" t="s">
        <v>3278</v>
      </c>
      <c r="D792" s="2" t="s">
        <v>3279</v>
      </c>
      <c r="E792" s="2" t="s">
        <v>1143</v>
      </c>
      <c r="F792" s="2" t="s">
        <v>3280</v>
      </c>
    </row>
    <row r="793" ht="36.0" customHeight="1">
      <c r="A793" s="3" t="s">
        <v>3281</v>
      </c>
      <c r="B793" s="3" t="s">
        <v>2768</v>
      </c>
      <c r="C793" s="3" t="s">
        <v>3282</v>
      </c>
      <c r="D793" s="3" t="s">
        <v>3283</v>
      </c>
      <c r="E793" s="3" t="s">
        <v>2010</v>
      </c>
      <c r="F793" s="3" t="s">
        <v>3284</v>
      </c>
    </row>
    <row r="794" ht="36.0" customHeight="1">
      <c r="A794" s="2" t="s">
        <v>3285</v>
      </c>
      <c r="B794" s="2" t="s">
        <v>2768</v>
      </c>
      <c r="C794" s="2" t="s">
        <v>3286</v>
      </c>
      <c r="D794" s="2" t="s">
        <v>3287</v>
      </c>
      <c r="E794" s="2" t="s">
        <v>224</v>
      </c>
      <c r="F794" s="2" t="s">
        <v>3288</v>
      </c>
    </row>
    <row r="795" ht="36.0" customHeight="1">
      <c r="A795" s="3" t="s">
        <v>3289</v>
      </c>
      <c r="B795" s="3" t="s">
        <v>2768</v>
      </c>
      <c r="C795" s="3" t="s">
        <v>3290</v>
      </c>
      <c r="D795" s="3" t="s">
        <v>3291</v>
      </c>
      <c r="E795" s="3" t="s">
        <v>224</v>
      </c>
      <c r="F795" s="3" t="s">
        <v>3292</v>
      </c>
    </row>
    <row r="796" ht="36.0" customHeight="1">
      <c r="A796" s="2" t="s">
        <v>3293</v>
      </c>
      <c r="B796" s="2" t="s">
        <v>2768</v>
      </c>
      <c r="C796" s="2" t="s">
        <v>3294</v>
      </c>
      <c r="D796" s="2" t="s">
        <v>3295</v>
      </c>
      <c r="E796" s="2" t="s">
        <v>517</v>
      </c>
      <c r="F796" s="2" t="s">
        <v>3296</v>
      </c>
    </row>
    <row r="797" ht="36.0" customHeight="1">
      <c r="A797" s="3" t="s">
        <v>3297</v>
      </c>
      <c r="B797" s="3" t="s">
        <v>2768</v>
      </c>
      <c r="C797" s="3" t="s">
        <v>3298</v>
      </c>
      <c r="D797" s="3" t="s">
        <v>3299</v>
      </c>
      <c r="E797" s="3" t="s">
        <v>1102</v>
      </c>
      <c r="F797" s="3" t="s">
        <v>3300</v>
      </c>
    </row>
    <row r="798" ht="36.0" customHeight="1">
      <c r="A798" s="2" t="s">
        <v>3301</v>
      </c>
      <c r="B798" s="2" t="s">
        <v>2768</v>
      </c>
      <c r="C798" s="2" t="s">
        <v>3302</v>
      </c>
      <c r="D798" s="2" t="s">
        <v>3303</v>
      </c>
      <c r="E798" s="2" t="s">
        <v>2977</v>
      </c>
      <c r="F798" s="2" t="s">
        <v>3304</v>
      </c>
    </row>
    <row r="799" ht="36.0" customHeight="1">
      <c r="A799" s="3" t="s">
        <v>3305</v>
      </c>
      <c r="B799" s="3" t="s">
        <v>2768</v>
      </c>
      <c r="C799" s="3" t="s">
        <v>3306</v>
      </c>
      <c r="D799" s="3" t="s">
        <v>3307</v>
      </c>
      <c r="E799" s="3" t="s">
        <v>1102</v>
      </c>
      <c r="F799" s="3" t="s">
        <v>3308</v>
      </c>
    </row>
    <row r="800" ht="36.0" customHeight="1">
      <c r="A800" s="2" t="s">
        <v>3309</v>
      </c>
      <c r="B800" s="2" t="s">
        <v>2768</v>
      </c>
      <c r="C800" s="2" t="s">
        <v>3310</v>
      </c>
      <c r="D800" s="2" t="s">
        <v>3311</v>
      </c>
      <c r="E800" s="2" t="s">
        <v>1143</v>
      </c>
      <c r="F800" s="2" t="s">
        <v>3312</v>
      </c>
    </row>
    <row r="801" ht="36.0" customHeight="1">
      <c r="A801" s="3" t="s">
        <v>3313</v>
      </c>
      <c r="B801" s="3" t="s">
        <v>2768</v>
      </c>
      <c r="C801" s="3" t="s">
        <v>3314</v>
      </c>
      <c r="D801" s="3" t="s">
        <v>3315</v>
      </c>
      <c r="E801" s="3" t="s">
        <v>2811</v>
      </c>
      <c r="F801" s="3" t="s">
        <v>3316</v>
      </c>
    </row>
    <row r="802" ht="36.0" customHeight="1">
      <c r="A802" s="2" t="s">
        <v>3317</v>
      </c>
      <c r="B802" s="2" t="s">
        <v>2768</v>
      </c>
      <c r="C802" s="2" t="s">
        <v>3318</v>
      </c>
      <c r="D802" s="2" t="s">
        <v>3319</v>
      </c>
      <c r="E802" s="2" t="s">
        <v>340</v>
      </c>
      <c r="F802" s="2" t="s">
        <v>3320</v>
      </c>
    </row>
    <row r="803" ht="36.0" customHeight="1">
      <c r="A803" s="3" t="s">
        <v>3321</v>
      </c>
      <c r="B803" s="3" t="s">
        <v>2768</v>
      </c>
      <c r="C803" s="3" t="s">
        <v>3322</v>
      </c>
      <c r="D803" s="3" t="s">
        <v>3323</v>
      </c>
      <c r="E803" s="3" t="s">
        <v>91</v>
      </c>
      <c r="F803" s="3" t="s">
        <v>3324</v>
      </c>
    </row>
    <row r="804" ht="36.0" customHeight="1">
      <c r="A804" s="2" t="s">
        <v>3325</v>
      </c>
      <c r="B804" s="2" t="s">
        <v>2768</v>
      </c>
      <c r="C804" s="2" t="s">
        <v>3326</v>
      </c>
      <c r="D804" s="2" t="s">
        <v>3327</v>
      </c>
      <c r="E804" s="2" t="s">
        <v>392</v>
      </c>
      <c r="F804" s="2" t="s">
        <v>3328</v>
      </c>
    </row>
    <row r="805" ht="36.0" customHeight="1">
      <c r="A805" s="3" t="s">
        <v>3329</v>
      </c>
      <c r="B805" s="3" t="s">
        <v>2768</v>
      </c>
      <c r="C805" s="3" t="s">
        <v>3330</v>
      </c>
      <c r="D805" s="3" t="s">
        <v>3331</v>
      </c>
      <c r="E805" s="3" t="s">
        <v>3332</v>
      </c>
      <c r="F805" s="3" t="s">
        <v>3333</v>
      </c>
    </row>
    <row r="806" ht="36.0" customHeight="1">
      <c r="A806" s="2" t="s">
        <v>3334</v>
      </c>
      <c r="B806" s="2" t="s">
        <v>2768</v>
      </c>
      <c r="C806" s="2" t="s">
        <v>3335</v>
      </c>
      <c r="D806" s="2" t="s">
        <v>3336</v>
      </c>
      <c r="E806" s="2" t="s">
        <v>3332</v>
      </c>
      <c r="F806" s="2" t="s">
        <v>3337</v>
      </c>
    </row>
    <row r="807" ht="36.0" customHeight="1">
      <c r="A807" s="3" t="s">
        <v>3338</v>
      </c>
      <c r="B807" s="3" t="s">
        <v>2768</v>
      </c>
      <c r="C807" s="3" t="s">
        <v>3339</v>
      </c>
      <c r="D807" s="3" t="s">
        <v>3340</v>
      </c>
      <c r="E807" s="3" t="s">
        <v>91</v>
      </c>
      <c r="F807" s="3" t="s">
        <v>3341</v>
      </c>
    </row>
    <row r="808" ht="36.0" customHeight="1">
      <c r="A808" s="2" t="s">
        <v>3342</v>
      </c>
      <c r="B808" s="2" t="s">
        <v>2768</v>
      </c>
      <c r="C808" s="2" t="s">
        <v>3343</v>
      </c>
      <c r="D808" s="2" t="s">
        <v>3344</v>
      </c>
      <c r="E808" s="2" t="s">
        <v>91</v>
      </c>
      <c r="F808" s="2" t="s">
        <v>3345</v>
      </c>
    </row>
    <row r="809" ht="36.0" customHeight="1">
      <c r="A809" s="3" t="s">
        <v>3346</v>
      </c>
      <c r="B809" s="3" t="s">
        <v>2768</v>
      </c>
      <c r="C809" s="3" t="s">
        <v>3347</v>
      </c>
      <c r="D809" s="3" t="s">
        <v>3348</v>
      </c>
      <c r="E809" s="3" t="s">
        <v>91</v>
      </c>
      <c r="F809" s="3" t="s">
        <v>3349</v>
      </c>
    </row>
    <row r="810" ht="36.0" customHeight="1">
      <c r="A810" s="2" t="s">
        <v>3350</v>
      </c>
      <c r="B810" s="2" t="s">
        <v>2768</v>
      </c>
      <c r="C810" s="2" t="s">
        <v>3351</v>
      </c>
      <c r="D810" s="2" t="s">
        <v>3352</v>
      </c>
      <c r="E810" s="2" t="s">
        <v>3353</v>
      </c>
      <c r="F810" s="2" t="s">
        <v>3354</v>
      </c>
    </row>
    <row r="811" ht="36.0" customHeight="1">
      <c r="A811" s="3" t="s">
        <v>3355</v>
      </c>
      <c r="B811" s="3" t="s">
        <v>2768</v>
      </c>
      <c r="C811" s="3" t="s">
        <v>3356</v>
      </c>
      <c r="D811" s="3" t="s">
        <v>3357</v>
      </c>
      <c r="E811" s="3" t="s">
        <v>91</v>
      </c>
      <c r="F811" s="3" t="s">
        <v>3358</v>
      </c>
    </row>
    <row r="812" ht="36.0" customHeight="1">
      <c r="A812" s="2" t="s">
        <v>3359</v>
      </c>
      <c r="B812" s="2" t="s">
        <v>2768</v>
      </c>
      <c r="C812" s="2" t="s">
        <v>3360</v>
      </c>
      <c r="D812" s="2" t="s">
        <v>3361</v>
      </c>
      <c r="E812" s="2" t="s">
        <v>695</v>
      </c>
      <c r="F812" s="2" t="s">
        <v>3362</v>
      </c>
    </row>
    <row r="813" ht="36.0" customHeight="1">
      <c r="A813" s="3" t="s">
        <v>3363</v>
      </c>
      <c r="B813" s="3" t="s">
        <v>2768</v>
      </c>
      <c r="C813" s="3" t="s">
        <v>3364</v>
      </c>
      <c r="D813" s="3" t="s">
        <v>3365</v>
      </c>
      <c r="E813" s="3" t="s">
        <v>1143</v>
      </c>
      <c r="F813" s="3" t="s">
        <v>3366</v>
      </c>
    </row>
    <row r="814" ht="36.0" customHeight="1">
      <c r="A814" s="2" t="s">
        <v>3367</v>
      </c>
      <c r="B814" s="2" t="s">
        <v>2768</v>
      </c>
      <c r="C814" s="2" t="s">
        <v>3368</v>
      </c>
      <c r="D814" s="2" t="s">
        <v>3369</v>
      </c>
      <c r="E814" s="2" t="s">
        <v>392</v>
      </c>
      <c r="F814" s="2" t="s">
        <v>3370</v>
      </c>
    </row>
    <row r="815" ht="36.0" customHeight="1">
      <c r="A815" s="3" t="s">
        <v>3371</v>
      </c>
      <c r="B815" s="3" t="s">
        <v>2768</v>
      </c>
      <c r="C815" s="3" t="s">
        <v>3372</v>
      </c>
      <c r="D815" s="3" t="s">
        <v>3373</v>
      </c>
      <c r="E815" s="3" t="s">
        <v>392</v>
      </c>
      <c r="F815" s="3" t="s">
        <v>3374</v>
      </c>
    </row>
    <row r="816" ht="36.0" customHeight="1">
      <c r="A816" s="2" t="s">
        <v>3375</v>
      </c>
      <c r="B816" s="2" t="s">
        <v>2768</v>
      </c>
      <c r="C816" s="2" t="s">
        <v>3376</v>
      </c>
      <c r="D816" s="2" t="s">
        <v>3377</v>
      </c>
      <c r="E816" s="2" t="s">
        <v>267</v>
      </c>
      <c r="F816" s="2" t="s">
        <v>3378</v>
      </c>
    </row>
    <row r="817" ht="36.0" customHeight="1">
      <c r="A817" s="3" t="s">
        <v>3379</v>
      </c>
      <c r="B817" s="3" t="s">
        <v>2768</v>
      </c>
      <c r="C817" s="3" t="s">
        <v>3380</v>
      </c>
      <c r="D817" s="3" t="s">
        <v>3381</v>
      </c>
      <c r="E817" s="3" t="s">
        <v>267</v>
      </c>
      <c r="F817" s="3" t="s">
        <v>3382</v>
      </c>
    </row>
    <row r="818" ht="36.0" customHeight="1">
      <c r="A818" s="2" t="s">
        <v>3383</v>
      </c>
      <c r="B818" s="2" t="s">
        <v>2768</v>
      </c>
      <c r="C818" s="2" t="s">
        <v>3384</v>
      </c>
      <c r="D818" s="2" t="s">
        <v>3385</v>
      </c>
      <c r="E818" s="2" t="s">
        <v>267</v>
      </c>
      <c r="F818" s="2" t="s">
        <v>3386</v>
      </c>
    </row>
    <row r="819" ht="36.0" customHeight="1">
      <c r="A819" s="3" t="s">
        <v>3387</v>
      </c>
      <c r="B819" s="3" t="s">
        <v>2768</v>
      </c>
      <c r="C819" s="3" t="s">
        <v>3388</v>
      </c>
      <c r="D819" s="3" t="s">
        <v>3389</v>
      </c>
      <c r="E819" s="3" t="s">
        <v>695</v>
      </c>
      <c r="F819" s="3" t="s">
        <v>3390</v>
      </c>
    </row>
    <row r="820" ht="36.0" customHeight="1">
      <c r="A820" s="2" t="s">
        <v>3391</v>
      </c>
      <c r="B820" s="2" t="s">
        <v>2768</v>
      </c>
      <c r="C820" s="2" t="s">
        <v>3392</v>
      </c>
      <c r="D820" s="2" t="s">
        <v>3393</v>
      </c>
      <c r="E820" s="2" t="s">
        <v>695</v>
      </c>
      <c r="F820" s="2" t="s">
        <v>3394</v>
      </c>
    </row>
    <row r="821" ht="36.0" customHeight="1">
      <c r="A821" s="3" t="s">
        <v>3395</v>
      </c>
      <c r="B821" s="3" t="s">
        <v>2768</v>
      </c>
      <c r="C821" s="3" t="s">
        <v>3396</v>
      </c>
      <c r="D821" s="3" t="s">
        <v>3397</v>
      </c>
      <c r="E821" s="3" t="s">
        <v>695</v>
      </c>
      <c r="F821" s="3" t="s">
        <v>3398</v>
      </c>
    </row>
    <row r="822" ht="36.0" customHeight="1">
      <c r="A822" s="2" t="s">
        <v>3399</v>
      </c>
      <c r="B822" s="2" t="s">
        <v>2768</v>
      </c>
      <c r="C822" s="2" t="s">
        <v>3400</v>
      </c>
      <c r="D822" s="2" t="s">
        <v>3401</v>
      </c>
      <c r="E822" s="2" t="s">
        <v>695</v>
      </c>
      <c r="F822" s="2" t="s">
        <v>3402</v>
      </c>
    </row>
    <row r="823" ht="36.0" customHeight="1">
      <c r="A823" s="3" t="s">
        <v>3403</v>
      </c>
      <c r="B823" s="3" t="s">
        <v>2768</v>
      </c>
      <c r="C823" s="3" t="s">
        <v>3404</v>
      </c>
      <c r="D823" s="3" t="s">
        <v>3405</v>
      </c>
      <c r="E823" s="3" t="s">
        <v>695</v>
      </c>
      <c r="F823" s="3" t="s">
        <v>3406</v>
      </c>
    </row>
    <row r="824" ht="36.0" customHeight="1">
      <c r="A824" s="2" t="s">
        <v>3407</v>
      </c>
      <c r="B824" s="2" t="s">
        <v>2768</v>
      </c>
      <c r="C824" s="2" t="s">
        <v>3408</v>
      </c>
      <c r="D824" s="2" t="s">
        <v>3409</v>
      </c>
      <c r="E824" s="2" t="s">
        <v>695</v>
      </c>
      <c r="F824" s="2" t="s">
        <v>3410</v>
      </c>
    </row>
    <row r="825" ht="36.0" customHeight="1">
      <c r="A825" s="3" t="s">
        <v>3411</v>
      </c>
      <c r="B825" s="3" t="s">
        <v>2768</v>
      </c>
      <c r="C825" s="3" t="s">
        <v>3412</v>
      </c>
      <c r="D825" s="3" t="s">
        <v>3413</v>
      </c>
      <c r="E825" s="3" t="s">
        <v>1143</v>
      </c>
      <c r="F825" s="3" t="s">
        <v>3414</v>
      </c>
    </row>
    <row r="826" ht="36.0" customHeight="1">
      <c r="A826" s="2" t="s">
        <v>3415</v>
      </c>
      <c r="B826" s="2" t="s">
        <v>2768</v>
      </c>
      <c r="C826" s="2" t="s">
        <v>3416</v>
      </c>
      <c r="D826" s="2" t="s">
        <v>3417</v>
      </c>
      <c r="E826" s="2" t="s">
        <v>1268</v>
      </c>
      <c r="F826" s="2" t="s">
        <v>3418</v>
      </c>
    </row>
    <row r="827" ht="36.0" customHeight="1">
      <c r="A827" s="3" t="s">
        <v>3419</v>
      </c>
      <c r="B827" s="3" t="s">
        <v>2768</v>
      </c>
      <c r="C827" s="3" t="s">
        <v>3420</v>
      </c>
      <c r="D827" s="3" t="s">
        <v>3421</v>
      </c>
      <c r="E827" s="3" t="s">
        <v>1143</v>
      </c>
      <c r="F827" s="3" t="s">
        <v>3422</v>
      </c>
    </row>
    <row r="828" ht="36.0" customHeight="1">
      <c r="A828" s="2" t="s">
        <v>3423</v>
      </c>
      <c r="B828" s="2" t="s">
        <v>2768</v>
      </c>
      <c r="C828" s="2" t="s">
        <v>3424</v>
      </c>
      <c r="D828" s="2" t="s">
        <v>3425</v>
      </c>
      <c r="E828" s="2" t="s">
        <v>724</v>
      </c>
      <c r="F828" s="2" t="s">
        <v>3426</v>
      </c>
    </row>
    <row r="829" ht="36.0" customHeight="1">
      <c r="A829" s="3" t="s">
        <v>3427</v>
      </c>
      <c r="B829" s="3" t="s">
        <v>2768</v>
      </c>
      <c r="C829" s="3" t="s">
        <v>3428</v>
      </c>
      <c r="D829" s="3" t="s">
        <v>3429</v>
      </c>
      <c r="E829" s="3" t="s">
        <v>1355</v>
      </c>
      <c r="F829" s="3" t="s">
        <v>3430</v>
      </c>
    </row>
    <row r="830" ht="36.0" customHeight="1">
      <c r="A830" s="2" t="s">
        <v>3431</v>
      </c>
      <c r="B830" s="2" t="s">
        <v>2768</v>
      </c>
      <c r="C830" s="2" t="s">
        <v>3432</v>
      </c>
      <c r="D830" s="2" t="s">
        <v>3433</v>
      </c>
      <c r="E830" s="2" t="s">
        <v>2824</v>
      </c>
      <c r="F830" s="2" t="s">
        <v>3434</v>
      </c>
    </row>
    <row r="831" ht="36.0" customHeight="1">
      <c r="A831" s="3" t="s">
        <v>3435</v>
      </c>
      <c r="B831" s="3" t="s">
        <v>2768</v>
      </c>
      <c r="C831" s="3" t="s">
        <v>3436</v>
      </c>
      <c r="D831" s="3" t="s">
        <v>3437</v>
      </c>
      <c r="E831" s="3" t="s">
        <v>96</v>
      </c>
      <c r="F831" s="3" t="s">
        <v>3438</v>
      </c>
    </row>
    <row r="832" ht="36.0" customHeight="1">
      <c r="A832" s="2" t="s">
        <v>3439</v>
      </c>
      <c r="B832" s="2" t="s">
        <v>2768</v>
      </c>
      <c r="C832" s="2" t="s">
        <v>3440</v>
      </c>
      <c r="D832" s="2" t="s">
        <v>3441</v>
      </c>
      <c r="E832" s="2" t="s">
        <v>96</v>
      </c>
      <c r="F832" s="2" t="s">
        <v>3442</v>
      </c>
    </row>
    <row r="833" ht="36.0" customHeight="1">
      <c r="A833" s="3" t="s">
        <v>3443</v>
      </c>
      <c r="B833" s="3" t="s">
        <v>2768</v>
      </c>
      <c r="C833" s="3" t="s">
        <v>3444</v>
      </c>
      <c r="D833" s="3" t="s">
        <v>3445</v>
      </c>
      <c r="E833" s="3" t="s">
        <v>96</v>
      </c>
      <c r="F833" s="3" t="s">
        <v>3446</v>
      </c>
    </row>
    <row r="834" ht="36.0" customHeight="1">
      <c r="A834" s="2" t="s">
        <v>3447</v>
      </c>
      <c r="B834" s="2" t="s">
        <v>2768</v>
      </c>
      <c r="C834" s="2" t="s">
        <v>3448</v>
      </c>
      <c r="D834" s="2" t="s">
        <v>3449</v>
      </c>
      <c r="E834" s="2" t="s">
        <v>96</v>
      </c>
      <c r="F834" s="2" t="s">
        <v>3450</v>
      </c>
    </row>
    <row r="835" ht="36.0" customHeight="1">
      <c r="A835" s="3" t="s">
        <v>3451</v>
      </c>
      <c r="B835" s="3" t="s">
        <v>2768</v>
      </c>
      <c r="C835" s="3" t="s">
        <v>3452</v>
      </c>
      <c r="D835" s="3" t="s">
        <v>3453</v>
      </c>
      <c r="E835" s="3" t="s">
        <v>96</v>
      </c>
      <c r="F835" s="3" t="s">
        <v>3454</v>
      </c>
    </row>
    <row r="836" ht="36.0" customHeight="1">
      <c r="A836" s="2" t="s">
        <v>3455</v>
      </c>
      <c r="B836" s="2" t="s">
        <v>2768</v>
      </c>
      <c r="C836" s="2" t="s">
        <v>3456</v>
      </c>
      <c r="D836" s="2" t="s">
        <v>3457</v>
      </c>
      <c r="E836" s="2" t="s">
        <v>96</v>
      </c>
      <c r="F836" s="2" t="s">
        <v>3458</v>
      </c>
    </row>
    <row r="837" ht="36.0" customHeight="1">
      <c r="A837" s="3" t="s">
        <v>3459</v>
      </c>
      <c r="B837" s="3" t="s">
        <v>2768</v>
      </c>
      <c r="C837" s="3" t="s">
        <v>3460</v>
      </c>
      <c r="D837" s="3" t="s">
        <v>3461</v>
      </c>
      <c r="E837" s="3" t="s">
        <v>96</v>
      </c>
      <c r="F837" s="3" t="s">
        <v>3462</v>
      </c>
    </row>
    <row r="838" ht="36.0" customHeight="1">
      <c r="A838" s="2" t="s">
        <v>3463</v>
      </c>
      <c r="B838" s="2" t="s">
        <v>2768</v>
      </c>
      <c r="C838" s="2" t="s">
        <v>3464</v>
      </c>
      <c r="D838" s="2" t="s">
        <v>3465</v>
      </c>
      <c r="E838" s="2" t="s">
        <v>96</v>
      </c>
      <c r="F838" s="2" t="s">
        <v>3466</v>
      </c>
    </row>
    <row r="839" ht="36.0" customHeight="1">
      <c r="A839" s="3" t="s">
        <v>3467</v>
      </c>
      <c r="B839" s="3" t="s">
        <v>2768</v>
      </c>
      <c r="C839" s="3" t="s">
        <v>3468</v>
      </c>
      <c r="D839" s="3" t="s">
        <v>3445</v>
      </c>
      <c r="E839" s="3" t="s">
        <v>96</v>
      </c>
      <c r="F839" s="3" t="s">
        <v>3469</v>
      </c>
    </row>
    <row r="840" ht="36.0" customHeight="1">
      <c r="A840" s="2" t="s">
        <v>3470</v>
      </c>
      <c r="B840" s="2" t="s">
        <v>2768</v>
      </c>
      <c r="C840" s="2" t="s">
        <v>3471</v>
      </c>
      <c r="D840" s="2" t="s">
        <v>3472</v>
      </c>
      <c r="E840" s="2" t="s">
        <v>3473</v>
      </c>
      <c r="F840" s="2" t="s">
        <v>3474</v>
      </c>
    </row>
    <row r="841" ht="36.0" customHeight="1">
      <c r="A841" s="3" t="s">
        <v>3475</v>
      </c>
      <c r="B841" s="3" t="s">
        <v>2768</v>
      </c>
      <c r="C841" s="3" t="s">
        <v>3476</v>
      </c>
      <c r="D841" s="3" t="s">
        <v>3477</v>
      </c>
      <c r="E841" s="3" t="s">
        <v>101</v>
      </c>
      <c r="F841" s="3" t="s">
        <v>3478</v>
      </c>
    </row>
    <row r="842" ht="36.0" customHeight="1">
      <c r="A842" s="2" t="s">
        <v>3479</v>
      </c>
      <c r="B842" s="2" t="s">
        <v>2768</v>
      </c>
      <c r="C842" s="2" t="s">
        <v>3480</v>
      </c>
      <c r="D842" s="2" t="s">
        <v>3481</v>
      </c>
      <c r="E842" s="2" t="s">
        <v>1401</v>
      </c>
      <c r="F842" s="2" t="s">
        <v>3482</v>
      </c>
    </row>
    <row r="843" ht="36.0" customHeight="1">
      <c r="A843" s="3" t="s">
        <v>3483</v>
      </c>
      <c r="B843" s="3" t="s">
        <v>2768</v>
      </c>
      <c r="C843" s="3" t="s">
        <v>3484</v>
      </c>
      <c r="D843" s="3" t="s">
        <v>3485</v>
      </c>
      <c r="E843" s="3" t="s">
        <v>1297</v>
      </c>
      <c r="F843" s="3" t="s">
        <v>3486</v>
      </c>
    </row>
    <row r="844" ht="36.0" customHeight="1">
      <c r="A844" s="2" t="s">
        <v>3487</v>
      </c>
      <c r="B844" s="2" t="s">
        <v>2768</v>
      </c>
      <c r="C844" s="2" t="s">
        <v>3488</v>
      </c>
      <c r="D844" s="2" t="s">
        <v>3489</v>
      </c>
      <c r="E844" s="2" t="s">
        <v>2833</v>
      </c>
      <c r="F844" s="2" t="s">
        <v>3490</v>
      </c>
    </row>
    <row r="845" ht="36.0" customHeight="1">
      <c r="A845" s="3" t="s">
        <v>3491</v>
      </c>
      <c r="B845" s="3" t="s">
        <v>2768</v>
      </c>
      <c r="C845" s="3" t="s">
        <v>3492</v>
      </c>
      <c r="D845" s="3" t="s">
        <v>3493</v>
      </c>
      <c r="E845" s="3" t="s">
        <v>101</v>
      </c>
      <c r="F845" s="3" t="s">
        <v>3494</v>
      </c>
    </row>
    <row r="846" ht="36.0" customHeight="1">
      <c r="A846" s="2" t="s">
        <v>3495</v>
      </c>
      <c r="B846" s="2" t="s">
        <v>2768</v>
      </c>
      <c r="C846" s="2" t="s">
        <v>3496</v>
      </c>
      <c r="D846" s="2" t="s">
        <v>3497</v>
      </c>
      <c r="E846" s="2" t="s">
        <v>101</v>
      </c>
      <c r="F846" s="2" t="s">
        <v>3498</v>
      </c>
    </row>
    <row r="847" ht="36.0" customHeight="1">
      <c r="A847" s="3" t="s">
        <v>3499</v>
      </c>
      <c r="B847" s="3" t="s">
        <v>2768</v>
      </c>
      <c r="C847" s="3" t="s">
        <v>3500</v>
      </c>
      <c r="D847" s="3" t="s">
        <v>3501</v>
      </c>
      <c r="E847" s="3" t="s">
        <v>2982</v>
      </c>
      <c r="F847" s="3" t="s">
        <v>3502</v>
      </c>
    </row>
    <row r="848" ht="36.0" customHeight="1">
      <c r="A848" s="2" t="s">
        <v>3503</v>
      </c>
      <c r="B848" s="2" t="s">
        <v>2768</v>
      </c>
      <c r="C848" s="2" t="s">
        <v>3504</v>
      </c>
      <c r="D848" s="2" t="s">
        <v>3505</v>
      </c>
      <c r="E848" s="2" t="s">
        <v>1976</v>
      </c>
      <c r="F848" s="2" t="s">
        <v>3506</v>
      </c>
    </row>
    <row r="849" ht="36.0" customHeight="1">
      <c r="A849" s="3" t="s">
        <v>3507</v>
      </c>
      <c r="B849" s="3" t="s">
        <v>2768</v>
      </c>
      <c r="C849" s="3" t="s">
        <v>3508</v>
      </c>
      <c r="D849" s="3" t="s">
        <v>3509</v>
      </c>
      <c r="E849" s="3" t="s">
        <v>2982</v>
      </c>
      <c r="F849" s="3" t="s">
        <v>3510</v>
      </c>
    </row>
    <row r="850" ht="36.0" customHeight="1">
      <c r="A850" s="2" t="s">
        <v>3511</v>
      </c>
      <c r="B850" s="2" t="s">
        <v>2768</v>
      </c>
      <c r="C850" s="2" t="s">
        <v>3512</v>
      </c>
      <c r="D850" s="2" t="s">
        <v>3513</v>
      </c>
      <c r="E850" s="2" t="s">
        <v>2982</v>
      </c>
      <c r="F850" s="2" t="s">
        <v>3514</v>
      </c>
    </row>
    <row r="851" ht="36.0" customHeight="1">
      <c r="A851" s="3" t="s">
        <v>3515</v>
      </c>
      <c r="B851" s="3" t="s">
        <v>2768</v>
      </c>
      <c r="C851" s="3" t="s">
        <v>3516</v>
      </c>
      <c r="D851" s="3" t="s">
        <v>3517</v>
      </c>
      <c r="E851" s="3" t="s">
        <v>2982</v>
      </c>
      <c r="F851" s="3" t="s">
        <v>3518</v>
      </c>
    </row>
    <row r="852" ht="36.0" customHeight="1">
      <c r="A852" s="2" t="s">
        <v>3519</v>
      </c>
      <c r="B852" s="2" t="s">
        <v>2768</v>
      </c>
      <c r="C852" s="2" t="s">
        <v>3520</v>
      </c>
      <c r="D852" s="2" t="s">
        <v>3521</v>
      </c>
      <c r="E852" s="2" t="s">
        <v>2982</v>
      </c>
      <c r="F852" s="2" t="s">
        <v>3522</v>
      </c>
    </row>
    <row r="853" ht="36.0" customHeight="1">
      <c r="A853" s="3" t="s">
        <v>3523</v>
      </c>
      <c r="B853" s="3" t="s">
        <v>2768</v>
      </c>
      <c r="C853" s="3" t="s">
        <v>3524</v>
      </c>
      <c r="D853" s="3" t="s">
        <v>3525</v>
      </c>
      <c r="E853" s="3" t="s">
        <v>2846</v>
      </c>
      <c r="F853" s="3" t="s">
        <v>3526</v>
      </c>
    </row>
    <row r="854" ht="36.0" customHeight="1">
      <c r="A854" s="2" t="s">
        <v>3527</v>
      </c>
      <c r="B854" s="2" t="s">
        <v>2768</v>
      </c>
      <c r="C854" s="2" t="s">
        <v>3528</v>
      </c>
      <c r="D854" s="2" t="s">
        <v>3529</v>
      </c>
      <c r="E854" s="2" t="s">
        <v>2982</v>
      </c>
      <c r="F854" s="2" t="s">
        <v>3530</v>
      </c>
    </row>
    <row r="855" ht="36.0" customHeight="1">
      <c r="A855" s="3" t="s">
        <v>3531</v>
      </c>
      <c r="B855" s="3" t="s">
        <v>2768</v>
      </c>
      <c r="C855" s="3" t="s">
        <v>3532</v>
      </c>
      <c r="D855" s="3" t="s">
        <v>3533</v>
      </c>
      <c r="E855" s="3" t="s">
        <v>599</v>
      </c>
      <c r="F855" s="3" t="s">
        <v>3534</v>
      </c>
    </row>
    <row r="856" ht="36.0" customHeight="1">
      <c r="A856" s="2" t="s">
        <v>3535</v>
      </c>
      <c r="B856" s="2" t="s">
        <v>2768</v>
      </c>
      <c r="C856" s="2" t="s">
        <v>3536</v>
      </c>
      <c r="D856" s="2" t="s">
        <v>3537</v>
      </c>
      <c r="E856" s="2" t="s">
        <v>2514</v>
      </c>
      <c r="F856" s="2" t="s">
        <v>3538</v>
      </c>
    </row>
    <row r="857" ht="36.0" customHeight="1">
      <c r="A857" s="3" t="s">
        <v>3539</v>
      </c>
      <c r="B857" s="3" t="s">
        <v>2768</v>
      </c>
      <c r="C857" s="3" t="s">
        <v>3540</v>
      </c>
      <c r="D857" s="3" t="s">
        <v>3541</v>
      </c>
      <c r="E857" s="3" t="s">
        <v>599</v>
      </c>
      <c r="F857" s="3" t="s">
        <v>3542</v>
      </c>
    </row>
    <row r="858" ht="36.0" customHeight="1">
      <c r="A858" s="2" t="s">
        <v>3543</v>
      </c>
      <c r="B858" s="2" t="s">
        <v>2768</v>
      </c>
      <c r="C858" s="2" t="s">
        <v>3544</v>
      </c>
      <c r="D858" s="2" t="s">
        <v>3545</v>
      </c>
      <c r="E858" s="2" t="s">
        <v>2514</v>
      </c>
      <c r="F858" s="2" t="s">
        <v>3546</v>
      </c>
    </row>
    <row r="859" ht="36.0" customHeight="1">
      <c r="A859" s="3" t="s">
        <v>3547</v>
      </c>
      <c r="B859" s="3" t="s">
        <v>2768</v>
      </c>
      <c r="C859" s="3" t="s">
        <v>3548</v>
      </c>
      <c r="D859" s="3" t="s">
        <v>3549</v>
      </c>
      <c r="E859" s="3" t="s">
        <v>2982</v>
      </c>
      <c r="F859" s="3" t="s">
        <v>3550</v>
      </c>
    </row>
    <row r="860" ht="36.0" customHeight="1">
      <c r="A860" s="2" t="s">
        <v>3551</v>
      </c>
      <c r="B860" s="2" t="s">
        <v>2768</v>
      </c>
      <c r="C860" s="2" t="s">
        <v>3552</v>
      </c>
      <c r="D860" s="2" t="s">
        <v>3553</v>
      </c>
      <c r="E860" s="2" t="s">
        <v>2982</v>
      </c>
      <c r="F860" s="2" t="s">
        <v>3554</v>
      </c>
    </row>
    <row r="861" ht="36.0" customHeight="1">
      <c r="A861" s="3" t="s">
        <v>3555</v>
      </c>
      <c r="B861" s="3" t="s">
        <v>2768</v>
      </c>
      <c r="C861" s="3" t="s">
        <v>3556</v>
      </c>
      <c r="D861" s="3" t="s">
        <v>3557</v>
      </c>
      <c r="E861" s="3" t="s">
        <v>345</v>
      </c>
      <c r="F861" s="3" t="s">
        <v>3558</v>
      </c>
    </row>
    <row r="862" ht="36.0" customHeight="1">
      <c r="A862" s="2" t="s">
        <v>3559</v>
      </c>
      <c r="B862" s="2" t="s">
        <v>2768</v>
      </c>
      <c r="C862" s="2" t="s">
        <v>3560</v>
      </c>
      <c r="D862" s="2" t="s">
        <v>3561</v>
      </c>
      <c r="E862" s="2" t="s">
        <v>345</v>
      </c>
      <c r="F862" s="2" t="s">
        <v>3562</v>
      </c>
    </row>
    <row r="863" ht="36.0" customHeight="1">
      <c r="A863" s="3" t="s">
        <v>3563</v>
      </c>
      <c r="B863" s="3" t="s">
        <v>2768</v>
      </c>
      <c r="C863" s="3" t="s">
        <v>3564</v>
      </c>
      <c r="D863" s="3" t="s">
        <v>3565</v>
      </c>
      <c r="E863" s="3" t="s">
        <v>345</v>
      </c>
      <c r="F863" s="3" t="s">
        <v>3566</v>
      </c>
    </row>
    <row r="864" ht="36.0" customHeight="1">
      <c r="A864" s="2" t="s">
        <v>3567</v>
      </c>
      <c r="B864" s="2" t="s">
        <v>2768</v>
      </c>
      <c r="C864" s="2" t="s">
        <v>3568</v>
      </c>
      <c r="D864" s="2" t="s">
        <v>3569</v>
      </c>
      <c r="E864" s="2" t="s">
        <v>2020</v>
      </c>
      <c r="F864" s="2" t="s">
        <v>3570</v>
      </c>
    </row>
    <row r="865" ht="36.0" customHeight="1">
      <c r="A865" s="3" t="s">
        <v>3571</v>
      </c>
      <c r="B865" s="3" t="s">
        <v>2768</v>
      </c>
      <c r="C865" s="3" t="s">
        <v>3572</v>
      </c>
      <c r="D865" s="3" t="s">
        <v>3573</v>
      </c>
      <c r="E865" s="3" t="s">
        <v>340</v>
      </c>
      <c r="F865" s="3" t="s">
        <v>3574</v>
      </c>
    </row>
    <row r="866" ht="36.0" customHeight="1">
      <c r="A866" s="2" t="s">
        <v>3575</v>
      </c>
      <c r="B866" s="2" t="s">
        <v>2768</v>
      </c>
      <c r="C866" s="2" t="s">
        <v>3576</v>
      </c>
      <c r="D866" s="2" t="s">
        <v>3577</v>
      </c>
      <c r="E866" s="2" t="s">
        <v>1268</v>
      </c>
      <c r="F866" s="2" t="s">
        <v>3578</v>
      </c>
    </row>
    <row r="867" ht="36.0" customHeight="1">
      <c r="A867" s="3" t="s">
        <v>3579</v>
      </c>
      <c r="B867" s="3" t="s">
        <v>2768</v>
      </c>
      <c r="C867" s="3" t="s">
        <v>3580</v>
      </c>
      <c r="D867" s="3" t="s">
        <v>3581</v>
      </c>
      <c r="E867" s="3" t="s">
        <v>1268</v>
      </c>
      <c r="F867" s="3" t="s">
        <v>3582</v>
      </c>
    </row>
    <row r="868" ht="36.0" customHeight="1">
      <c r="A868" s="2" t="s">
        <v>3583</v>
      </c>
      <c r="B868" s="2" t="s">
        <v>2768</v>
      </c>
      <c r="C868" s="2" t="s">
        <v>3584</v>
      </c>
      <c r="D868" s="2" t="s">
        <v>2854</v>
      </c>
      <c r="E868" s="2" t="s">
        <v>2855</v>
      </c>
      <c r="F868" s="2" t="s">
        <v>3585</v>
      </c>
    </row>
    <row r="869" ht="36.0" customHeight="1">
      <c r="A869" s="3" t="s">
        <v>3586</v>
      </c>
      <c r="B869" s="3" t="s">
        <v>2768</v>
      </c>
      <c r="C869" s="3" t="s">
        <v>3587</v>
      </c>
      <c r="D869" s="3" t="s">
        <v>3588</v>
      </c>
      <c r="E869" s="3" t="s">
        <v>2855</v>
      </c>
      <c r="F869" s="3" t="s">
        <v>3589</v>
      </c>
    </row>
    <row r="870" ht="36.0" customHeight="1">
      <c r="A870" s="2" t="s">
        <v>3590</v>
      </c>
      <c r="B870" s="2" t="s">
        <v>2768</v>
      </c>
      <c r="C870" s="2" t="s">
        <v>3591</v>
      </c>
      <c r="D870" s="2" t="s">
        <v>3592</v>
      </c>
      <c r="E870" s="2" t="s">
        <v>2855</v>
      </c>
      <c r="F870" s="2" t="s">
        <v>3593</v>
      </c>
    </row>
    <row r="871" ht="36.0" customHeight="1">
      <c r="A871" s="3" t="s">
        <v>3594</v>
      </c>
      <c r="B871" s="3" t="s">
        <v>2768</v>
      </c>
      <c r="C871" s="3" t="s">
        <v>3595</v>
      </c>
      <c r="D871" s="3" t="s">
        <v>3596</v>
      </c>
      <c r="E871" s="3" t="s">
        <v>2855</v>
      </c>
      <c r="F871" s="3" t="s">
        <v>3597</v>
      </c>
    </row>
    <row r="872" ht="36.0" customHeight="1">
      <c r="A872" s="2" t="s">
        <v>3598</v>
      </c>
      <c r="B872" s="2" t="s">
        <v>2768</v>
      </c>
      <c r="C872" s="2" t="s">
        <v>3599</v>
      </c>
      <c r="D872" s="2" t="s">
        <v>3600</v>
      </c>
      <c r="E872" s="2" t="s">
        <v>2855</v>
      </c>
      <c r="F872" s="2" t="s">
        <v>3601</v>
      </c>
    </row>
    <row r="873" ht="36.0" customHeight="1">
      <c r="A873" s="3" t="s">
        <v>3602</v>
      </c>
      <c r="B873" s="3" t="s">
        <v>2768</v>
      </c>
      <c r="C873" s="3" t="s">
        <v>3603</v>
      </c>
      <c r="D873" s="3" t="s">
        <v>3604</v>
      </c>
      <c r="E873" s="3" t="s">
        <v>695</v>
      </c>
      <c r="F873" s="3" t="s">
        <v>3605</v>
      </c>
    </row>
    <row r="874" ht="36.0" customHeight="1">
      <c r="A874" s="2" t="s">
        <v>3606</v>
      </c>
      <c r="B874" s="2" t="s">
        <v>2768</v>
      </c>
      <c r="C874" s="2" t="s">
        <v>3607</v>
      </c>
      <c r="D874" s="2" t="s">
        <v>3608</v>
      </c>
      <c r="E874" s="2" t="s">
        <v>695</v>
      </c>
      <c r="F874" s="2" t="s">
        <v>3609</v>
      </c>
    </row>
    <row r="875" ht="36.0" customHeight="1">
      <c r="A875" s="3" t="s">
        <v>3610</v>
      </c>
      <c r="B875" s="3" t="s">
        <v>2768</v>
      </c>
      <c r="C875" s="3" t="s">
        <v>3611</v>
      </c>
      <c r="D875" s="3" t="s">
        <v>3612</v>
      </c>
      <c r="E875" s="3" t="s">
        <v>695</v>
      </c>
      <c r="F875" s="3" t="s">
        <v>3613</v>
      </c>
    </row>
    <row r="876" ht="36.0" customHeight="1">
      <c r="A876" s="2" t="s">
        <v>3614</v>
      </c>
      <c r="B876" s="2" t="s">
        <v>3615</v>
      </c>
      <c r="C876" s="2" t="s">
        <v>3616</v>
      </c>
      <c r="D876" s="2" t="s">
        <v>3617</v>
      </c>
      <c r="E876" s="2" t="s">
        <v>3618</v>
      </c>
      <c r="F876" s="2" t="s">
        <v>3619</v>
      </c>
    </row>
    <row r="877" ht="36.0" customHeight="1">
      <c r="A877" s="3" t="s">
        <v>3620</v>
      </c>
      <c r="B877" s="3" t="s">
        <v>3615</v>
      </c>
      <c r="C877" s="3" t="s">
        <v>3621</v>
      </c>
      <c r="D877" s="3" t="s">
        <v>3622</v>
      </c>
      <c r="E877" s="3" t="s">
        <v>3623</v>
      </c>
      <c r="F877" s="3" t="s">
        <v>3624</v>
      </c>
    </row>
    <row r="878" ht="36.0" customHeight="1">
      <c r="A878" s="2" t="s">
        <v>3625</v>
      </c>
      <c r="B878" s="2" t="s">
        <v>3615</v>
      </c>
      <c r="C878" s="2" t="s">
        <v>3626</v>
      </c>
      <c r="D878" s="2" t="s">
        <v>3627</v>
      </c>
      <c r="E878" s="2" t="s">
        <v>3623</v>
      </c>
      <c r="F878" s="2" t="s">
        <v>3628</v>
      </c>
    </row>
    <row r="879" ht="36.0" customHeight="1">
      <c r="A879" s="3" t="s">
        <v>3629</v>
      </c>
      <c r="B879" s="3" t="s">
        <v>3615</v>
      </c>
      <c r="C879" s="3" t="s">
        <v>3630</v>
      </c>
      <c r="D879" s="3" t="s">
        <v>3631</v>
      </c>
      <c r="E879" s="3" t="s">
        <v>3623</v>
      </c>
      <c r="F879" s="3" t="s">
        <v>3632</v>
      </c>
    </row>
    <row r="880" ht="36.0" customHeight="1">
      <c r="A880" s="2" t="s">
        <v>3633</v>
      </c>
      <c r="B880" s="2" t="s">
        <v>3615</v>
      </c>
      <c r="C880" s="2" t="s">
        <v>3634</v>
      </c>
      <c r="D880" s="2" t="s">
        <v>3635</v>
      </c>
      <c r="E880" s="2" t="s">
        <v>435</v>
      </c>
      <c r="F880" s="2" t="s">
        <v>3636</v>
      </c>
    </row>
    <row r="881" ht="36.0" customHeight="1">
      <c r="A881" s="3" t="s">
        <v>3637</v>
      </c>
      <c r="B881" s="3" t="s">
        <v>3615</v>
      </c>
      <c r="C881" s="3" t="s">
        <v>3638</v>
      </c>
      <c r="D881" s="3" t="s">
        <v>3639</v>
      </c>
      <c r="E881" s="3" t="s">
        <v>19</v>
      </c>
      <c r="F881" s="3" t="s">
        <v>3640</v>
      </c>
    </row>
    <row r="882" ht="36.0" customHeight="1">
      <c r="A882" s="2" t="s">
        <v>3641</v>
      </c>
      <c r="B882" s="2" t="s">
        <v>3615</v>
      </c>
      <c r="C882" s="2" t="s">
        <v>3642</v>
      </c>
      <c r="D882" s="2" t="s">
        <v>3643</v>
      </c>
      <c r="E882" s="2" t="s">
        <v>19</v>
      </c>
      <c r="F882" s="2" t="s">
        <v>3644</v>
      </c>
    </row>
    <row r="883" ht="36.0" customHeight="1">
      <c r="A883" s="3" t="s">
        <v>3645</v>
      </c>
      <c r="B883" s="3" t="s">
        <v>3615</v>
      </c>
      <c r="C883" s="3" t="s">
        <v>3646</v>
      </c>
      <c r="D883" s="3" t="s">
        <v>3647</v>
      </c>
      <c r="E883" s="3" t="s">
        <v>19</v>
      </c>
      <c r="F883" s="3" t="s">
        <v>3648</v>
      </c>
    </row>
    <row r="884" ht="36.0" customHeight="1">
      <c r="A884" s="2" t="s">
        <v>3649</v>
      </c>
      <c r="B884" s="2" t="s">
        <v>3615</v>
      </c>
      <c r="C884" s="2" t="s">
        <v>3650</v>
      </c>
      <c r="D884" s="2" t="s">
        <v>3651</v>
      </c>
      <c r="E884" s="2" t="s">
        <v>3652</v>
      </c>
      <c r="F884" s="2" t="s">
        <v>3653</v>
      </c>
    </row>
    <row r="885" ht="36.0" customHeight="1">
      <c r="A885" s="3" t="s">
        <v>3654</v>
      </c>
      <c r="B885" s="3" t="s">
        <v>3615</v>
      </c>
      <c r="C885" s="3" t="s">
        <v>3655</v>
      </c>
      <c r="D885" s="3" t="s">
        <v>3656</v>
      </c>
      <c r="E885" s="3" t="s">
        <v>517</v>
      </c>
      <c r="F885" s="3" t="s">
        <v>3657</v>
      </c>
    </row>
    <row r="886" ht="36.0" customHeight="1">
      <c r="A886" s="2" t="s">
        <v>3658</v>
      </c>
      <c r="B886" s="2" t="s">
        <v>3615</v>
      </c>
      <c r="C886" s="2" t="s">
        <v>3659</v>
      </c>
      <c r="D886" s="2" t="s">
        <v>3660</v>
      </c>
      <c r="E886" s="2" t="s">
        <v>3661</v>
      </c>
      <c r="F886" s="2" t="s">
        <v>3662</v>
      </c>
    </row>
    <row r="887" ht="36.0" customHeight="1">
      <c r="A887" s="3" t="s">
        <v>3663</v>
      </c>
      <c r="B887" s="3" t="s">
        <v>3615</v>
      </c>
      <c r="C887" s="3" t="s">
        <v>3664</v>
      </c>
      <c r="D887" s="3" t="s">
        <v>3665</v>
      </c>
      <c r="E887" s="3" t="s">
        <v>3661</v>
      </c>
      <c r="F887" s="3" t="s">
        <v>3666</v>
      </c>
    </row>
    <row r="888" ht="36.0" customHeight="1">
      <c r="A888" s="2" t="s">
        <v>3667</v>
      </c>
      <c r="B888" s="2" t="s">
        <v>3615</v>
      </c>
      <c r="C888" s="2" t="s">
        <v>3668</v>
      </c>
      <c r="D888" s="2" t="s">
        <v>3669</v>
      </c>
      <c r="E888" s="2" t="s">
        <v>1821</v>
      </c>
      <c r="F888" s="2" t="s">
        <v>3670</v>
      </c>
    </row>
    <row r="889" ht="36.0" customHeight="1">
      <c r="A889" s="3" t="s">
        <v>3671</v>
      </c>
      <c r="B889" s="3" t="s">
        <v>3615</v>
      </c>
      <c r="C889" s="3" t="s">
        <v>3672</v>
      </c>
      <c r="D889" s="3" t="s">
        <v>3673</v>
      </c>
      <c r="E889" s="3" t="s">
        <v>3661</v>
      </c>
      <c r="F889" s="3" t="s">
        <v>3674</v>
      </c>
    </row>
    <row r="890" ht="36.0" customHeight="1">
      <c r="A890" s="2" t="s">
        <v>3675</v>
      </c>
      <c r="B890" s="2" t="s">
        <v>3615</v>
      </c>
      <c r="C890" s="2" t="s">
        <v>3676</v>
      </c>
      <c r="D890" s="2" t="s">
        <v>3677</v>
      </c>
      <c r="E890" s="2" t="s">
        <v>2355</v>
      </c>
      <c r="F890" s="2" t="s">
        <v>3678</v>
      </c>
    </row>
    <row r="891" ht="36.0" customHeight="1">
      <c r="A891" s="3" t="s">
        <v>3679</v>
      </c>
      <c r="B891" s="3" t="s">
        <v>3615</v>
      </c>
      <c r="C891" s="3" t="s">
        <v>3680</v>
      </c>
      <c r="D891" s="3" t="s">
        <v>3681</v>
      </c>
      <c r="E891" s="3" t="s">
        <v>2355</v>
      </c>
      <c r="F891" s="3" t="s">
        <v>3682</v>
      </c>
    </row>
    <row r="892" ht="36.0" customHeight="1">
      <c r="A892" s="2" t="s">
        <v>3683</v>
      </c>
      <c r="B892" s="2" t="s">
        <v>3615</v>
      </c>
      <c r="C892" s="2" t="s">
        <v>3684</v>
      </c>
      <c r="D892" s="2" t="s">
        <v>3685</v>
      </c>
      <c r="E892" s="2" t="s">
        <v>3686</v>
      </c>
      <c r="F892" s="2" t="s">
        <v>3687</v>
      </c>
    </row>
    <row r="893" ht="36.0" customHeight="1">
      <c r="A893" s="3" t="s">
        <v>3688</v>
      </c>
      <c r="B893" s="3" t="s">
        <v>3615</v>
      </c>
      <c r="C893" s="3" t="s">
        <v>3689</v>
      </c>
      <c r="D893" s="3" t="s">
        <v>3690</v>
      </c>
      <c r="E893" s="3" t="s">
        <v>3686</v>
      </c>
      <c r="F893" s="3" t="s">
        <v>3691</v>
      </c>
    </row>
    <row r="894" ht="36.0" customHeight="1">
      <c r="A894" s="2" t="s">
        <v>3692</v>
      </c>
      <c r="B894" s="2" t="s">
        <v>3615</v>
      </c>
      <c r="C894" s="2" t="s">
        <v>3693</v>
      </c>
      <c r="D894" s="2" t="s">
        <v>3694</v>
      </c>
      <c r="E894" s="2" t="s">
        <v>2355</v>
      </c>
      <c r="F894" s="2" t="s">
        <v>3695</v>
      </c>
    </row>
    <row r="895" ht="36.0" customHeight="1">
      <c r="A895" s="3" t="s">
        <v>3696</v>
      </c>
      <c r="B895" s="3" t="s">
        <v>3615</v>
      </c>
      <c r="C895" s="3" t="s">
        <v>3697</v>
      </c>
      <c r="D895" s="3" t="s">
        <v>3698</v>
      </c>
      <c r="E895" s="3" t="s">
        <v>3686</v>
      </c>
      <c r="F895" s="3" t="s">
        <v>3699</v>
      </c>
    </row>
    <row r="896" ht="36.0" customHeight="1">
      <c r="A896" s="2" t="s">
        <v>3700</v>
      </c>
      <c r="B896" s="2" t="s">
        <v>3615</v>
      </c>
      <c r="C896" s="2" t="s">
        <v>3701</v>
      </c>
      <c r="D896" s="2" t="s">
        <v>3702</v>
      </c>
      <c r="E896" s="2" t="s">
        <v>2355</v>
      </c>
      <c r="F896" s="2" t="s">
        <v>3703</v>
      </c>
    </row>
    <row r="897" ht="36.0" customHeight="1">
      <c r="A897" s="3" t="s">
        <v>3704</v>
      </c>
      <c r="B897" s="3" t="s">
        <v>3615</v>
      </c>
      <c r="C897" s="3" t="s">
        <v>3705</v>
      </c>
      <c r="D897" s="3" t="s">
        <v>3706</v>
      </c>
      <c r="E897" s="3" t="s">
        <v>2355</v>
      </c>
      <c r="F897" s="3" t="s">
        <v>3707</v>
      </c>
    </row>
    <row r="898" ht="36.0" customHeight="1">
      <c r="A898" s="2" t="s">
        <v>3708</v>
      </c>
      <c r="B898" s="2" t="s">
        <v>3615</v>
      </c>
      <c r="C898" s="2" t="s">
        <v>3709</v>
      </c>
      <c r="D898" s="2" t="s">
        <v>3710</v>
      </c>
      <c r="E898" s="2" t="s">
        <v>3711</v>
      </c>
      <c r="F898" s="2" t="s">
        <v>3712</v>
      </c>
    </row>
    <row r="899" ht="36.0" customHeight="1">
      <c r="A899" s="3" t="s">
        <v>3713</v>
      </c>
      <c r="B899" s="3" t="s">
        <v>3615</v>
      </c>
      <c r="C899" s="3" t="s">
        <v>3714</v>
      </c>
      <c r="D899" s="3" t="s">
        <v>3715</v>
      </c>
      <c r="E899" s="3" t="s">
        <v>3716</v>
      </c>
      <c r="F899" s="3" t="s">
        <v>3717</v>
      </c>
    </row>
    <row r="900" ht="36.0" customHeight="1">
      <c r="A900" s="2" t="s">
        <v>3718</v>
      </c>
      <c r="B900" s="2" t="s">
        <v>3615</v>
      </c>
      <c r="C900" s="2" t="s">
        <v>3719</v>
      </c>
      <c r="D900" s="2" t="s">
        <v>3720</v>
      </c>
      <c r="E900" s="2" t="s">
        <v>3716</v>
      </c>
      <c r="F900" s="2" t="s">
        <v>3721</v>
      </c>
    </row>
    <row r="901" ht="36.0" customHeight="1">
      <c r="A901" s="3" t="s">
        <v>3722</v>
      </c>
      <c r="B901" s="3" t="s">
        <v>3615</v>
      </c>
      <c r="C901" s="3" t="s">
        <v>3723</v>
      </c>
      <c r="D901" s="3" t="s">
        <v>3724</v>
      </c>
      <c r="E901" s="3" t="s">
        <v>3725</v>
      </c>
      <c r="F901" s="3" t="s">
        <v>3726</v>
      </c>
    </row>
    <row r="902" ht="36.0" customHeight="1">
      <c r="A902" s="2" t="s">
        <v>3727</v>
      </c>
      <c r="B902" s="2" t="s">
        <v>3615</v>
      </c>
      <c r="C902" s="2" t="s">
        <v>3728</v>
      </c>
      <c r="D902" s="2" t="s">
        <v>3729</v>
      </c>
      <c r="E902" s="2" t="s">
        <v>3730</v>
      </c>
      <c r="F902" s="2" t="s">
        <v>3731</v>
      </c>
    </row>
    <row r="903" ht="36.0" customHeight="1">
      <c r="A903" s="3" t="s">
        <v>3732</v>
      </c>
      <c r="B903" s="3" t="s">
        <v>3615</v>
      </c>
      <c r="C903" s="3" t="s">
        <v>3733</v>
      </c>
      <c r="D903" s="3" t="s">
        <v>3734</v>
      </c>
      <c r="E903" s="3" t="s">
        <v>3735</v>
      </c>
      <c r="F903" s="3" t="s">
        <v>3736</v>
      </c>
    </row>
    <row r="904" ht="36.0" customHeight="1">
      <c r="A904" s="2" t="s">
        <v>3737</v>
      </c>
      <c r="B904" s="2" t="s">
        <v>3615</v>
      </c>
      <c r="C904" s="2" t="s">
        <v>3738</v>
      </c>
      <c r="D904" s="2" t="s">
        <v>3739</v>
      </c>
      <c r="E904" s="2" t="s">
        <v>3740</v>
      </c>
      <c r="F904" s="2" t="s">
        <v>3741</v>
      </c>
    </row>
    <row r="905" ht="36.0" customHeight="1">
      <c r="A905" s="3" t="s">
        <v>3742</v>
      </c>
      <c r="B905" s="3" t="s">
        <v>3615</v>
      </c>
      <c r="C905" s="3" t="s">
        <v>3743</v>
      </c>
      <c r="D905" s="3" t="s">
        <v>3744</v>
      </c>
      <c r="E905" s="3" t="s">
        <v>3745</v>
      </c>
      <c r="F905" s="3" t="s">
        <v>3746</v>
      </c>
    </row>
    <row r="906" ht="36.0" customHeight="1">
      <c r="A906" s="2" t="s">
        <v>3747</v>
      </c>
      <c r="B906" s="2" t="s">
        <v>3615</v>
      </c>
      <c r="C906" s="2" t="s">
        <v>3748</v>
      </c>
      <c r="D906" s="2" t="s">
        <v>3749</v>
      </c>
      <c r="E906" s="2" t="s">
        <v>3740</v>
      </c>
      <c r="F906" s="2" t="s">
        <v>3750</v>
      </c>
    </row>
    <row r="907" ht="36.0" customHeight="1">
      <c r="A907" s="3" t="s">
        <v>3751</v>
      </c>
      <c r="B907" s="3" t="s">
        <v>3615</v>
      </c>
      <c r="C907" s="3" t="s">
        <v>3752</v>
      </c>
      <c r="D907" s="3" t="s">
        <v>3753</v>
      </c>
      <c r="E907" s="3" t="s">
        <v>3745</v>
      </c>
      <c r="F907" s="3" t="s">
        <v>3754</v>
      </c>
    </row>
    <row r="908" ht="36.0" customHeight="1">
      <c r="A908" s="2" t="s">
        <v>3755</v>
      </c>
      <c r="B908" s="2" t="s">
        <v>3615</v>
      </c>
      <c r="C908" s="2" t="s">
        <v>3756</v>
      </c>
      <c r="D908" s="2" t="s">
        <v>3757</v>
      </c>
      <c r="E908" s="2" t="s">
        <v>3758</v>
      </c>
      <c r="F908" s="2" t="s">
        <v>3759</v>
      </c>
    </row>
    <row r="909" ht="36.0" customHeight="1">
      <c r="A909" s="3" t="s">
        <v>3760</v>
      </c>
      <c r="B909" s="3" t="s">
        <v>3615</v>
      </c>
      <c r="C909" s="3" t="s">
        <v>3761</v>
      </c>
      <c r="D909" s="3" t="s">
        <v>3762</v>
      </c>
      <c r="E909" s="3" t="s">
        <v>3745</v>
      </c>
      <c r="F909" s="3" t="s">
        <v>3763</v>
      </c>
    </row>
    <row r="910" ht="36.0" customHeight="1">
      <c r="A910" s="2" t="s">
        <v>3764</v>
      </c>
      <c r="B910" s="2" t="s">
        <v>3615</v>
      </c>
      <c r="C910" s="2" t="s">
        <v>3765</v>
      </c>
      <c r="D910" s="2" t="s">
        <v>3766</v>
      </c>
      <c r="E910" s="2" t="s">
        <v>3740</v>
      </c>
      <c r="F910" s="2" t="s">
        <v>3767</v>
      </c>
    </row>
    <row r="911" ht="36.0" customHeight="1">
      <c r="A911" s="3" t="s">
        <v>3768</v>
      </c>
      <c r="B911" s="3" t="s">
        <v>3615</v>
      </c>
      <c r="C911" s="3" t="s">
        <v>3769</v>
      </c>
      <c r="D911" s="3" t="s">
        <v>3770</v>
      </c>
      <c r="E911" s="3" t="s">
        <v>3771</v>
      </c>
      <c r="F911" s="3" t="s">
        <v>3772</v>
      </c>
    </row>
    <row r="912" ht="36.0" customHeight="1">
      <c r="A912" s="2" t="s">
        <v>3773</v>
      </c>
      <c r="B912" s="2" t="s">
        <v>3615</v>
      </c>
      <c r="C912" s="2" t="s">
        <v>3774</v>
      </c>
      <c r="D912" s="2" t="s">
        <v>3775</v>
      </c>
      <c r="E912" s="2" t="s">
        <v>3776</v>
      </c>
      <c r="F912" s="2" t="s">
        <v>3777</v>
      </c>
    </row>
    <row r="913" ht="36.0" customHeight="1">
      <c r="A913" s="3" t="s">
        <v>3778</v>
      </c>
      <c r="B913" s="3" t="s">
        <v>3615</v>
      </c>
      <c r="C913" s="3" t="s">
        <v>3779</v>
      </c>
      <c r="D913" s="3" t="s">
        <v>3780</v>
      </c>
      <c r="E913" s="3" t="s">
        <v>19</v>
      </c>
      <c r="F913" s="3" t="s">
        <v>3781</v>
      </c>
    </row>
    <row r="914" ht="36.0" customHeight="1">
      <c r="A914" s="2" t="s">
        <v>3782</v>
      </c>
      <c r="B914" s="2" t="s">
        <v>3615</v>
      </c>
      <c r="C914" s="2" t="s">
        <v>3783</v>
      </c>
      <c r="D914" s="2" t="s">
        <v>3784</v>
      </c>
      <c r="E914" s="2" t="s">
        <v>996</v>
      </c>
      <c r="F914" s="2" t="s">
        <v>3785</v>
      </c>
    </row>
    <row r="915" ht="36.0" customHeight="1">
      <c r="A915" s="3" t="s">
        <v>3786</v>
      </c>
      <c r="B915" s="3" t="s">
        <v>3615</v>
      </c>
      <c r="C915" s="3" t="s">
        <v>3787</v>
      </c>
      <c r="D915" s="3" t="s">
        <v>3788</v>
      </c>
      <c r="E915" s="3" t="s">
        <v>3789</v>
      </c>
      <c r="F915" s="3" t="s">
        <v>3790</v>
      </c>
    </row>
    <row r="916" ht="36.0" customHeight="1">
      <c r="A916" s="2" t="s">
        <v>3791</v>
      </c>
      <c r="B916" s="2" t="s">
        <v>3615</v>
      </c>
      <c r="C916" s="2" t="s">
        <v>3792</v>
      </c>
      <c r="D916" s="2" t="s">
        <v>3793</v>
      </c>
      <c r="E916" s="2" t="s">
        <v>3789</v>
      </c>
      <c r="F916" s="2" t="s">
        <v>3794</v>
      </c>
    </row>
    <row r="917" ht="36.0" customHeight="1">
      <c r="A917" s="3" t="s">
        <v>3795</v>
      </c>
      <c r="B917" s="3" t="s">
        <v>3615</v>
      </c>
      <c r="C917" s="3" t="s">
        <v>3796</v>
      </c>
      <c r="D917" s="3" t="s">
        <v>3797</v>
      </c>
      <c r="E917" s="3" t="s">
        <v>3789</v>
      </c>
      <c r="F917" s="3" t="s">
        <v>3798</v>
      </c>
    </row>
    <row r="918" ht="36.0" customHeight="1">
      <c r="A918" s="2" t="s">
        <v>3799</v>
      </c>
      <c r="B918" s="2" t="s">
        <v>3615</v>
      </c>
      <c r="C918" s="2" t="s">
        <v>3800</v>
      </c>
      <c r="D918" s="2" t="s">
        <v>3801</v>
      </c>
      <c r="E918" s="2" t="s">
        <v>3661</v>
      </c>
      <c r="F918" s="2" t="s">
        <v>3802</v>
      </c>
    </row>
    <row r="919" ht="36.0" customHeight="1">
      <c r="A919" s="3" t="s">
        <v>3803</v>
      </c>
      <c r="B919" s="3" t="s">
        <v>3615</v>
      </c>
      <c r="C919" s="3" t="s">
        <v>3804</v>
      </c>
      <c r="D919" s="3" t="s">
        <v>3805</v>
      </c>
      <c r="E919" s="3" t="s">
        <v>3806</v>
      </c>
      <c r="F919" s="3" t="s">
        <v>3807</v>
      </c>
    </row>
    <row r="920" ht="36.0" customHeight="1">
      <c r="A920" s="2" t="s">
        <v>3808</v>
      </c>
      <c r="B920" s="2" t="s">
        <v>3615</v>
      </c>
      <c r="C920" s="2" t="s">
        <v>3809</v>
      </c>
      <c r="D920" s="2" t="s">
        <v>3810</v>
      </c>
      <c r="E920" s="2" t="s">
        <v>3806</v>
      </c>
      <c r="F920" s="2" t="s">
        <v>3811</v>
      </c>
    </row>
    <row r="921" ht="36.0" customHeight="1">
      <c r="A921" s="3" t="s">
        <v>3812</v>
      </c>
      <c r="B921" s="3" t="s">
        <v>3615</v>
      </c>
      <c r="C921" s="3" t="s">
        <v>3813</v>
      </c>
      <c r="D921" s="3" t="s">
        <v>3814</v>
      </c>
      <c r="E921" s="3" t="s">
        <v>3730</v>
      </c>
      <c r="F921" s="3" t="s">
        <v>3815</v>
      </c>
    </row>
    <row r="922" ht="36.0" customHeight="1">
      <c r="A922" s="2" t="s">
        <v>3816</v>
      </c>
      <c r="B922" s="2" t="s">
        <v>3615</v>
      </c>
      <c r="C922" s="2" t="s">
        <v>3817</v>
      </c>
      <c r="D922" s="2" t="s">
        <v>3818</v>
      </c>
      <c r="E922" s="2" t="s">
        <v>3745</v>
      </c>
      <c r="F922" s="2" t="s">
        <v>3819</v>
      </c>
    </row>
    <row r="923" ht="36.0" customHeight="1">
      <c r="A923" s="3" t="s">
        <v>3820</v>
      </c>
      <c r="B923" s="3" t="s">
        <v>3615</v>
      </c>
      <c r="C923" s="3" t="s">
        <v>3821</v>
      </c>
      <c r="D923" s="3" t="s">
        <v>3822</v>
      </c>
      <c r="E923" s="3" t="s">
        <v>430</v>
      </c>
      <c r="F923" s="3" t="s">
        <v>3823</v>
      </c>
    </row>
    <row r="924" ht="36.0" customHeight="1">
      <c r="A924" s="2" t="s">
        <v>3824</v>
      </c>
      <c r="B924" s="2" t="s">
        <v>3615</v>
      </c>
      <c r="C924" s="2" t="s">
        <v>3825</v>
      </c>
      <c r="D924" s="2" t="s">
        <v>3826</v>
      </c>
      <c r="E924" s="2" t="s">
        <v>3827</v>
      </c>
      <c r="F924" s="2" t="s">
        <v>3828</v>
      </c>
    </row>
    <row r="925" ht="36.0" customHeight="1">
      <c r="A925" s="3" t="s">
        <v>3829</v>
      </c>
      <c r="B925" s="3" t="s">
        <v>3615</v>
      </c>
      <c r="C925" s="3" t="s">
        <v>3830</v>
      </c>
      <c r="D925" s="3" t="s">
        <v>3831</v>
      </c>
      <c r="E925" s="3" t="s">
        <v>996</v>
      </c>
      <c r="F925" s="3" t="s">
        <v>3832</v>
      </c>
    </row>
    <row r="926" ht="36.0" customHeight="1">
      <c r="A926" s="2" t="s">
        <v>3833</v>
      </c>
      <c r="B926" s="2" t="s">
        <v>3615</v>
      </c>
      <c r="C926" s="2" t="s">
        <v>3834</v>
      </c>
      <c r="D926" s="2" t="s">
        <v>3835</v>
      </c>
      <c r="E926" s="2" t="s">
        <v>2355</v>
      </c>
      <c r="F926" s="2" t="s">
        <v>3836</v>
      </c>
    </row>
    <row r="927" ht="36.0" customHeight="1">
      <c r="A927" s="3" t="s">
        <v>3837</v>
      </c>
      <c r="B927" s="3" t="s">
        <v>3615</v>
      </c>
      <c r="C927" s="3" t="s">
        <v>3838</v>
      </c>
      <c r="D927" s="3" t="s">
        <v>3839</v>
      </c>
      <c r="E927" s="3" t="s">
        <v>19</v>
      </c>
      <c r="F927" s="3" t="s">
        <v>3840</v>
      </c>
    </row>
    <row r="928" ht="36.0" customHeight="1">
      <c r="A928" s="2" t="s">
        <v>3841</v>
      </c>
      <c r="B928" s="2" t="s">
        <v>3615</v>
      </c>
      <c r="C928" s="2" t="s">
        <v>3842</v>
      </c>
      <c r="D928" s="2" t="s">
        <v>3843</v>
      </c>
      <c r="E928" s="2" t="s">
        <v>3844</v>
      </c>
      <c r="F928" s="2" t="s">
        <v>3845</v>
      </c>
    </row>
    <row r="929" ht="36.0" customHeight="1">
      <c r="A929" s="3" t="s">
        <v>3846</v>
      </c>
      <c r="B929" s="3" t="s">
        <v>3615</v>
      </c>
      <c r="C929" s="3" t="s">
        <v>3847</v>
      </c>
      <c r="D929" s="3" t="s">
        <v>3848</v>
      </c>
      <c r="E929" s="3" t="s">
        <v>3661</v>
      </c>
      <c r="F929" s="3" t="s">
        <v>3849</v>
      </c>
    </row>
    <row r="930" ht="36.0" customHeight="1">
      <c r="A930" s="2" t="s">
        <v>3850</v>
      </c>
      <c r="B930" s="2" t="s">
        <v>3615</v>
      </c>
      <c r="C930" s="2" t="s">
        <v>3851</v>
      </c>
      <c r="D930" s="2" t="s">
        <v>3852</v>
      </c>
      <c r="E930" s="2" t="s">
        <v>3661</v>
      </c>
      <c r="F930" s="2" t="s">
        <v>3853</v>
      </c>
    </row>
    <row r="931" ht="36.0" customHeight="1">
      <c r="A931" s="3" t="s">
        <v>3854</v>
      </c>
      <c r="B931" s="3" t="s">
        <v>3615</v>
      </c>
      <c r="C931" s="3" t="s">
        <v>3855</v>
      </c>
      <c r="D931" s="3" t="s">
        <v>3856</v>
      </c>
      <c r="E931" s="3" t="s">
        <v>3686</v>
      </c>
      <c r="F931" s="3" t="s">
        <v>3857</v>
      </c>
    </row>
    <row r="932" ht="36.0" customHeight="1">
      <c r="A932" s="2" t="s">
        <v>3858</v>
      </c>
      <c r="B932" s="2" t="s">
        <v>3615</v>
      </c>
      <c r="C932" s="2" t="s">
        <v>3859</v>
      </c>
      <c r="D932" s="2" t="s">
        <v>3860</v>
      </c>
      <c r="E932" s="2" t="s">
        <v>3686</v>
      </c>
      <c r="F932" s="2" t="s">
        <v>3861</v>
      </c>
    </row>
    <row r="933" ht="36.0" customHeight="1">
      <c r="A933" s="3" t="s">
        <v>3862</v>
      </c>
      <c r="B933" s="3" t="s">
        <v>3615</v>
      </c>
      <c r="C933" s="3" t="s">
        <v>3863</v>
      </c>
      <c r="D933" s="3" t="s">
        <v>3864</v>
      </c>
      <c r="E933" s="3" t="s">
        <v>3865</v>
      </c>
      <c r="F933" s="3" t="s">
        <v>3866</v>
      </c>
    </row>
    <row r="934" ht="36.0" customHeight="1">
      <c r="A934" s="2" t="s">
        <v>3867</v>
      </c>
      <c r="B934" s="2" t="s">
        <v>3615</v>
      </c>
      <c r="C934" s="2" t="s">
        <v>3868</v>
      </c>
      <c r="D934" s="2" t="s">
        <v>3869</v>
      </c>
      <c r="E934" s="2" t="s">
        <v>3870</v>
      </c>
      <c r="F934" s="2" t="s">
        <v>3871</v>
      </c>
    </row>
    <row r="935" ht="36.0" customHeight="1">
      <c r="A935" s="3" t="s">
        <v>3872</v>
      </c>
      <c r="B935" s="3" t="s">
        <v>3615</v>
      </c>
      <c r="C935" s="3" t="s">
        <v>3873</v>
      </c>
      <c r="D935" s="3" t="s">
        <v>3874</v>
      </c>
      <c r="E935" s="3" t="s">
        <v>2355</v>
      </c>
      <c r="F935" s="3" t="s">
        <v>3875</v>
      </c>
    </row>
    <row r="936" ht="36.0" customHeight="1">
      <c r="A936" s="2" t="s">
        <v>3876</v>
      </c>
      <c r="B936" s="2" t="s">
        <v>3615</v>
      </c>
      <c r="C936" s="2" t="s">
        <v>3877</v>
      </c>
      <c r="D936" s="2" t="s">
        <v>3878</v>
      </c>
      <c r="E936" s="2" t="s">
        <v>3661</v>
      </c>
      <c r="F936" s="2" t="s">
        <v>3879</v>
      </c>
    </row>
    <row r="937" ht="36.0" customHeight="1">
      <c r="A937" s="3" t="s">
        <v>3880</v>
      </c>
      <c r="B937" s="3" t="s">
        <v>3615</v>
      </c>
      <c r="C937" s="3" t="s">
        <v>3881</v>
      </c>
      <c r="D937" s="3" t="s">
        <v>3882</v>
      </c>
      <c r="E937" s="3" t="s">
        <v>599</v>
      </c>
      <c r="F937" s="3" t="s">
        <v>3883</v>
      </c>
    </row>
    <row r="938" ht="36.0" customHeight="1">
      <c r="A938" s="2" t="s">
        <v>3884</v>
      </c>
      <c r="B938" s="2" t="s">
        <v>3615</v>
      </c>
      <c r="C938" s="2" t="s">
        <v>3885</v>
      </c>
      <c r="D938" s="2" t="s">
        <v>3886</v>
      </c>
      <c r="E938" s="2" t="s">
        <v>3730</v>
      </c>
      <c r="F938" s="2" t="s">
        <v>3887</v>
      </c>
    </row>
    <row r="939" ht="36.0" customHeight="1">
      <c r="A939" s="3" t="s">
        <v>3888</v>
      </c>
      <c r="B939" s="3" t="s">
        <v>3615</v>
      </c>
      <c r="C939" s="3" t="s">
        <v>3889</v>
      </c>
      <c r="D939" s="3" t="s">
        <v>3890</v>
      </c>
      <c r="E939" s="3" t="s">
        <v>3735</v>
      </c>
      <c r="F939" s="3" t="s">
        <v>3891</v>
      </c>
    </row>
    <row r="940" ht="36.0" customHeight="1">
      <c r="A940" s="2" t="s">
        <v>3892</v>
      </c>
      <c r="B940" s="2" t="s">
        <v>3615</v>
      </c>
      <c r="C940" s="2" t="s">
        <v>3893</v>
      </c>
      <c r="D940" s="2" t="s">
        <v>3894</v>
      </c>
      <c r="E940" s="2" t="s">
        <v>3895</v>
      </c>
      <c r="F940" s="2" t="s">
        <v>3896</v>
      </c>
    </row>
    <row r="941" ht="36.0" customHeight="1">
      <c r="A941" s="3" t="s">
        <v>3897</v>
      </c>
      <c r="B941" s="3" t="s">
        <v>3615</v>
      </c>
      <c r="C941" s="3" t="s">
        <v>3898</v>
      </c>
      <c r="D941" s="3" t="s">
        <v>3899</v>
      </c>
      <c r="E941" s="3" t="s">
        <v>3900</v>
      </c>
      <c r="F941" s="3" t="s">
        <v>3901</v>
      </c>
    </row>
    <row r="942" ht="36.0" customHeight="1">
      <c r="A942" s="2" t="s">
        <v>3902</v>
      </c>
      <c r="B942" s="2" t="s">
        <v>3615</v>
      </c>
      <c r="C942" s="2" t="s">
        <v>3903</v>
      </c>
      <c r="D942" s="2" t="s">
        <v>3904</v>
      </c>
      <c r="E942" s="2" t="s">
        <v>3900</v>
      </c>
      <c r="F942" s="2" t="s">
        <v>3905</v>
      </c>
    </row>
    <row r="943" ht="36.0" customHeight="1">
      <c r="A943" s="3" t="s">
        <v>3906</v>
      </c>
      <c r="B943" s="3" t="s">
        <v>3615</v>
      </c>
      <c r="C943" s="3" t="s">
        <v>3907</v>
      </c>
      <c r="D943" s="3" t="s">
        <v>3908</v>
      </c>
      <c r="E943" s="3" t="s">
        <v>2015</v>
      </c>
      <c r="F943" s="3" t="s">
        <v>3909</v>
      </c>
    </row>
    <row r="944" ht="36.0" customHeight="1">
      <c r="A944" s="2" t="s">
        <v>3910</v>
      </c>
      <c r="B944" s="2" t="s">
        <v>3615</v>
      </c>
      <c r="C944" s="2" t="s">
        <v>3911</v>
      </c>
      <c r="D944" s="2" t="s">
        <v>3912</v>
      </c>
      <c r="E944" s="2" t="s">
        <v>3745</v>
      </c>
      <c r="F944" s="2" t="s">
        <v>3913</v>
      </c>
    </row>
    <row r="945" ht="36.0" customHeight="1">
      <c r="A945" s="3" t="s">
        <v>3914</v>
      </c>
      <c r="B945" s="3" t="s">
        <v>3615</v>
      </c>
      <c r="C945" s="3" t="s">
        <v>3915</v>
      </c>
      <c r="D945" s="3" t="s">
        <v>3916</v>
      </c>
      <c r="E945" s="3" t="s">
        <v>3745</v>
      </c>
      <c r="F945" s="3" t="s">
        <v>3917</v>
      </c>
    </row>
    <row r="946" ht="36.0" customHeight="1">
      <c r="A946" s="2" t="s">
        <v>3918</v>
      </c>
      <c r="B946" s="2" t="s">
        <v>3615</v>
      </c>
      <c r="C946" s="2" t="s">
        <v>3919</v>
      </c>
      <c r="D946" s="2" t="s">
        <v>3920</v>
      </c>
      <c r="E946" s="2" t="s">
        <v>166</v>
      </c>
      <c r="F946" s="2" t="s">
        <v>3921</v>
      </c>
    </row>
    <row r="947" ht="36.0" customHeight="1">
      <c r="A947" s="3" t="s">
        <v>3922</v>
      </c>
      <c r="B947" s="3" t="s">
        <v>3615</v>
      </c>
      <c r="C947" s="3" t="s">
        <v>3923</v>
      </c>
      <c r="D947" s="3" t="s">
        <v>3924</v>
      </c>
      <c r="E947" s="3" t="s">
        <v>166</v>
      </c>
      <c r="F947" s="3" t="s">
        <v>3925</v>
      </c>
    </row>
    <row r="948" ht="36.0" customHeight="1">
      <c r="A948" s="2" t="s">
        <v>3926</v>
      </c>
      <c r="B948" s="2" t="s">
        <v>3615</v>
      </c>
      <c r="C948" s="2" t="s">
        <v>3927</v>
      </c>
      <c r="D948" s="2" t="s">
        <v>3928</v>
      </c>
      <c r="E948" s="2" t="s">
        <v>3827</v>
      </c>
      <c r="F948" s="2" t="s">
        <v>3929</v>
      </c>
    </row>
    <row r="949" ht="36.0" customHeight="1">
      <c r="A949" s="3" t="s">
        <v>3930</v>
      </c>
      <c r="B949" s="3" t="s">
        <v>3615</v>
      </c>
      <c r="C949" s="3" t="s">
        <v>3931</v>
      </c>
      <c r="D949" s="3" t="s">
        <v>3932</v>
      </c>
      <c r="E949" s="3" t="s">
        <v>430</v>
      </c>
      <c r="F949" s="3" t="s">
        <v>3933</v>
      </c>
    </row>
    <row r="950" ht="36.0" customHeight="1">
      <c r="A950" s="2" t="s">
        <v>3934</v>
      </c>
      <c r="B950" s="2" t="s">
        <v>3615</v>
      </c>
      <c r="C950" s="2" t="s">
        <v>3935</v>
      </c>
      <c r="D950" s="2" t="s">
        <v>3936</v>
      </c>
      <c r="E950" s="2" t="s">
        <v>435</v>
      </c>
      <c r="F950" s="2" t="s">
        <v>3937</v>
      </c>
    </row>
    <row r="951" ht="36.0" customHeight="1">
      <c r="A951" s="3" t="s">
        <v>3938</v>
      </c>
      <c r="B951" s="3" t="s">
        <v>3615</v>
      </c>
      <c r="C951" s="3" t="s">
        <v>3939</v>
      </c>
      <c r="D951" s="3" t="s">
        <v>3940</v>
      </c>
      <c r="E951" s="3" t="s">
        <v>435</v>
      </c>
      <c r="F951" s="3" t="s">
        <v>3941</v>
      </c>
    </row>
    <row r="952" ht="36.0" customHeight="1">
      <c r="A952" s="2" t="s">
        <v>3942</v>
      </c>
      <c r="B952" s="2" t="s">
        <v>3615</v>
      </c>
      <c r="C952" s="2" t="s">
        <v>3943</v>
      </c>
      <c r="D952" s="2" t="s">
        <v>3944</v>
      </c>
      <c r="E952" s="2" t="s">
        <v>10</v>
      </c>
      <c r="F952" s="2" t="s">
        <v>3945</v>
      </c>
    </row>
    <row r="953" ht="36.0" customHeight="1">
      <c r="A953" s="3" t="s">
        <v>3946</v>
      </c>
      <c r="B953" s="3" t="s">
        <v>3615</v>
      </c>
      <c r="C953" s="3" t="s">
        <v>3947</v>
      </c>
      <c r="D953" s="3" t="s">
        <v>3948</v>
      </c>
      <c r="E953" s="3" t="s">
        <v>19</v>
      </c>
      <c r="F953" s="3" t="s">
        <v>3949</v>
      </c>
    </row>
    <row r="954" ht="36.0" customHeight="1">
      <c r="A954" s="2" t="s">
        <v>3950</v>
      </c>
      <c r="B954" s="2" t="s">
        <v>3615</v>
      </c>
      <c r="C954" s="2" t="s">
        <v>3951</v>
      </c>
      <c r="D954" s="2" t="s">
        <v>3952</v>
      </c>
      <c r="E954" s="2" t="s">
        <v>19</v>
      </c>
      <c r="F954" s="2" t="s">
        <v>3953</v>
      </c>
    </row>
    <row r="955" ht="36.0" customHeight="1">
      <c r="A955" s="3" t="s">
        <v>3954</v>
      </c>
      <c r="B955" s="3" t="s">
        <v>3615</v>
      </c>
      <c r="C955" s="3" t="s">
        <v>3955</v>
      </c>
      <c r="D955" s="3" t="s">
        <v>3956</v>
      </c>
      <c r="E955" s="3" t="s">
        <v>19</v>
      </c>
      <c r="F955" s="3" t="s">
        <v>3957</v>
      </c>
    </row>
    <row r="956" ht="36.0" customHeight="1">
      <c r="A956" s="2" t="s">
        <v>3958</v>
      </c>
      <c r="B956" s="2" t="s">
        <v>3615</v>
      </c>
      <c r="C956" s="2" t="s">
        <v>3959</v>
      </c>
      <c r="D956" s="2" t="s">
        <v>3960</v>
      </c>
      <c r="E956" s="2" t="s">
        <v>19</v>
      </c>
      <c r="F956" s="2" t="s">
        <v>3961</v>
      </c>
    </row>
    <row r="957" ht="36.0" customHeight="1">
      <c r="A957" s="3" t="s">
        <v>3962</v>
      </c>
      <c r="B957" s="3" t="s">
        <v>3615</v>
      </c>
      <c r="C957" s="3" t="s">
        <v>3963</v>
      </c>
      <c r="D957" s="3" t="s">
        <v>3964</v>
      </c>
      <c r="E957" s="3" t="s">
        <v>19</v>
      </c>
      <c r="F957" s="3" t="s">
        <v>3965</v>
      </c>
    </row>
    <row r="958" ht="36.0" customHeight="1">
      <c r="A958" s="2" t="s">
        <v>3966</v>
      </c>
      <c r="B958" s="2" t="s">
        <v>3615</v>
      </c>
      <c r="C958" s="2" t="s">
        <v>3967</v>
      </c>
      <c r="D958" s="2" t="s">
        <v>3968</v>
      </c>
      <c r="E958" s="2" t="s">
        <v>3969</v>
      </c>
      <c r="F958" s="2" t="s">
        <v>3970</v>
      </c>
    </row>
    <row r="959" ht="36.0" customHeight="1">
      <c r="A959" s="3" t="s">
        <v>3971</v>
      </c>
      <c r="B959" s="3" t="s">
        <v>3615</v>
      </c>
      <c r="C959" s="3" t="s">
        <v>3972</v>
      </c>
      <c r="D959" s="3" t="s">
        <v>3973</v>
      </c>
      <c r="E959" s="3" t="s">
        <v>3969</v>
      </c>
      <c r="F959" s="3" t="s">
        <v>3974</v>
      </c>
    </row>
    <row r="960" ht="36.0" customHeight="1">
      <c r="A960" s="2" t="s">
        <v>3975</v>
      </c>
      <c r="B960" s="2" t="s">
        <v>3615</v>
      </c>
      <c r="C960" s="2" t="s">
        <v>3976</v>
      </c>
      <c r="D960" s="2" t="s">
        <v>3977</v>
      </c>
      <c r="E960" s="2" t="s">
        <v>3969</v>
      </c>
      <c r="F960" s="2" t="s">
        <v>3978</v>
      </c>
    </row>
    <row r="961" ht="36.0" customHeight="1">
      <c r="A961" s="3" t="s">
        <v>3979</v>
      </c>
      <c r="B961" s="3" t="s">
        <v>3615</v>
      </c>
      <c r="C961" s="3" t="s">
        <v>3980</v>
      </c>
      <c r="D961" s="3" t="s">
        <v>3981</v>
      </c>
      <c r="E961" s="3" t="s">
        <v>3969</v>
      </c>
      <c r="F961" s="3" t="s">
        <v>3982</v>
      </c>
    </row>
    <row r="962" ht="36.0" customHeight="1">
      <c r="A962" s="2" t="s">
        <v>3983</v>
      </c>
      <c r="B962" s="2" t="s">
        <v>3615</v>
      </c>
      <c r="C962" s="2" t="s">
        <v>3984</v>
      </c>
      <c r="D962" s="2" t="s">
        <v>3985</v>
      </c>
      <c r="E962" s="2" t="s">
        <v>3652</v>
      </c>
      <c r="F962" s="2" t="s">
        <v>3986</v>
      </c>
    </row>
    <row r="963" ht="36.0" customHeight="1">
      <c r="A963" s="3" t="s">
        <v>3987</v>
      </c>
      <c r="B963" s="3" t="s">
        <v>3615</v>
      </c>
      <c r="C963" s="3" t="s">
        <v>3988</v>
      </c>
      <c r="D963" s="3" t="s">
        <v>3989</v>
      </c>
      <c r="E963" s="3" t="s">
        <v>3652</v>
      </c>
      <c r="F963" s="3" t="s">
        <v>3990</v>
      </c>
    </row>
    <row r="964" ht="36.0" customHeight="1">
      <c r="A964" s="2" t="s">
        <v>3991</v>
      </c>
      <c r="B964" s="2" t="s">
        <v>3615</v>
      </c>
      <c r="C964" s="2" t="s">
        <v>3992</v>
      </c>
      <c r="D964" s="2" t="s">
        <v>3993</v>
      </c>
      <c r="E964" s="2" t="s">
        <v>3844</v>
      </c>
      <c r="F964" s="2" t="s">
        <v>3994</v>
      </c>
    </row>
    <row r="965" ht="36.0" customHeight="1">
      <c r="A965" s="3" t="s">
        <v>3995</v>
      </c>
      <c r="B965" s="3" t="s">
        <v>3615</v>
      </c>
      <c r="C965" s="3" t="s">
        <v>3996</v>
      </c>
      <c r="D965" s="3" t="s">
        <v>3997</v>
      </c>
      <c r="E965" s="3" t="s">
        <v>3969</v>
      </c>
      <c r="F965" s="3" t="s">
        <v>3998</v>
      </c>
    </row>
    <row r="966" ht="36.0" customHeight="1">
      <c r="A966" s="2" t="s">
        <v>3999</v>
      </c>
      <c r="B966" s="2" t="s">
        <v>3615</v>
      </c>
      <c r="C966" s="2" t="s">
        <v>4000</v>
      </c>
      <c r="D966" s="2" t="s">
        <v>4001</v>
      </c>
      <c r="E966" s="2" t="s">
        <v>517</v>
      </c>
      <c r="F966" s="2" t="s">
        <v>4002</v>
      </c>
    </row>
    <row r="967" ht="36.0" customHeight="1">
      <c r="A967" s="3" t="s">
        <v>4003</v>
      </c>
      <c r="B967" s="3" t="s">
        <v>3615</v>
      </c>
      <c r="C967" s="3" t="s">
        <v>4004</v>
      </c>
      <c r="D967" s="3" t="s">
        <v>4005</v>
      </c>
      <c r="E967" s="3" t="s">
        <v>3789</v>
      </c>
      <c r="F967" s="3" t="s">
        <v>4006</v>
      </c>
    </row>
    <row r="968" ht="36.0" customHeight="1">
      <c r="A968" s="2" t="s">
        <v>4007</v>
      </c>
      <c r="B968" s="2" t="s">
        <v>3615</v>
      </c>
      <c r="C968" s="2" t="s">
        <v>4008</v>
      </c>
      <c r="D968" s="2" t="s">
        <v>4009</v>
      </c>
      <c r="E968" s="2" t="s">
        <v>1821</v>
      </c>
      <c r="F968" s="2" t="s">
        <v>4010</v>
      </c>
    </row>
    <row r="969" ht="36.0" customHeight="1">
      <c r="A969" s="3" t="s">
        <v>4011</v>
      </c>
      <c r="B969" s="3" t="s">
        <v>3615</v>
      </c>
      <c r="C969" s="3" t="s">
        <v>4012</v>
      </c>
      <c r="D969" s="3" t="s">
        <v>4013</v>
      </c>
      <c r="E969" s="3" t="s">
        <v>2408</v>
      </c>
      <c r="F969" s="3" t="s">
        <v>4014</v>
      </c>
    </row>
    <row r="970" ht="36.0" customHeight="1">
      <c r="A970" s="2" t="s">
        <v>4015</v>
      </c>
      <c r="B970" s="2" t="s">
        <v>3615</v>
      </c>
      <c r="C970" s="2" t="s">
        <v>4016</v>
      </c>
      <c r="D970" s="2" t="s">
        <v>4017</v>
      </c>
      <c r="E970" s="2" t="s">
        <v>2408</v>
      </c>
      <c r="F970" s="2" t="s">
        <v>4018</v>
      </c>
    </row>
    <row r="971" ht="36.0" customHeight="1">
      <c r="A971" s="3" t="s">
        <v>4019</v>
      </c>
      <c r="B971" s="3" t="s">
        <v>3615</v>
      </c>
      <c r="C971" s="3" t="s">
        <v>4020</v>
      </c>
      <c r="D971" s="3" t="s">
        <v>4021</v>
      </c>
      <c r="E971" s="3" t="s">
        <v>3661</v>
      </c>
      <c r="F971" s="3" t="s">
        <v>4022</v>
      </c>
    </row>
    <row r="972" ht="36.0" customHeight="1">
      <c r="A972" s="2" t="s">
        <v>4023</v>
      </c>
      <c r="B972" s="2" t="s">
        <v>3615</v>
      </c>
      <c r="C972" s="2" t="s">
        <v>4024</v>
      </c>
      <c r="D972" s="2" t="s">
        <v>4025</v>
      </c>
      <c r="E972" s="2" t="s">
        <v>4026</v>
      </c>
      <c r="F972" s="2" t="s">
        <v>4027</v>
      </c>
    </row>
    <row r="973" ht="36.0" customHeight="1">
      <c r="A973" s="3" t="s">
        <v>4028</v>
      </c>
      <c r="B973" s="3" t="s">
        <v>3615</v>
      </c>
      <c r="C973" s="3" t="s">
        <v>4029</v>
      </c>
      <c r="D973" s="3" t="s">
        <v>4030</v>
      </c>
      <c r="E973" s="3" t="s">
        <v>4026</v>
      </c>
      <c r="F973" s="3" t="s">
        <v>4031</v>
      </c>
    </row>
    <row r="974" ht="36.0" customHeight="1">
      <c r="A974" s="2" t="s">
        <v>4032</v>
      </c>
      <c r="B974" s="2" t="s">
        <v>3615</v>
      </c>
      <c r="C974" s="2" t="s">
        <v>4033</v>
      </c>
      <c r="D974" s="2" t="s">
        <v>4034</v>
      </c>
      <c r="E974" s="2" t="s">
        <v>4026</v>
      </c>
      <c r="F974" s="2" t="s">
        <v>4035</v>
      </c>
    </row>
    <row r="975" ht="36.0" customHeight="1">
      <c r="A975" s="3" t="s">
        <v>4036</v>
      </c>
      <c r="B975" s="3" t="s">
        <v>3615</v>
      </c>
      <c r="C975" s="3" t="s">
        <v>4037</v>
      </c>
      <c r="D975" s="3" t="s">
        <v>4038</v>
      </c>
      <c r="E975" s="3" t="s">
        <v>4026</v>
      </c>
      <c r="F975" s="3" t="s">
        <v>4039</v>
      </c>
    </row>
    <row r="976" ht="36.0" customHeight="1">
      <c r="A976" s="2" t="s">
        <v>4040</v>
      </c>
      <c r="B976" s="2" t="s">
        <v>3615</v>
      </c>
      <c r="C976" s="2" t="s">
        <v>4041</v>
      </c>
      <c r="D976" s="2" t="s">
        <v>4042</v>
      </c>
      <c r="E976" s="2" t="s">
        <v>4026</v>
      </c>
      <c r="F976" s="2" t="s">
        <v>4043</v>
      </c>
    </row>
    <row r="977" ht="36.0" customHeight="1">
      <c r="A977" s="3" t="s">
        <v>4044</v>
      </c>
      <c r="B977" s="3" t="s">
        <v>3615</v>
      </c>
      <c r="C977" s="3" t="s">
        <v>4045</v>
      </c>
      <c r="D977" s="3" t="s">
        <v>4046</v>
      </c>
      <c r="E977" s="3" t="s">
        <v>4026</v>
      </c>
      <c r="F977" s="3" t="s">
        <v>4047</v>
      </c>
    </row>
    <row r="978" ht="36.0" customHeight="1">
      <c r="A978" s="2" t="s">
        <v>4048</v>
      </c>
      <c r="B978" s="2" t="s">
        <v>3615</v>
      </c>
      <c r="C978" s="2" t="s">
        <v>4049</v>
      </c>
      <c r="D978" s="2" t="s">
        <v>4050</v>
      </c>
      <c r="E978" s="2" t="s">
        <v>254</v>
      </c>
      <c r="F978" s="2" t="s">
        <v>4051</v>
      </c>
    </row>
    <row r="979" ht="36.0" customHeight="1">
      <c r="A979" s="3" t="s">
        <v>4052</v>
      </c>
      <c r="B979" s="3" t="s">
        <v>3615</v>
      </c>
      <c r="C979" s="3" t="s">
        <v>4053</v>
      </c>
      <c r="D979" s="3" t="s">
        <v>4054</v>
      </c>
      <c r="E979" s="3" t="s">
        <v>4026</v>
      </c>
      <c r="F979" s="3" t="s">
        <v>4055</v>
      </c>
    </row>
    <row r="980" ht="36.0" customHeight="1">
      <c r="A980" s="2" t="s">
        <v>4056</v>
      </c>
      <c r="B980" s="2" t="s">
        <v>3615</v>
      </c>
      <c r="C980" s="2" t="s">
        <v>4057</v>
      </c>
      <c r="D980" s="2" t="s">
        <v>4058</v>
      </c>
      <c r="E980" s="2" t="s">
        <v>4026</v>
      </c>
      <c r="F980" s="2" t="s">
        <v>4059</v>
      </c>
    </row>
    <row r="981" ht="36.0" customHeight="1">
      <c r="A981" s="3" t="s">
        <v>4060</v>
      </c>
      <c r="B981" s="3" t="s">
        <v>3615</v>
      </c>
      <c r="C981" s="3" t="s">
        <v>4061</v>
      </c>
      <c r="D981" s="3" t="s">
        <v>4062</v>
      </c>
      <c r="E981" s="3" t="s">
        <v>4063</v>
      </c>
      <c r="F981" s="3" t="s">
        <v>4064</v>
      </c>
    </row>
    <row r="982" ht="36.0" customHeight="1">
      <c r="A982" s="2" t="s">
        <v>4065</v>
      </c>
      <c r="B982" s="2" t="s">
        <v>3615</v>
      </c>
      <c r="C982" s="2" t="s">
        <v>4066</v>
      </c>
      <c r="D982" s="2" t="s">
        <v>4067</v>
      </c>
      <c r="E982" s="2" t="s">
        <v>4063</v>
      </c>
      <c r="F982" s="2" t="s">
        <v>4068</v>
      </c>
    </row>
    <row r="983" ht="36.0" customHeight="1">
      <c r="A983" s="3" t="s">
        <v>4069</v>
      </c>
      <c r="B983" s="3" t="s">
        <v>3615</v>
      </c>
      <c r="C983" s="3" t="s">
        <v>4070</v>
      </c>
      <c r="D983" s="3" t="s">
        <v>4071</v>
      </c>
      <c r="E983" s="3" t="s">
        <v>4063</v>
      </c>
      <c r="F983" s="3" t="s">
        <v>4072</v>
      </c>
    </row>
    <row r="984" ht="36.0" customHeight="1">
      <c r="A984" s="2" t="s">
        <v>4073</v>
      </c>
      <c r="B984" s="2" t="s">
        <v>3615</v>
      </c>
      <c r="C984" s="2" t="s">
        <v>4074</v>
      </c>
      <c r="D984" s="2" t="s">
        <v>4075</v>
      </c>
      <c r="E984" s="2" t="s">
        <v>2355</v>
      </c>
      <c r="F984" s="2" t="s">
        <v>4076</v>
      </c>
    </row>
    <row r="985" ht="36.0" customHeight="1">
      <c r="A985" s="3" t="s">
        <v>4077</v>
      </c>
      <c r="B985" s="3" t="s">
        <v>3615</v>
      </c>
      <c r="C985" s="3" t="s">
        <v>4078</v>
      </c>
      <c r="D985" s="3" t="s">
        <v>4079</v>
      </c>
      <c r="E985" s="3" t="s">
        <v>3686</v>
      </c>
      <c r="F985" s="3" t="s">
        <v>4080</v>
      </c>
    </row>
    <row r="986" ht="36.0" customHeight="1">
      <c r="A986" s="2" t="s">
        <v>4081</v>
      </c>
      <c r="B986" s="2" t="s">
        <v>3615</v>
      </c>
      <c r="C986" s="2" t="s">
        <v>4082</v>
      </c>
      <c r="D986" s="2" t="s">
        <v>4083</v>
      </c>
      <c r="E986" s="2" t="s">
        <v>3870</v>
      </c>
      <c r="F986" s="2" t="s">
        <v>4084</v>
      </c>
    </row>
    <row r="987" ht="36.0" customHeight="1">
      <c r="A987" s="3" t="s">
        <v>4085</v>
      </c>
      <c r="B987" s="3" t="s">
        <v>3615</v>
      </c>
      <c r="C987" s="3" t="s">
        <v>4086</v>
      </c>
      <c r="D987" s="3" t="s">
        <v>4087</v>
      </c>
      <c r="E987" s="3" t="s">
        <v>3711</v>
      </c>
      <c r="F987" s="3" t="s">
        <v>4088</v>
      </c>
    </row>
    <row r="988" ht="36.0" customHeight="1">
      <c r="A988" s="2" t="s">
        <v>4089</v>
      </c>
      <c r="B988" s="2" t="s">
        <v>3615</v>
      </c>
      <c r="C988" s="2" t="s">
        <v>4090</v>
      </c>
      <c r="D988" s="2" t="s">
        <v>4091</v>
      </c>
      <c r="E988" s="2" t="s">
        <v>1355</v>
      </c>
      <c r="F988" s="2" t="s">
        <v>4092</v>
      </c>
    </row>
    <row r="989" ht="36.0" customHeight="1">
      <c r="A989" s="3" t="s">
        <v>4093</v>
      </c>
      <c r="B989" s="3" t="s">
        <v>3615</v>
      </c>
      <c r="C989" s="3" t="s">
        <v>4094</v>
      </c>
      <c r="D989" s="3" t="s">
        <v>4095</v>
      </c>
      <c r="E989" s="3" t="s">
        <v>1355</v>
      </c>
      <c r="F989" s="3" t="s">
        <v>4096</v>
      </c>
    </row>
    <row r="990" ht="36.0" customHeight="1">
      <c r="A990" s="2" t="s">
        <v>4097</v>
      </c>
      <c r="B990" s="2" t="s">
        <v>3615</v>
      </c>
      <c r="C990" s="2" t="s">
        <v>4098</v>
      </c>
      <c r="D990" s="2" t="s">
        <v>4099</v>
      </c>
      <c r="E990" s="2" t="s">
        <v>742</v>
      </c>
      <c r="F990" s="2" t="s">
        <v>4100</v>
      </c>
    </row>
    <row r="991" ht="36.0" customHeight="1">
      <c r="A991" s="3" t="s">
        <v>4101</v>
      </c>
      <c r="B991" s="3" t="s">
        <v>3615</v>
      </c>
      <c r="C991" s="3" t="s">
        <v>4102</v>
      </c>
      <c r="D991" s="3" t="s">
        <v>4103</v>
      </c>
      <c r="E991" s="3" t="s">
        <v>3735</v>
      </c>
      <c r="F991" s="3" t="s">
        <v>4104</v>
      </c>
    </row>
    <row r="992" ht="36.0" customHeight="1">
      <c r="A992" s="2" t="s">
        <v>4105</v>
      </c>
      <c r="B992" s="2" t="s">
        <v>3615</v>
      </c>
      <c r="C992" s="2" t="s">
        <v>4106</v>
      </c>
      <c r="D992" s="2" t="s">
        <v>4107</v>
      </c>
      <c r="E992" s="2" t="s">
        <v>742</v>
      </c>
      <c r="F992" s="2" t="s">
        <v>4108</v>
      </c>
    </row>
    <row r="993" ht="36.0" customHeight="1">
      <c r="A993" s="3" t="s">
        <v>4109</v>
      </c>
      <c r="B993" s="3" t="s">
        <v>3615</v>
      </c>
      <c r="C993" s="3" t="s">
        <v>4110</v>
      </c>
      <c r="D993" s="3" t="s">
        <v>4111</v>
      </c>
      <c r="E993" s="3" t="s">
        <v>139</v>
      </c>
      <c r="F993" s="3" t="s">
        <v>4112</v>
      </c>
    </row>
    <row r="994" ht="36.0" customHeight="1">
      <c r="A994" s="2" t="s">
        <v>4113</v>
      </c>
      <c r="B994" s="2" t="s">
        <v>3615</v>
      </c>
      <c r="C994" s="2" t="s">
        <v>4114</v>
      </c>
      <c r="D994" s="2" t="s">
        <v>4115</v>
      </c>
      <c r="E994" s="2" t="s">
        <v>4116</v>
      </c>
      <c r="F994" s="2" t="s">
        <v>4117</v>
      </c>
    </row>
    <row r="995" ht="36.0" customHeight="1">
      <c r="A995" s="3" t="s">
        <v>4118</v>
      </c>
      <c r="B995" s="3" t="s">
        <v>3615</v>
      </c>
      <c r="C995" s="3" t="s">
        <v>4119</v>
      </c>
      <c r="D995" s="3" t="s">
        <v>4120</v>
      </c>
      <c r="E995" s="3" t="s">
        <v>3740</v>
      </c>
      <c r="F995" s="3" t="s">
        <v>4121</v>
      </c>
    </row>
    <row r="996" ht="36.0" customHeight="1">
      <c r="A996" s="2" t="s">
        <v>4122</v>
      </c>
      <c r="B996" s="2" t="s">
        <v>3615</v>
      </c>
      <c r="C996" s="2" t="s">
        <v>4123</v>
      </c>
      <c r="D996" s="2" t="s">
        <v>4124</v>
      </c>
      <c r="E996" s="2" t="s">
        <v>3740</v>
      </c>
      <c r="F996" s="2" t="s">
        <v>4125</v>
      </c>
    </row>
    <row r="997" ht="36.0" customHeight="1">
      <c r="A997" s="3" t="s">
        <v>4126</v>
      </c>
      <c r="B997" s="3" t="s">
        <v>3615</v>
      </c>
      <c r="C997" s="3" t="s">
        <v>4127</v>
      </c>
      <c r="D997" s="3" t="s">
        <v>4128</v>
      </c>
      <c r="E997" s="3" t="s">
        <v>3745</v>
      </c>
      <c r="F997" s="3" t="s">
        <v>4129</v>
      </c>
    </row>
    <row r="998" ht="36.0" customHeight="1">
      <c r="A998" s="2" t="s">
        <v>4130</v>
      </c>
      <c r="B998" s="2" t="s">
        <v>3615</v>
      </c>
      <c r="C998" s="2" t="s">
        <v>4131</v>
      </c>
      <c r="D998" s="2" t="s">
        <v>4132</v>
      </c>
      <c r="E998" s="2" t="s">
        <v>4133</v>
      </c>
      <c r="F998" s="2" t="s">
        <v>4134</v>
      </c>
    </row>
    <row r="999" ht="36.0" customHeight="1">
      <c r="A999" s="3" t="s">
        <v>4135</v>
      </c>
      <c r="B999" s="3" t="s">
        <v>3615</v>
      </c>
      <c r="C999" s="3" t="s">
        <v>4136</v>
      </c>
      <c r="D999" s="3" t="s">
        <v>4137</v>
      </c>
      <c r="E999" s="3" t="s">
        <v>3745</v>
      </c>
      <c r="F999" s="3" t="s">
        <v>4138</v>
      </c>
    </row>
    <row r="1000" ht="36.0" customHeight="1">
      <c r="A1000" s="2" t="s">
        <v>4139</v>
      </c>
      <c r="B1000" s="2" t="s">
        <v>3615</v>
      </c>
      <c r="C1000" s="2" t="s">
        <v>4140</v>
      </c>
      <c r="D1000" s="2" t="s">
        <v>4141</v>
      </c>
      <c r="E1000" s="2" t="s">
        <v>3771</v>
      </c>
      <c r="F1000" s="2" t="s">
        <v>4142</v>
      </c>
    </row>
    <row r="1001" ht="36.0" customHeight="1">
      <c r="A1001" s="3" t="s">
        <v>4143</v>
      </c>
      <c r="B1001" s="3" t="s">
        <v>3615</v>
      </c>
      <c r="C1001" s="3" t="s">
        <v>4144</v>
      </c>
      <c r="D1001" s="3" t="s">
        <v>4145</v>
      </c>
      <c r="E1001" s="3" t="s">
        <v>3771</v>
      </c>
      <c r="F1001" s="3" t="s">
        <v>4146</v>
      </c>
    </row>
    <row r="1002" ht="36.0" customHeight="1">
      <c r="A1002" s="2" t="s">
        <v>4147</v>
      </c>
      <c r="B1002" s="2" t="s">
        <v>3615</v>
      </c>
      <c r="C1002" s="2" t="s">
        <v>4148</v>
      </c>
      <c r="D1002" s="2" t="s">
        <v>4149</v>
      </c>
      <c r="E1002" s="2" t="s">
        <v>3771</v>
      </c>
      <c r="F1002" s="2" t="s">
        <v>4150</v>
      </c>
    </row>
    <row r="1003" ht="36.0" customHeight="1">
      <c r="A1003" s="3" t="s">
        <v>4151</v>
      </c>
      <c r="B1003" s="3" t="s">
        <v>3615</v>
      </c>
      <c r="C1003" s="3" t="s">
        <v>4152</v>
      </c>
      <c r="D1003" s="3" t="s">
        <v>4153</v>
      </c>
      <c r="E1003" s="3" t="s">
        <v>3771</v>
      </c>
      <c r="F1003" s="3" t="s">
        <v>4154</v>
      </c>
    </row>
    <row r="1004" ht="36.0" customHeight="1">
      <c r="A1004" s="2" t="s">
        <v>4155</v>
      </c>
      <c r="B1004" s="2" t="s">
        <v>3615</v>
      </c>
      <c r="C1004" s="2" t="s">
        <v>4156</v>
      </c>
      <c r="D1004" s="2" t="s">
        <v>4157</v>
      </c>
      <c r="E1004" s="2" t="s">
        <v>3771</v>
      </c>
      <c r="F1004" s="2" t="s">
        <v>4158</v>
      </c>
    </row>
    <row r="1005" ht="36.0" customHeight="1">
      <c r="A1005" s="3" t="s">
        <v>4159</v>
      </c>
      <c r="B1005" s="3" t="s">
        <v>3615</v>
      </c>
      <c r="C1005" s="3" t="s">
        <v>4160</v>
      </c>
      <c r="D1005" s="3" t="s">
        <v>4161</v>
      </c>
      <c r="E1005" s="3" t="s">
        <v>4162</v>
      </c>
      <c r="F1005" s="3" t="s">
        <v>4163</v>
      </c>
    </row>
    <row r="1006" ht="36.0" customHeight="1">
      <c r="A1006" s="2" t="s">
        <v>4164</v>
      </c>
      <c r="B1006" s="2" t="s">
        <v>3615</v>
      </c>
      <c r="C1006" s="2" t="s">
        <v>4165</v>
      </c>
      <c r="D1006" s="2" t="s">
        <v>4166</v>
      </c>
      <c r="E1006" s="2" t="s">
        <v>3623</v>
      </c>
      <c r="F1006" s="2" t="s">
        <v>4167</v>
      </c>
    </row>
    <row r="1007" ht="36.0" customHeight="1">
      <c r="A1007" s="3" t="s">
        <v>4168</v>
      </c>
      <c r="B1007" s="3" t="s">
        <v>3615</v>
      </c>
      <c r="C1007" s="3" t="s">
        <v>4169</v>
      </c>
      <c r="D1007" s="3" t="s">
        <v>4170</v>
      </c>
      <c r="E1007" s="3" t="s">
        <v>3827</v>
      </c>
      <c r="F1007" s="3" t="s">
        <v>4171</v>
      </c>
    </row>
    <row r="1008" ht="36.0" customHeight="1">
      <c r="A1008" s="2" t="s">
        <v>4172</v>
      </c>
      <c r="B1008" s="2" t="s">
        <v>3615</v>
      </c>
      <c r="C1008" s="2" t="s">
        <v>4173</v>
      </c>
      <c r="D1008" s="2" t="s">
        <v>4174</v>
      </c>
      <c r="E1008" s="2" t="s">
        <v>10</v>
      </c>
      <c r="F1008" s="2" t="s">
        <v>4175</v>
      </c>
    </row>
    <row r="1009" ht="36.0" customHeight="1">
      <c r="A1009" s="3" t="s">
        <v>4176</v>
      </c>
      <c r="B1009" s="3" t="s">
        <v>3615</v>
      </c>
      <c r="C1009" s="3" t="s">
        <v>4177</v>
      </c>
      <c r="D1009" s="3" t="s">
        <v>4178</v>
      </c>
      <c r="E1009" s="3" t="s">
        <v>10</v>
      </c>
      <c r="F1009" s="3" t="s">
        <v>4179</v>
      </c>
    </row>
    <row r="1010" ht="36.0" customHeight="1">
      <c r="A1010" s="2" t="s">
        <v>4180</v>
      </c>
      <c r="B1010" s="2" t="s">
        <v>3615</v>
      </c>
      <c r="C1010" s="2" t="s">
        <v>4181</v>
      </c>
      <c r="D1010" s="2" t="s">
        <v>4182</v>
      </c>
      <c r="E1010" s="2" t="s">
        <v>10</v>
      </c>
      <c r="F1010" s="2" t="s">
        <v>4183</v>
      </c>
    </row>
    <row r="1011" ht="36.0" customHeight="1">
      <c r="A1011" s="3" t="s">
        <v>4184</v>
      </c>
      <c r="B1011" s="3" t="s">
        <v>3615</v>
      </c>
      <c r="C1011" s="3" t="s">
        <v>4185</v>
      </c>
      <c r="D1011" s="3" t="s">
        <v>4186</v>
      </c>
      <c r="E1011" s="3" t="s">
        <v>4187</v>
      </c>
      <c r="F1011" s="3" t="s">
        <v>4188</v>
      </c>
    </row>
    <row r="1012" ht="36.0" customHeight="1">
      <c r="A1012" s="2" t="s">
        <v>4189</v>
      </c>
      <c r="B1012" s="2" t="s">
        <v>3615</v>
      </c>
      <c r="C1012" s="2" t="s">
        <v>4190</v>
      </c>
      <c r="D1012" s="2" t="s">
        <v>4191</v>
      </c>
      <c r="E1012" s="2" t="s">
        <v>4187</v>
      </c>
      <c r="F1012" s="2" t="s">
        <v>4192</v>
      </c>
    </row>
    <row r="1013" ht="36.0" customHeight="1">
      <c r="A1013" s="3" t="s">
        <v>4193</v>
      </c>
      <c r="B1013" s="3" t="s">
        <v>3615</v>
      </c>
      <c r="C1013" s="3" t="s">
        <v>4194</v>
      </c>
      <c r="D1013" s="3" t="s">
        <v>4195</v>
      </c>
      <c r="E1013" s="3" t="s">
        <v>517</v>
      </c>
      <c r="F1013" s="3" t="s">
        <v>4196</v>
      </c>
    </row>
    <row r="1014" ht="36.0" customHeight="1">
      <c r="A1014" s="2" t="s">
        <v>4197</v>
      </c>
      <c r="B1014" s="2" t="s">
        <v>3615</v>
      </c>
      <c r="C1014" s="2" t="s">
        <v>4198</v>
      </c>
      <c r="D1014" s="2" t="s">
        <v>4199</v>
      </c>
      <c r="E1014" s="2" t="s">
        <v>4200</v>
      </c>
      <c r="F1014" s="2" t="s">
        <v>4201</v>
      </c>
    </row>
    <row r="1015" ht="36.0" customHeight="1">
      <c r="A1015" s="3" t="s">
        <v>4202</v>
      </c>
      <c r="B1015" s="3" t="s">
        <v>3615</v>
      </c>
      <c r="C1015" s="3" t="s">
        <v>4203</v>
      </c>
      <c r="D1015" s="3" t="s">
        <v>4204</v>
      </c>
      <c r="E1015" s="3" t="s">
        <v>2355</v>
      </c>
      <c r="F1015" s="3" t="s">
        <v>4205</v>
      </c>
    </row>
    <row r="1016" ht="36.0" customHeight="1">
      <c r="A1016" s="2" t="s">
        <v>4206</v>
      </c>
      <c r="B1016" s="2" t="s">
        <v>3615</v>
      </c>
      <c r="C1016" s="2" t="s">
        <v>4207</v>
      </c>
      <c r="D1016" s="2" t="s">
        <v>4208</v>
      </c>
      <c r="E1016" s="2" t="s">
        <v>3686</v>
      </c>
      <c r="F1016" s="2" t="s">
        <v>4209</v>
      </c>
    </row>
    <row r="1017" ht="36.0" customHeight="1">
      <c r="A1017" s="3" t="s">
        <v>4210</v>
      </c>
      <c r="B1017" s="3" t="s">
        <v>3615</v>
      </c>
      <c r="C1017" s="3" t="s">
        <v>4211</v>
      </c>
      <c r="D1017" s="3" t="s">
        <v>4212</v>
      </c>
      <c r="E1017" s="3" t="s">
        <v>3686</v>
      </c>
      <c r="F1017" s="3" t="s">
        <v>4213</v>
      </c>
    </row>
    <row r="1018" ht="36.0" customHeight="1">
      <c r="A1018" s="2" t="s">
        <v>4214</v>
      </c>
      <c r="B1018" s="2" t="s">
        <v>3615</v>
      </c>
      <c r="C1018" s="2" t="s">
        <v>4215</v>
      </c>
      <c r="D1018" s="2" t="s">
        <v>4216</v>
      </c>
      <c r="E1018" s="2" t="s">
        <v>3686</v>
      </c>
      <c r="F1018" s="2" t="s">
        <v>4217</v>
      </c>
    </row>
    <row r="1019" ht="36.0" customHeight="1">
      <c r="A1019" s="3" t="s">
        <v>4218</v>
      </c>
      <c r="B1019" s="3" t="s">
        <v>3615</v>
      </c>
      <c r="C1019" s="3" t="s">
        <v>4219</v>
      </c>
      <c r="D1019" s="3" t="s">
        <v>4220</v>
      </c>
      <c r="E1019" s="3" t="s">
        <v>3870</v>
      </c>
      <c r="F1019" s="3" t="s">
        <v>4221</v>
      </c>
    </row>
    <row r="1020" ht="36.0" customHeight="1">
      <c r="A1020" s="2" t="s">
        <v>4222</v>
      </c>
      <c r="B1020" s="2" t="s">
        <v>3615</v>
      </c>
      <c r="C1020" s="2" t="s">
        <v>4223</v>
      </c>
      <c r="D1020" s="2" t="s">
        <v>4224</v>
      </c>
      <c r="E1020" s="2" t="s">
        <v>3870</v>
      </c>
      <c r="F1020" s="2" t="s">
        <v>4225</v>
      </c>
    </row>
    <row r="1021" ht="36.0" customHeight="1">
      <c r="A1021" s="3" t="s">
        <v>4226</v>
      </c>
      <c r="B1021" s="3" t="s">
        <v>3615</v>
      </c>
      <c r="C1021" s="3" t="s">
        <v>4227</v>
      </c>
      <c r="D1021" s="3" t="s">
        <v>4228</v>
      </c>
      <c r="E1021" s="3" t="s">
        <v>3870</v>
      </c>
      <c r="F1021" s="3" t="s">
        <v>4229</v>
      </c>
    </row>
    <row r="1022" ht="36.0" customHeight="1">
      <c r="A1022" s="2" t="s">
        <v>4230</v>
      </c>
      <c r="B1022" s="2" t="s">
        <v>3615</v>
      </c>
      <c r="C1022" s="2" t="s">
        <v>4231</v>
      </c>
      <c r="D1022" s="2" t="s">
        <v>4232</v>
      </c>
      <c r="E1022" s="2" t="s">
        <v>742</v>
      </c>
      <c r="F1022" s="2" t="s">
        <v>4233</v>
      </c>
    </row>
    <row r="1023" ht="36.0" customHeight="1">
      <c r="A1023" s="3" t="s">
        <v>4234</v>
      </c>
      <c r="B1023" s="3" t="s">
        <v>3615</v>
      </c>
      <c r="C1023" s="3" t="s">
        <v>4235</v>
      </c>
      <c r="D1023" s="3" t="s">
        <v>4236</v>
      </c>
      <c r="E1023" s="3" t="s">
        <v>742</v>
      </c>
      <c r="F1023" s="3" t="s">
        <v>4237</v>
      </c>
    </row>
    <row r="1024" ht="36.0" customHeight="1">
      <c r="A1024" s="2" t="s">
        <v>4238</v>
      </c>
      <c r="B1024" s="2" t="s">
        <v>3615</v>
      </c>
      <c r="C1024" s="2" t="s">
        <v>4239</v>
      </c>
      <c r="D1024" s="2" t="s">
        <v>4240</v>
      </c>
      <c r="E1024" s="2" t="s">
        <v>139</v>
      </c>
      <c r="F1024" s="2" t="s">
        <v>4241</v>
      </c>
    </row>
    <row r="1025" ht="36.0" customHeight="1">
      <c r="A1025" s="3" t="s">
        <v>4242</v>
      </c>
      <c r="B1025" s="3" t="s">
        <v>3615</v>
      </c>
      <c r="C1025" s="3" t="s">
        <v>4243</v>
      </c>
      <c r="D1025" s="3" t="s">
        <v>4244</v>
      </c>
      <c r="E1025" s="3" t="s">
        <v>4245</v>
      </c>
      <c r="F1025" s="3" t="s">
        <v>4246</v>
      </c>
    </row>
    <row r="1026" ht="36.0" customHeight="1">
      <c r="A1026" s="2" t="s">
        <v>4247</v>
      </c>
      <c r="B1026" s="2" t="s">
        <v>3615</v>
      </c>
      <c r="C1026" s="2" t="s">
        <v>4248</v>
      </c>
      <c r="D1026" s="2" t="s">
        <v>4249</v>
      </c>
      <c r="E1026" s="2" t="s">
        <v>1976</v>
      </c>
      <c r="F1026" s="2" t="s">
        <v>4250</v>
      </c>
    </row>
    <row r="1027" ht="36.0" customHeight="1">
      <c r="A1027" s="3" t="s">
        <v>4251</v>
      </c>
      <c r="B1027" s="3" t="s">
        <v>3615</v>
      </c>
      <c r="C1027" s="3" t="s">
        <v>4252</v>
      </c>
      <c r="D1027" s="3" t="s">
        <v>4253</v>
      </c>
      <c r="E1027" s="3" t="s">
        <v>2355</v>
      </c>
      <c r="F1027" s="3" t="s">
        <v>4254</v>
      </c>
    </row>
    <row r="1028" ht="36.0" customHeight="1">
      <c r="A1028" s="2" t="s">
        <v>4255</v>
      </c>
      <c r="B1028" s="2" t="s">
        <v>3615</v>
      </c>
      <c r="C1028" s="2" t="s">
        <v>4256</v>
      </c>
      <c r="D1028" s="2" t="s">
        <v>4257</v>
      </c>
      <c r="E1028" s="2" t="s">
        <v>3740</v>
      </c>
      <c r="F1028" s="2" t="s">
        <v>4258</v>
      </c>
    </row>
    <row r="1029" ht="36.0" customHeight="1">
      <c r="A1029" s="3" t="s">
        <v>4259</v>
      </c>
      <c r="B1029" s="3" t="s">
        <v>3615</v>
      </c>
      <c r="C1029" s="3" t="s">
        <v>4260</v>
      </c>
      <c r="D1029" s="3" t="s">
        <v>4261</v>
      </c>
      <c r="E1029" s="3" t="s">
        <v>4133</v>
      </c>
      <c r="F1029" s="3" t="s">
        <v>4262</v>
      </c>
    </row>
    <row r="1030" ht="36.0" customHeight="1">
      <c r="A1030" s="2" t="s">
        <v>4263</v>
      </c>
      <c r="B1030" s="2" t="s">
        <v>3615</v>
      </c>
      <c r="C1030" s="2" t="s">
        <v>4264</v>
      </c>
      <c r="D1030" s="2" t="s">
        <v>4265</v>
      </c>
      <c r="E1030" s="2" t="s">
        <v>4133</v>
      </c>
      <c r="F1030" s="2" t="s">
        <v>4266</v>
      </c>
    </row>
    <row r="1031" ht="36.0" customHeight="1">
      <c r="A1031" s="3" t="s">
        <v>4267</v>
      </c>
      <c r="B1031" s="3" t="s">
        <v>3615</v>
      </c>
      <c r="C1031" s="3" t="s">
        <v>4268</v>
      </c>
      <c r="D1031" s="3" t="s">
        <v>4269</v>
      </c>
      <c r="E1031" s="3" t="s">
        <v>345</v>
      </c>
      <c r="F1031" s="3" t="s">
        <v>4270</v>
      </c>
    </row>
    <row r="1032" ht="36.0" customHeight="1">
      <c r="A1032" s="2" t="s">
        <v>4271</v>
      </c>
      <c r="B1032" s="2" t="s">
        <v>3615</v>
      </c>
      <c r="C1032" s="2" t="s">
        <v>4272</v>
      </c>
      <c r="D1032" s="2" t="s">
        <v>4273</v>
      </c>
      <c r="E1032" s="2" t="s">
        <v>345</v>
      </c>
      <c r="F1032" s="2" t="s">
        <v>4274</v>
      </c>
    </row>
    <row r="1033" ht="36.0" customHeight="1">
      <c r="A1033" s="3" t="s">
        <v>4275</v>
      </c>
      <c r="B1033" s="3" t="s">
        <v>3615</v>
      </c>
      <c r="C1033" s="3" t="s">
        <v>4276</v>
      </c>
      <c r="D1033" s="3" t="s">
        <v>4277</v>
      </c>
      <c r="E1033" s="3" t="s">
        <v>81</v>
      </c>
      <c r="F1033" s="3" t="s">
        <v>4278</v>
      </c>
    </row>
    <row r="1034" ht="36.0" customHeight="1">
      <c r="A1034" s="2" t="s">
        <v>4279</v>
      </c>
      <c r="B1034" s="2" t="s">
        <v>3615</v>
      </c>
      <c r="C1034" s="2" t="s">
        <v>4280</v>
      </c>
      <c r="D1034" s="2" t="s">
        <v>4281</v>
      </c>
      <c r="E1034" s="2" t="s">
        <v>3827</v>
      </c>
      <c r="F1034" s="2" t="s">
        <v>4282</v>
      </c>
    </row>
    <row r="1035" ht="36.0" customHeight="1">
      <c r="A1035" s="3" t="s">
        <v>4283</v>
      </c>
      <c r="B1035" s="3" t="s">
        <v>3615</v>
      </c>
      <c r="C1035" s="3" t="s">
        <v>4284</v>
      </c>
      <c r="D1035" s="3" t="s">
        <v>4285</v>
      </c>
      <c r="E1035" s="3" t="s">
        <v>4286</v>
      </c>
      <c r="F1035" s="3" t="s">
        <v>4287</v>
      </c>
    </row>
    <row r="1036" ht="36.0" customHeight="1">
      <c r="A1036" s="2" t="s">
        <v>4288</v>
      </c>
      <c r="B1036" s="2" t="s">
        <v>3615</v>
      </c>
      <c r="C1036" s="2" t="s">
        <v>4289</v>
      </c>
      <c r="D1036" s="2" t="s">
        <v>4290</v>
      </c>
      <c r="E1036" s="2" t="s">
        <v>4286</v>
      </c>
      <c r="F1036" s="2" t="s">
        <v>4291</v>
      </c>
    </row>
    <row r="1037" ht="36.0" customHeight="1">
      <c r="A1037" s="3" t="s">
        <v>4292</v>
      </c>
      <c r="B1037" s="3" t="s">
        <v>3615</v>
      </c>
      <c r="C1037" s="3" t="s">
        <v>4293</v>
      </c>
      <c r="D1037" s="3" t="s">
        <v>4294</v>
      </c>
      <c r="E1037" s="3" t="s">
        <v>10</v>
      </c>
      <c r="F1037" s="3" t="s">
        <v>4295</v>
      </c>
    </row>
    <row r="1038" ht="36.0" customHeight="1">
      <c r="A1038" s="2" t="s">
        <v>4296</v>
      </c>
      <c r="B1038" s="2" t="s">
        <v>3615</v>
      </c>
      <c r="C1038" s="2" t="s">
        <v>4297</v>
      </c>
      <c r="D1038" s="2" t="s">
        <v>4298</v>
      </c>
      <c r="E1038" s="2" t="s">
        <v>996</v>
      </c>
      <c r="F1038" s="2" t="s">
        <v>4299</v>
      </c>
    </row>
    <row r="1039" ht="36.0" customHeight="1">
      <c r="A1039" s="3" t="s">
        <v>4300</v>
      </c>
      <c r="B1039" s="3" t="s">
        <v>3615</v>
      </c>
      <c r="C1039" s="3" t="s">
        <v>4301</v>
      </c>
      <c r="D1039" s="3" t="s">
        <v>4302</v>
      </c>
      <c r="E1039" s="3" t="s">
        <v>996</v>
      </c>
      <c r="F1039" s="3" t="s">
        <v>4303</v>
      </c>
    </row>
    <row r="1040" ht="36.0" customHeight="1">
      <c r="A1040" s="2" t="s">
        <v>4304</v>
      </c>
      <c r="B1040" s="2" t="s">
        <v>3615</v>
      </c>
      <c r="C1040" s="2" t="s">
        <v>4305</v>
      </c>
      <c r="D1040" s="2" t="s">
        <v>4306</v>
      </c>
      <c r="E1040" s="2" t="s">
        <v>4307</v>
      </c>
      <c r="F1040" s="2" t="s">
        <v>4308</v>
      </c>
    </row>
    <row r="1041" ht="36.0" customHeight="1">
      <c r="A1041" s="3" t="s">
        <v>4309</v>
      </c>
      <c r="B1041" s="3" t="s">
        <v>3615</v>
      </c>
      <c r="C1041" s="3" t="s">
        <v>4310</v>
      </c>
      <c r="D1041" s="3" t="s">
        <v>4311</v>
      </c>
      <c r="E1041" s="3" t="s">
        <v>1821</v>
      </c>
      <c r="F1041" s="3" t="s">
        <v>4312</v>
      </c>
    </row>
    <row r="1042" ht="36.0" customHeight="1">
      <c r="A1042" s="2" t="s">
        <v>4313</v>
      </c>
      <c r="B1042" s="2" t="s">
        <v>3615</v>
      </c>
      <c r="C1042" s="2" t="s">
        <v>4314</v>
      </c>
      <c r="D1042" s="2" t="s">
        <v>4315</v>
      </c>
      <c r="E1042" s="2" t="s">
        <v>3661</v>
      </c>
      <c r="F1042" s="2" t="s">
        <v>4316</v>
      </c>
    </row>
    <row r="1043" ht="36.0" customHeight="1">
      <c r="A1043" s="3" t="s">
        <v>4317</v>
      </c>
      <c r="B1043" s="3" t="s">
        <v>3615</v>
      </c>
      <c r="C1043" s="3" t="s">
        <v>4318</v>
      </c>
      <c r="D1043" s="3" t="s">
        <v>4319</v>
      </c>
      <c r="E1043" s="3"/>
      <c r="F1043" s="3" t="s">
        <v>4320</v>
      </c>
    </row>
    <row r="1044" ht="36.0" customHeight="1">
      <c r="A1044" s="2" t="s">
        <v>4321</v>
      </c>
      <c r="B1044" s="2" t="s">
        <v>3615</v>
      </c>
      <c r="C1044" s="2" t="s">
        <v>4322</v>
      </c>
      <c r="D1044" s="2" t="s">
        <v>4323</v>
      </c>
      <c r="E1044" s="2" t="s">
        <v>4200</v>
      </c>
      <c r="F1044" s="2" t="s">
        <v>4324</v>
      </c>
    </row>
    <row r="1045" ht="36.0" customHeight="1">
      <c r="A1045" s="3" t="s">
        <v>4325</v>
      </c>
      <c r="B1045" s="3" t="s">
        <v>3615</v>
      </c>
      <c r="C1045" s="3" t="s">
        <v>4326</v>
      </c>
      <c r="D1045" s="3" t="s">
        <v>4327</v>
      </c>
      <c r="E1045" s="3" t="s">
        <v>110</v>
      </c>
      <c r="F1045" s="3" t="s">
        <v>4328</v>
      </c>
    </row>
    <row r="1046" ht="36.0" customHeight="1">
      <c r="A1046" s="2" t="s">
        <v>4329</v>
      </c>
      <c r="B1046" s="2" t="s">
        <v>3615</v>
      </c>
      <c r="C1046" s="2" t="s">
        <v>4330</v>
      </c>
      <c r="D1046" s="2" t="s">
        <v>4331</v>
      </c>
      <c r="E1046" s="2" t="s">
        <v>4200</v>
      </c>
      <c r="F1046" s="2" t="s">
        <v>4332</v>
      </c>
    </row>
    <row r="1047" ht="36.0" customHeight="1">
      <c r="A1047" s="3" t="s">
        <v>4333</v>
      </c>
      <c r="B1047" s="3" t="s">
        <v>3615</v>
      </c>
      <c r="C1047" s="3" t="s">
        <v>4334</v>
      </c>
      <c r="D1047" s="3" t="s">
        <v>4335</v>
      </c>
      <c r="E1047" s="3" t="s">
        <v>110</v>
      </c>
      <c r="F1047" s="3" t="s">
        <v>4336</v>
      </c>
    </row>
    <row r="1048" ht="36.0" customHeight="1">
      <c r="A1048" s="2" t="s">
        <v>4337</v>
      </c>
      <c r="B1048" s="2" t="s">
        <v>3615</v>
      </c>
      <c r="C1048" s="2" t="s">
        <v>4338</v>
      </c>
      <c r="D1048" s="2" t="s">
        <v>4339</v>
      </c>
      <c r="E1048" s="2" t="s">
        <v>4200</v>
      </c>
      <c r="F1048" s="2" t="s">
        <v>4340</v>
      </c>
    </row>
    <row r="1049" ht="36.0" customHeight="1">
      <c r="A1049" s="3" t="s">
        <v>4341</v>
      </c>
      <c r="B1049" s="3" t="s">
        <v>3615</v>
      </c>
      <c r="C1049" s="3" t="s">
        <v>4342</v>
      </c>
      <c r="D1049" s="3" t="s">
        <v>1284</v>
      </c>
      <c r="E1049" s="3" t="s">
        <v>4063</v>
      </c>
      <c r="F1049" s="3" t="s">
        <v>4343</v>
      </c>
    </row>
    <row r="1050" ht="36.0" customHeight="1">
      <c r="A1050" s="2" t="s">
        <v>4344</v>
      </c>
      <c r="B1050" s="2" t="s">
        <v>3615</v>
      </c>
      <c r="C1050" s="2" t="s">
        <v>4345</v>
      </c>
      <c r="D1050" s="2" t="s">
        <v>4346</v>
      </c>
      <c r="E1050" s="2" t="s">
        <v>742</v>
      </c>
      <c r="F1050" s="2" t="s">
        <v>4347</v>
      </c>
    </row>
    <row r="1051" ht="36.0" customHeight="1">
      <c r="A1051" s="3" t="s">
        <v>4348</v>
      </c>
      <c r="B1051" s="3" t="s">
        <v>3615</v>
      </c>
      <c r="C1051" s="3" t="s">
        <v>4349</v>
      </c>
      <c r="D1051" s="3" t="s">
        <v>4350</v>
      </c>
      <c r="E1051" s="3" t="s">
        <v>742</v>
      </c>
      <c r="F1051" s="3" t="s">
        <v>4351</v>
      </c>
    </row>
    <row r="1052" ht="36.0" customHeight="1">
      <c r="A1052" s="2" t="s">
        <v>4352</v>
      </c>
      <c r="B1052" s="2" t="s">
        <v>3615</v>
      </c>
      <c r="C1052" s="2" t="s">
        <v>4353</v>
      </c>
      <c r="D1052" s="2" t="s">
        <v>4354</v>
      </c>
      <c r="E1052" s="2" t="s">
        <v>2015</v>
      </c>
      <c r="F1052" s="2" t="s">
        <v>4355</v>
      </c>
    </row>
    <row r="1053" ht="36.0" customHeight="1">
      <c r="A1053" s="3" t="s">
        <v>4356</v>
      </c>
      <c r="B1053" s="3" t="s">
        <v>3615</v>
      </c>
      <c r="C1053" s="3" t="s">
        <v>4357</v>
      </c>
      <c r="D1053" s="3" t="s">
        <v>4358</v>
      </c>
      <c r="E1053" s="3" t="s">
        <v>166</v>
      </c>
      <c r="F1053" s="3" t="s">
        <v>4359</v>
      </c>
    </row>
    <row r="1054" ht="36.0" customHeight="1">
      <c r="A1054" s="2" t="s">
        <v>4360</v>
      </c>
      <c r="B1054" s="2" t="s">
        <v>3615</v>
      </c>
      <c r="C1054" s="2" t="s">
        <v>4361</v>
      </c>
      <c r="D1054" s="2" t="s">
        <v>4362</v>
      </c>
      <c r="E1054" s="2" t="s">
        <v>435</v>
      </c>
      <c r="F1054" s="2" t="s">
        <v>4363</v>
      </c>
    </row>
    <row r="1055" ht="36.0" customHeight="1">
      <c r="A1055" s="3" t="s">
        <v>4364</v>
      </c>
      <c r="B1055" s="3" t="s">
        <v>3615</v>
      </c>
      <c r="C1055" s="3" t="s">
        <v>4365</v>
      </c>
      <c r="D1055" s="3" t="s">
        <v>4366</v>
      </c>
      <c r="E1055" s="3" t="s">
        <v>10</v>
      </c>
      <c r="F1055" s="3" t="s">
        <v>4367</v>
      </c>
    </row>
    <row r="1056" ht="36.0" customHeight="1">
      <c r="A1056" s="2" t="s">
        <v>4368</v>
      </c>
      <c r="B1056" s="2" t="s">
        <v>3615</v>
      </c>
      <c r="C1056" s="2" t="s">
        <v>4369</v>
      </c>
      <c r="D1056" s="2" t="s">
        <v>4370</v>
      </c>
      <c r="E1056" s="2" t="s">
        <v>10</v>
      </c>
      <c r="F1056" s="2" t="s">
        <v>4371</v>
      </c>
    </row>
    <row r="1057" ht="36.0" customHeight="1">
      <c r="A1057" s="3" t="s">
        <v>4372</v>
      </c>
      <c r="B1057" s="3" t="s">
        <v>3615</v>
      </c>
      <c r="C1057" s="3" t="s">
        <v>4373</v>
      </c>
      <c r="D1057" s="3" t="s">
        <v>4374</v>
      </c>
      <c r="E1057" s="3" t="s">
        <v>10</v>
      </c>
      <c r="F1057" s="3" t="s">
        <v>4375</v>
      </c>
    </row>
    <row r="1058" ht="36.0" customHeight="1">
      <c r="A1058" s="2" t="s">
        <v>4376</v>
      </c>
      <c r="B1058" s="2" t="s">
        <v>3615</v>
      </c>
      <c r="C1058" s="2" t="s">
        <v>4377</v>
      </c>
      <c r="D1058" s="2" t="s">
        <v>4378</v>
      </c>
      <c r="E1058" s="2" t="s">
        <v>3969</v>
      </c>
      <c r="F1058" s="2" t="s">
        <v>4379</v>
      </c>
    </row>
    <row r="1059" ht="36.0" customHeight="1">
      <c r="A1059" s="3" t="s">
        <v>4380</v>
      </c>
      <c r="B1059" s="3" t="s">
        <v>3615</v>
      </c>
      <c r="C1059" s="3" t="s">
        <v>4381</v>
      </c>
      <c r="D1059" s="3" t="s">
        <v>4382</v>
      </c>
      <c r="E1059" s="3" t="s">
        <v>2143</v>
      </c>
      <c r="F1059" s="3" t="s">
        <v>4383</v>
      </c>
    </row>
    <row r="1060" ht="36.0" customHeight="1">
      <c r="A1060" s="2" t="s">
        <v>4384</v>
      </c>
      <c r="B1060" s="2" t="s">
        <v>3615</v>
      </c>
      <c r="C1060" s="2" t="s">
        <v>4385</v>
      </c>
      <c r="D1060" s="2" t="s">
        <v>4386</v>
      </c>
      <c r="E1060" s="2" t="s">
        <v>37</v>
      </c>
      <c r="F1060" s="2" t="s">
        <v>4387</v>
      </c>
    </row>
    <row r="1061" ht="36.0" customHeight="1">
      <c r="A1061" s="3" t="s">
        <v>4388</v>
      </c>
      <c r="B1061" s="3" t="s">
        <v>3615</v>
      </c>
      <c r="C1061" s="3" t="s">
        <v>4389</v>
      </c>
      <c r="D1061" s="3" t="s">
        <v>4390</v>
      </c>
      <c r="E1061" s="3" t="s">
        <v>2355</v>
      </c>
      <c r="F1061" s="3" t="s">
        <v>4391</v>
      </c>
    </row>
    <row r="1062" ht="36.0" customHeight="1">
      <c r="A1062" s="2" t="s">
        <v>4392</v>
      </c>
      <c r="B1062" s="2" t="s">
        <v>3615</v>
      </c>
      <c r="C1062" s="2" t="s">
        <v>4393</v>
      </c>
      <c r="D1062" s="2" t="s">
        <v>4394</v>
      </c>
      <c r="E1062" s="2" t="s">
        <v>3740</v>
      </c>
      <c r="F1062" s="2" t="s">
        <v>4395</v>
      </c>
    </row>
    <row r="1063" ht="36.0" customHeight="1">
      <c r="A1063" s="3" t="s">
        <v>4396</v>
      </c>
      <c r="B1063" s="3" t="s">
        <v>3615</v>
      </c>
      <c r="C1063" s="3" t="s">
        <v>4397</v>
      </c>
      <c r="D1063" s="3" t="s">
        <v>4398</v>
      </c>
      <c r="E1063" s="3" t="s">
        <v>3745</v>
      </c>
      <c r="F1063" s="3" t="s">
        <v>4399</v>
      </c>
    </row>
    <row r="1064" ht="36.0" customHeight="1">
      <c r="A1064" s="2" t="s">
        <v>4400</v>
      </c>
      <c r="B1064" s="2" t="s">
        <v>3615</v>
      </c>
      <c r="C1064" s="2" t="s">
        <v>4401</v>
      </c>
      <c r="D1064" s="2" t="s">
        <v>4402</v>
      </c>
      <c r="E1064" s="2" t="s">
        <v>3745</v>
      </c>
      <c r="F1064" s="2" t="s">
        <v>4403</v>
      </c>
    </row>
    <row r="1065" ht="36.0" customHeight="1">
      <c r="A1065" s="3" t="s">
        <v>4404</v>
      </c>
      <c r="B1065" s="3" t="s">
        <v>3615</v>
      </c>
      <c r="C1065" s="3" t="s">
        <v>4405</v>
      </c>
      <c r="D1065" s="3" t="s">
        <v>4406</v>
      </c>
      <c r="E1065" s="3" t="s">
        <v>4133</v>
      </c>
      <c r="F1065" s="3" t="s">
        <v>4407</v>
      </c>
    </row>
    <row r="1066" ht="36.0" customHeight="1">
      <c r="A1066" s="2" t="s">
        <v>4408</v>
      </c>
      <c r="B1066" s="2" t="s">
        <v>3615</v>
      </c>
      <c r="C1066" s="2" t="s">
        <v>4409</v>
      </c>
      <c r="D1066" s="2" t="s">
        <v>4410</v>
      </c>
      <c r="E1066" s="2" t="s">
        <v>4133</v>
      </c>
      <c r="F1066" s="2" t="s">
        <v>4411</v>
      </c>
    </row>
    <row r="1067" ht="36.0" customHeight="1">
      <c r="A1067" s="3" t="s">
        <v>4412</v>
      </c>
      <c r="B1067" s="3" t="s">
        <v>3615</v>
      </c>
      <c r="C1067" s="3" t="s">
        <v>4413</v>
      </c>
      <c r="D1067" s="3" t="s">
        <v>4414</v>
      </c>
      <c r="E1067" s="3" t="s">
        <v>345</v>
      </c>
      <c r="F1067" s="3" t="s">
        <v>4415</v>
      </c>
    </row>
    <row r="1068" ht="36.0" customHeight="1">
      <c r="A1068" s="2" t="s">
        <v>4416</v>
      </c>
      <c r="B1068" s="2" t="s">
        <v>3615</v>
      </c>
      <c r="C1068" s="2" t="s">
        <v>4417</v>
      </c>
      <c r="D1068" s="2" t="s">
        <v>4418</v>
      </c>
      <c r="E1068" s="2"/>
      <c r="F1068" s="2" t="s">
        <v>4419</v>
      </c>
    </row>
    <row r="1069" ht="36.0" customHeight="1">
      <c r="A1069" s="3" t="s">
        <v>4420</v>
      </c>
      <c r="B1069" s="3" t="s">
        <v>4421</v>
      </c>
      <c r="C1069" s="3" t="s">
        <v>4422</v>
      </c>
      <c r="D1069" s="3" t="s">
        <v>4423</v>
      </c>
      <c r="E1069" s="3" t="s">
        <v>1756</v>
      </c>
      <c r="F1069" s="3" t="s">
        <v>4424</v>
      </c>
    </row>
    <row r="1070" ht="36.0" customHeight="1">
      <c r="A1070" s="2" t="s">
        <v>4425</v>
      </c>
      <c r="B1070" s="2" t="s">
        <v>4421</v>
      </c>
      <c r="C1070" s="2" t="s">
        <v>4426</v>
      </c>
      <c r="D1070" s="2" t="s">
        <v>4427</v>
      </c>
      <c r="E1070" s="2" t="s">
        <v>2126</v>
      </c>
      <c r="F1070" s="2" t="s">
        <v>4428</v>
      </c>
    </row>
    <row r="1071" ht="36.0" customHeight="1">
      <c r="A1071" s="3" t="s">
        <v>4429</v>
      </c>
      <c r="B1071" s="3" t="s">
        <v>4421</v>
      </c>
      <c r="C1071" s="3" t="s">
        <v>4430</v>
      </c>
      <c r="D1071" s="3" t="s">
        <v>4431</v>
      </c>
      <c r="E1071" s="3" t="s">
        <v>2126</v>
      </c>
      <c r="F1071" s="3" t="s">
        <v>4432</v>
      </c>
    </row>
    <row r="1072" ht="36.0" customHeight="1">
      <c r="A1072" s="2" t="s">
        <v>4433</v>
      </c>
      <c r="B1072" s="2" t="s">
        <v>4421</v>
      </c>
      <c r="C1072" s="2" t="s">
        <v>4434</v>
      </c>
      <c r="D1072" s="2" t="s">
        <v>4435</v>
      </c>
      <c r="E1072" s="2" t="s">
        <v>937</v>
      </c>
      <c r="F1072" s="2" t="s">
        <v>4436</v>
      </c>
    </row>
    <row r="1073" ht="36.0" customHeight="1">
      <c r="A1073" s="3" t="s">
        <v>4437</v>
      </c>
      <c r="B1073" s="3" t="s">
        <v>4421</v>
      </c>
      <c r="C1073" s="3" t="s">
        <v>4438</v>
      </c>
      <c r="D1073" s="3" t="s">
        <v>4439</v>
      </c>
      <c r="E1073" s="3" t="s">
        <v>47</v>
      </c>
      <c r="F1073" s="3" t="s">
        <v>4440</v>
      </c>
    </row>
    <row r="1074" ht="36.0" customHeight="1">
      <c r="A1074" s="2" t="s">
        <v>4441</v>
      </c>
      <c r="B1074" s="2" t="s">
        <v>4421</v>
      </c>
      <c r="C1074" s="2" t="s">
        <v>4442</v>
      </c>
      <c r="D1074" s="2" t="s">
        <v>4443</v>
      </c>
      <c r="E1074" s="2" t="s">
        <v>47</v>
      </c>
      <c r="F1074" s="2" t="s">
        <v>4444</v>
      </c>
    </row>
    <row r="1075" ht="36.0" customHeight="1">
      <c r="A1075" s="3" t="s">
        <v>4445</v>
      </c>
      <c r="B1075" s="3" t="s">
        <v>4421</v>
      </c>
      <c r="C1075" s="3" t="s">
        <v>4446</v>
      </c>
      <c r="D1075" s="3" t="s">
        <v>4447</v>
      </c>
      <c r="E1075" s="3" t="s">
        <v>1756</v>
      </c>
      <c r="F1075" s="3" t="s">
        <v>4448</v>
      </c>
    </row>
    <row r="1076" ht="36.0" customHeight="1">
      <c r="A1076" s="2" t="s">
        <v>4449</v>
      </c>
      <c r="B1076" s="2" t="s">
        <v>4421</v>
      </c>
      <c r="C1076" s="2" t="s">
        <v>4450</v>
      </c>
      <c r="D1076" s="2" t="s">
        <v>4451</v>
      </c>
      <c r="E1076" s="2" t="s">
        <v>19</v>
      </c>
      <c r="F1076" s="2" t="s">
        <v>4452</v>
      </c>
    </row>
    <row r="1077" ht="36.0" customHeight="1">
      <c r="A1077" s="3" t="s">
        <v>4453</v>
      </c>
      <c r="B1077" s="3" t="s">
        <v>4421</v>
      </c>
      <c r="C1077" s="3" t="s">
        <v>4454</v>
      </c>
      <c r="D1077" s="3" t="s">
        <v>4455</v>
      </c>
      <c r="E1077" s="3" t="s">
        <v>4456</v>
      </c>
      <c r="F1077" s="3" t="s">
        <v>4457</v>
      </c>
    </row>
    <row r="1078" ht="36.0" customHeight="1">
      <c r="A1078" s="2" t="s">
        <v>4458</v>
      </c>
      <c r="B1078" s="2" t="s">
        <v>4421</v>
      </c>
      <c r="C1078" s="2" t="s">
        <v>4459</v>
      </c>
      <c r="D1078" s="2" t="s">
        <v>4460</v>
      </c>
      <c r="E1078" s="2" t="s">
        <v>4456</v>
      </c>
      <c r="F1078" s="2" t="s">
        <v>4461</v>
      </c>
    </row>
    <row r="1079" ht="36.0" customHeight="1">
      <c r="A1079" s="3" t="s">
        <v>4462</v>
      </c>
      <c r="B1079" s="3" t="s">
        <v>4421</v>
      </c>
      <c r="C1079" s="3" t="s">
        <v>4463</v>
      </c>
      <c r="D1079" s="3" t="s">
        <v>4464</v>
      </c>
      <c r="E1079" s="3" t="s">
        <v>62</v>
      </c>
      <c r="F1079" s="3" t="s">
        <v>4465</v>
      </c>
    </row>
    <row r="1080" ht="36.0" customHeight="1">
      <c r="A1080" s="2" t="s">
        <v>4466</v>
      </c>
      <c r="B1080" s="2" t="s">
        <v>4421</v>
      </c>
      <c r="C1080" s="2" t="s">
        <v>4467</v>
      </c>
      <c r="D1080" s="2" t="s">
        <v>4468</v>
      </c>
      <c r="E1080" s="2" t="s">
        <v>62</v>
      </c>
      <c r="F1080" s="2" t="s">
        <v>4469</v>
      </c>
    </row>
    <row r="1081" ht="36.0" customHeight="1">
      <c r="A1081" s="3" t="s">
        <v>4470</v>
      </c>
      <c r="B1081" s="3" t="s">
        <v>4421</v>
      </c>
      <c r="C1081" s="3" t="s">
        <v>4471</v>
      </c>
      <c r="D1081" s="3" t="s">
        <v>4472</v>
      </c>
      <c r="E1081" s="3" t="s">
        <v>1756</v>
      </c>
      <c r="F1081" s="3" t="s">
        <v>4473</v>
      </c>
    </row>
    <row r="1082" ht="36.0" customHeight="1">
      <c r="A1082" s="2" t="s">
        <v>4474</v>
      </c>
      <c r="B1082" s="2" t="s">
        <v>4421</v>
      </c>
      <c r="C1082" s="2" t="s">
        <v>4475</v>
      </c>
      <c r="D1082" s="2" t="s">
        <v>4476</v>
      </c>
      <c r="E1082" s="2" t="s">
        <v>1655</v>
      </c>
      <c r="F1082" s="2" t="s">
        <v>4477</v>
      </c>
    </row>
    <row r="1083" ht="36.0" customHeight="1">
      <c r="A1083" s="3" t="s">
        <v>4478</v>
      </c>
      <c r="B1083" s="3" t="s">
        <v>4421</v>
      </c>
      <c r="C1083" s="3" t="s">
        <v>4479</v>
      </c>
      <c r="D1083" s="3" t="s">
        <v>4480</v>
      </c>
      <c r="E1083" s="3" t="s">
        <v>1655</v>
      </c>
      <c r="F1083" s="3" t="s">
        <v>4481</v>
      </c>
    </row>
    <row r="1084" ht="36.0" customHeight="1">
      <c r="A1084" s="2" t="s">
        <v>4482</v>
      </c>
      <c r="B1084" s="2" t="s">
        <v>4421</v>
      </c>
      <c r="C1084" s="2" t="s">
        <v>4483</v>
      </c>
      <c r="D1084" s="2" t="s">
        <v>4484</v>
      </c>
      <c r="E1084" s="2" t="s">
        <v>1655</v>
      </c>
      <c r="F1084" s="2" t="s">
        <v>4485</v>
      </c>
    </row>
    <row r="1085" ht="36.0" customHeight="1">
      <c r="A1085" s="3" t="s">
        <v>4486</v>
      </c>
      <c r="B1085" s="3" t="s">
        <v>4421</v>
      </c>
      <c r="C1085" s="3" t="s">
        <v>4487</v>
      </c>
      <c r="D1085" s="3" t="s">
        <v>4488</v>
      </c>
      <c r="E1085" s="3" t="s">
        <v>1655</v>
      </c>
      <c r="F1085" s="3" t="s">
        <v>4489</v>
      </c>
    </row>
    <row r="1086" ht="36.0" customHeight="1">
      <c r="A1086" s="2" t="s">
        <v>4490</v>
      </c>
      <c r="B1086" s="2" t="s">
        <v>4421</v>
      </c>
      <c r="C1086" s="2" t="s">
        <v>4491</v>
      </c>
      <c r="D1086" s="2" t="s">
        <v>4492</v>
      </c>
      <c r="E1086" s="2" t="s">
        <v>1655</v>
      </c>
      <c r="F1086" s="2" t="s">
        <v>4493</v>
      </c>
    </row>
    <row r="1087" ht="36.0" customHeight="1">
      <c r="A1087" s="3" t="s">
        <v>4494</v>
      </c>
      <c r="B1087" s="3" t="s">
        <v>4421</v>
      </c>
      <c r="C1087" s="3" t="s">
        <v>4495</v>
      </c>
      <c r="D1087" s="3" t="s">
        <v>4496</v>
      </c>
      <c r="E1087" s="3" t="s">
        <v>1655</v>
      </c>
      <c r="F1087" s="3" t="s">
        <v>4497</v>
      </c>
    </row>
    <row r="1088" ht="36.0" customHeight="1">
      <c r="A1088" s="2" t="s">
        <v>4498</v>
      </c>
      <c r="B1088" s="2" t="s">
        <v>4421</v>
      </c>
      <c r="C1088" s="2" t="s">
        <v>4499</v>
      </c>
      <c r="D1088" s="2" t="s">
        <v>4500</v>
      </c>
      <c r="E1088" s="2" t="s">
        <v>71</v>
      </c>
      <c r="F1088" s="2" t="s">
        <v>4501</v>
      </c>
    </row>
    <row r="1089" ht="36.0" customHeight="1">
      <c r="A1089" s="3" t="s">
        <v>4502</v>
      </c>
      <c r="B1089" s="3" t="s">
        <v>4421</v>
      </c>
      <c r="C1089" s="3" t="s">
        <v>4503</v>
      </c>
      <c r="D1089" s="3" t="s">
        <v>4504</v>
      </c>
      <c r="E1089" s="3" t="s">
        <v>2330</v>
      </c>
      <c r="F1089" s="3" t="s">
        <v>4505</v>
      </c>
    </row>
    <row r="1090" ht="36.0" customHeight="1">
      <c r="A1090" s="2" t="s">
        <v>4506</v>
      </c>
      <c r="B1090" s="2" t="s">
        <v>4421</v>
      </c>
      <c r="C1090" s="2" t="s">
        <v>4507</v>
      </c>
      <c r="D1090" s="2" t="s">
        <v>4508</v>
      </c>
      <c r="E1090" s="2" t="s">
        <v>86</v>
      </c>
      <c r="F1090" s="2" t="s">
        <v>4509</v>
      </c>
    </row>
    <row r="1091" ht="36.0" customHeight="1">
      <c r="A1091" s="3" t="s">
        <v>4510</v>
      </c>
      <c r="B1091" s="3" t="s">
        <v>4421</v>
      </c>
      <c r="C1091" s="3" t="s">
        <v>4511</v>
      </c>
      <c r="D1091" s="3" t="s">
        <v>4512</v>
      </c>
      <c r="E1091" s="3" t="s">
        <v>4513</v>
      </c>
      <c r="F1091" s="3" t="s">
        <v>4514</v>
      </c>
    </row>
    <row r="1092" ht="36.0" customHeight="1">
      <c r="A1092" s="2" t="s">
        <v>4515</v>
      </c>
      <c r="B1092" s="2" t="s">
        <v>4421</v>
      </c>
      <c r="C1092" s="2" t="s">
        <v>4516</v>
      </c>
      <c r="D1092" s="2" t="s">
        <v>4517</v>
      </c>
      <c r="E1092" s="2" t="s">
        <v>267</v>
      </c>
      <c r="F1092" s="2" t="s">
        <v>4518</v>
      </c>
    </row>
    <row r="1093" ht="36.0" customHeight="1">
      <c r="A1093" s="3" t="s">
        <v>4519</v>
      </c>
      <c r="B1093" s="3" t="s">
        <v>4421</v>
      </c>
      <c r="C1093" s="3" t="s">
        <v>4520</v>
      </c>
      <c r="D1093" s="3" t="s">
        <v>4521</v>
      </c>
      <c r="E1093" s="3" t="s">
        <v>229</v>
      </c>
      <c r="F1093" s="3" t="s">
        <v>4522</v>
      </c>
    </row>
    <row r="1094" ht="36.0" customHeight="1">
      <c r="A1094" s="2" t="s">
        <v>4523</v>
      </c>
      <c r="B1094" s="2" t="s">
        <v>4421</v>
      </c>
      <c r="C1094" s="2" t="s">
        <v>4524</v>
      </c>
      <c r="D1094" s="2" t="s">
        <v>4525</v>
      </c>
      <c r="E1094" s="2" t="s">
        <v>4526</v>
      </c>
      <c r="F1094" s="2" t="s">
        <v>4527</v>
      </c>
    </row>
    <row r="1095" ht="36.0" customHeight="1">
      <c r="A1095" s="3" t="s">
        <v>4528</v>
      </c>
      <c r="B1095" s="3" t="s">
        <v>4421</v>
      </c>
      <c r="C1095" s="3" t="s">
        <v>4529</v>
      </c>
      <c r="D1095" s="3" t="s">
        <v>4530</v>
      </c>
      <c r="E1095" s="3" t="s">
        <v>2355</v>
      </c>
      <c r="F1095" s="3" t="s">
        <v>4531</v>
      </c>
    </row>
    <row r="1096" ht="36.0" customHeight="1">
      <c r="A1096" s="2" t="s">
        <v>4532</v>
      </c>
      <c r="B1096" s="2" t="s">
        <v>4421</v>
      </c>
      <c r="C1096" s="2" t="s">
        <v>4533</v>
      </c>
      <c r="D1096" s="2" t="s">
        <v>4534</v>
      </c>
      <c r="E1096" s="2" t="s">
        <v>4526</v>
      </c>
      <c r="F1096" s="2" t="s">
        <v>4535</v>
      </c>
    </row>
    <row r="1097" ht="36.0" customHeight="1">
      <c r="A1097" s="3" t="s">
        <v>4536</v>
      </c>
      <c r="B1097" s="3" t="s">
        <v>4421</v>
      </c>
      <c r="C1097" s="3" t="s">
        <v>4537</v>
      </c>
      <c r="D1097" s="3" t="s">
        <v>4538</v>
      </c>
      <c r="E1097" s="3" t="s">
        <v>4526</v>
      </c>
      <c r="F1097" s="3" t="s">
        <v>4539</v>
      </c>
    </row>
    <row r="1098" ht="36.0" customHeight="1">
      <c r="A1098" s="2" t="s">
        <v>4540</v>
      </c>
      <c r="B1098" s="2" t="s">
        <v>4421</v>
      </c>
      <c r="C1098" s="2" t="s">
        <v>4541</v>
      </c>
      <c r="D1098" s="2" t="s">
        <v>4542</v>
      </c>
      <c r="E1098" s="2" t="s">
        <v>1297</v>
      </c>
      <c r="F1098" s="2" t="s">
        <v>4543</v>
      </c>
    </row>
    <row r="1099" ht="36.0" customHeight="1">
      <c r="A1099" s="3" t="s">
        <v>4544</v>
      </c>
      <c r="B1099" s="3" t="s">
        <v>4421</v>
      </c>
      <c r="C1099" s="3" t="s">
        <v>4545</v>
      </c>
      <c r="D1099" s="3" t="s">
        <v>4546</v>
      </c>
      <c r="E1099" s="3" t="s">
        <v>2355</v>
      </c>
      <c r="F1099" s="3" t="s">
        <v>4547</v>
      </c>
    </row>
    <row r="1100" ht="36.0" customHeight="1">
      <c r="A1100" s="2" t="s">
        <v>4548</v>
      </c>
      <c r="B1100" s="2" t="s">
        <v>4421</v>
      </c>
      <c r="C1100" s="2" t="s">
        <v>4549</v>
      </c>
      <c r="D1100" s="2" t="s">
        <v>4550</v>
      </c>
      <c r="E1100" s="2" t="s">
        <v>1297</v>
      </c>
      <c r="F1100" s="2" t="s">
        <v>4551</v>
      </c>
    </row>
    <row r="1101" ht="36.0" customHeight="1">
      <c r="A1101" s="3" t="s">
        <v>4552</v>
      </c>
      <c r="B1101" s="3" t="s">
        <v>4421</v>
      </c>
      <c r="C1101" s="3" t="s">
        <v>4553</v>
      </c>
      <c r="D1101" s="3" t="s">
        <v>4554</v>
      </c>
      <c r="E1101" s="3" t="s">
        <v>724</v>
      </c>
      <c r="F1101" s="3" t="s">
        <v>4555</v>
      </c>
    </row>
    <row r="1102" ht="36.0" customHeight="1">
      <c r="A1102" s="2" t="s">
        <v>4556</v>
      </c>
      <c r="B1102" s="2" t="s">
        <v>4421</v>
      </c>
      <c r="C1102" s="2" t="s">
        <v>4557</v>
      </c>
      <c r="D1102" s="2" t="s">
        <v>4558</v>
      </c>
      <c r="E1102" s="2" t="s">
        <v>2355</v>
      </c>
      <c r="F1102" s="2" t="s">
        <v>4559</v>
      </c>
    </row>
    <row r="1103" ht="36.0" customHeight="1">
      <c r="A1103" s="3" t="s">
        <v>4560</v>
      </c>
      <c r="B1103" s="3" t="s">
        <v>4421</v>
      </c>
      <c r="C1103" s="3" t="s">
        <v>4561</v>
      </c>
      <c r="D1103" s="3" t="s">
        <v>4562</v>
      </c>
      <c r="E1103" s="3" t="s">
        <v>1143</v>
      </c>
      <c r="F1103" s="3" t="s">
        <v>4563</v>
      </c>
    </row>
    <row r="1104" ht="36.0" customHeight="1">
      <c r="A1104" s="2" t="s">
        <v>4564</v>
      </c>
      <c r="B1104" s="2" t="s">
        <v>4421</v>
      </c>
      <c r="C1104" s="2" t="s">
        <v>4565</v>
      </c>
      <c r="D1104" s="2" t="s">
        <v>4566</v>
      </c>
      <c r="E1104" s="2" t="s">
        <v>2208</v>
      </c>
      <c r="F1104" s="2" t="s">
        <v>4567</v>
      </c>
    </row>
    <row r="1105" ht="36.0" customHeight="1">
      <c r="A1105" s="3" t="s">
        <v>4568</v>
      </c>
      <c r="B1105" s="3" t="s">
        <v>4421</v>
      </c>
      <c r="C1105" s="3" t="s">
        <v>4569</v>
      </c>
      <c r="D1105" s="3" t="s">
        <v>4570</v>
      </c>
      <c r="E1105" s="3" t="s">
        <v>1143</v>
      </c>
      <c r="F1105" s="3" t="s">
        <v>4571</v>
      </c>
    </row>
    <row r="1106" ht="36.0" customHeight="1">
      <c r="A1106" s="2" t="s">
        <v>4572</v>
      </c>
      <c r="B1106" s="2" t="s">
        <v>4421</v>
      </c>
      <c r="C1106" s="2" t="s">
        <v>4573</v>
      </c>
      <c r="D1106" s="2" t="s">
        <v>4574</v>
      </c>
      <c r="E1106" s="2" t="s">
        <v>1350</v>
      </c>
      <c r="F1106" s="2" t="s">
        <v>4575</v>
      </c>
    </row>
    <row r="1107" ht="36.0" customHeight="1">
      <c r="A1107" s="3" t="s">
        <v>4576</v>
      </c>
      <c r="B1107" s="3" t="s">
        <v>4421</v>
      </c>
      <c r="C1107" s="3" t="s">
        <v>4577</v>
      </c>
      <c r="D1107" s="3" t="s">
        <v>4578</v>
      </c>
      <c r="E1107" s="3" t="s">
        <v>2208</v>
      </c>
      <c r="F1107" s="3" t="s">
        <v>4579</v>
      </c>
    </row>
    <row r="1108" ht="36.0" customHeight="1">
      <c r="A1108" s="2" t="s">
        <v>4580</v>
      </c>
      <c r="B1108" s="2" t="s">
        <v>4421</v>
      </c>
      <c r="C1108" s="2" t="s">
        <v>4581</v>
      </c>
      <c r="D1108" s="2" t="s">
        <v>4582</v>
      </c>
      <c r="E1108" s="2" t="s">
        <v>2208</v>
      </c>
      <c r="F1108" s="2" t="s">
        <v>4583</v>
      </c>
    </row>
    <row r="1109" ht="36.0" customHeight="1">
      <c r="A1109" s="3" t="s">
        <v>4584</v>
      </c>
      <c r="B1109" s="3" t="s">
        <v>4421</v>
      </c>
      <c r="C1109" s="3" t="s">
        <v>4585</v>
      </c>
      <c r="D1109" s="3" t="s">
        <v>4586</v>
      </c>
      <c r="E1109" s="3" t="s">
        <v>1401</v>
      </c>
      <c r="F1109" s="3" t="s">
        <v>4587</v>
      </c>
    </row>
    <row r="1110" ht="36.0" customHeight="1">
      <c r="A1110" s="2" t="s">
        <v>4588</v>
      </c>
      <c r="B1110" s="2" t="s">
        <v>4421</v>
      </c>
      <c r="C1110" s="2" t="s">
        <v>4589</v>
      </c>
      <c r="D1110" s="2" t="s">
        <v>4590</v>
      </c>
      <c r="E1110" s="2" t="s">
        <v>2355</v>
      </c>
      <c r="F1110" s="2" t="s">
        <v>4591</v>
      </c>
    </row>
    <row r="1111" ht="36.0" customHeight="1">
      <c r="A1111" s="3" t="s">
        <v>4592</v>
      </c>
      <c r="B1111" s="3" t="s">
        <v>4421</v>
      </c>
      <c r="C1111" s="3" t="s">
        <v>4593</v>
      </c>
      <c r="D1111" s="3" t="s">
        <v>4594</v>
      </c>
      <c r="E1111" s="3" t="s">
        <v>1396</v>
      </c>
      <c r="F1111" s="3" t="s">
        <v>4595</v>
      </c>
    </row>
    <row r="1112" ht="36.0" customHeight="1">
      <c r="A1112" s="2" t="s">
        <v>4596</v>
      </c>
      <c r="B1112" s="2" t="s">
        <v>4421</v>
      </c>
      <c r="C1112" s="2" t="s">
        <v>4597</v>
      </c>
      <c r="D1112" s="2" t="s">
        <v>4598</v>
      </c>
      <c r="E1112" s="2" t="s">
        <v>101</v>
      </c>
      <c r="F1112" s="2" t="s">
        <v>4599</v>
      </c>
    </row>
    <row r="1113" ht="36.0" customHeight="1">
      <c r="A1113" s="3" t="s">
        <v>4600</v>
      </c>
      <c r="B1113" s="3" t="s">
        <v>4421</v>
      </c>
      <c r="C1113" s="3" t="s">
        <v>4601</v>
      </c>
      <c r="D1113" s="3" t="s">
        <v>4602</v>
      </c>
      <c r="E1113" s="3" t="s">
        <v>323</v>
      </c>
      <c r="F1113" s="3" t="s">
        <v>4603</v>
      </c>
    </row>
    <row r="1114" ht="36.0" customHeight="1">
      <c r="A1114" s="2" t="s">
        <v>4604</v>
      </c>
      <c r="B1114" s="2" t="s">
        <v>4421</v>
      </c>
      <c r="C1114" s="2" t="s">
        <v>4605</v>
      </c>
      <c r="D1114" s="2" t="s">
        <v>4606</v>
      </c>
      <c r="E1114" s="2" t="s">
        <v>4607</v>
      </c>
      <c r="F1114" s="2" t="s">
        <v>4608</v>
      </c>
    </row>
    <row r="1115" ht="36.0" customHeight="1">
      <c r="A1115" s="3" t="s">
        <v>4609</v>
      </c>
      <c r="B1115" s="3" t="s">
        <v>4421</v>
      </c>
      <c r="C1115" s="3" t="s">
        <v>4610</v>
      </c>
      <c r="D1115" s="3" t="s">
        <v>4611</v>
      </c>
      <c r="E1115" s="3" t="s">
        <v>4607</v>
      </c>
      <c r="F1115" s="3" t="s">
        <v>4612</v>
      </c>
    </row>
    <row r="1116" ht="36.0" customHeight="1">
      <c r="A1116" s="2" t="s">
        <v>4613</v>
      </c>
      <c r="B1116" s="2" t="s">
        <v>4421</v>
      </c>
      <c r="C1116" s="2" t="s">
        <v>4614</v>
      </c>
      <c r="D1116" s="2" t="s">
        <v>4615</v>
      </c>
      <c r="E1116" s="2" t="s">
        <v>3895</v>
      </c>
      <c r="F1116" s="2" t="s">
        <v>4616</v>
      </c>
    </row>
    <row r="1117" ht="36.0" customHeight="1">
      <c r="A1117" s="3" t="s">
        <v>4617</v>
      </c>
      <c r="B1117" s="3" t="s">
        <v>4421</v>
      </c>
      <c r="C1117" s="3" t="s">
        <v>4618</v>
      </c>
      <c r="D1117" s="3" t="s">
        <v>4619</v>
      </c>
      <c r="E1117" s="3" t="s">
        <v>1268</v>
      </c>
      <c r="F1117" s="3" t="s">
        <v>4620</v>
      </c>
    </row>
    <row r="1118" ht="36.0" customHeight="1">
      <c r="A1118" s="2" t="s">
        <v>4621</v>
      </c>
      <c r="B1118" s="2" t="s">
        <v>4421</v>
      </c>
      <c r="C1118" s="2" t="s">
        <v>4622</v>
      </c>
      <c r="D1118" s="2" t="s">
        <v>4623</v>
      </c>
      <c r="E1118" s="2" t="s">
        <v>323</v>
      </c>
      <c r="F1118" s="2" t="s">
        <v>4624</v>
      </c>
    </row>
    <row r="1119" ht="36.0" customHeight="1">
      <c r="A1119" s="3" t="s">
        <v>4625</v>
      </c>
      <c r="B1119" s="3" t="s">
        <v>4421</v>
      </c>
      <c r="C1119" s="3" t="s">
        <v>4626</v>
      </c>
      <c r="D1119" s="3" t="s">
        <v>4627</v>
      </c>
      <c r="E1119" s="3" t="s">
        <v>2020</v>
      </c>
      <c r="F1119" s="3" t="s">
        <v>4628</v>
      </c>
    </row>
    <row r="1120" ht="36.0" customHeight="1">
      <c r="A1120" s="2" t="s">
        <v>4629</v>
      </c>
      <c r="B1120" s="2" t="s">
        <v>4421</v>
      </c>
      <c r="C1120" s="2" t="s">
        <v>4630</v>
      </c>
      <c r="D1120" s="2" t="s">
        <v>4631</v>
      </c>
      <c r="E1120" s="2" t="s">
        <v>1655</v>
      </c>
      <c r="F1120" s="2" t="s">
        <v>4632</v>
      </c>
    </row>
    <row r="1121" ht="36.0" customHeight="1">
      <c r="A1121" s="3" t="s">
        <v>4633</v>
      </c>
      <c r="B1121" s="3" t="s">
        <v>4421</v>
      </c>
      <c r="C1121" s="3" t="s">
        <v>4634</v>
      </c>
      <c r="D1121" s="3" t="s">
        <v>4635</v>
      </c>
      <c r="E1121" s="3" t="s">
        <v>2855</v>
      </c>
      <c r="F1121" s="3" t="s">
        <v>4636</v>
      </c>
    </row>
    <row r="1122" ht="36.0" customHeight="1">
      <c r="A1122" s="2" t="s">
        <v>4637</v>
      </c>
      <c r="B1122" s="2" t="s">
        <v>4421</v>
      </c>
      <c r="C1122" s="2" t="s">
        <v>4638</v>
      </c>
      <c r="D1122" s="2" t="s">
        <v>4639</v>
      </c>
      <c r="E1122" s="2" t="s">
        <v>2010</v>
      </c>
      <c r="F1122" s="2" t="s">
        <v>4640</v>
      </c>
    </row>
    <row r="1123" ht="36.0" customHeight="1">
      <c r="A1123" s="3" t="s">
        <v>4641</v>
      </c>
      <c r="B1123" s="3" t="s">
        <v>4421</v>
      </c>
      <c r="C1123" s="3" t="s">
        <v>4642</v>
      </c>
      <c r="D1123" s="3" t="s">
        <v>4643</v>
      </c>
      <c r="E1123" s="3" t="s">
        <v>2010</v>
      </c>
      <c r="F1123" s="3" t="s">
        <v>4644</v>
      </c>
    </row>
    <row r="1124" ht="36.0" customHeight="1">
      <c r="A1124" s="2" t="s">
        <v>4645</v>
      </c>
      <c r="B1124" s="2" t="s">
        <v>4421</v>
      </c>
      <c r="C1124" s="2" t="s">
        <v>4646</v>
      </c>
      <c r="D1124" s="2" t="s">
        <v>4647</v>
      </c>
      <c r="E1124" s="2" t="s">
        <v>2010</v>
      </c>
      <c r="F1124" s="2" t="s">
        <v>4648</v>
      </c>
    </row>
    <row r="1125" ht="36.0" customHeight="1">
      <c r="A1125" s="3" t="s">
        <v>4649</v>
      </c>
      <c r="B1125" s="3" t="s">
        <v>4421</v>
      </c>
      <c r="C1125" s="3" t="s">
        <v>4650</v>
      </c>
      <c r="D1125" s="3" t="s">
        <v>4651</v>
      </c>
      <c r="E1125" s="3" t="s">
        <v>2010</v>
      </c>
      <c r="F1125" s="3" t="s">
        <v>4652</v>
      </c>
    </row>
    <row r="1126" ht="36.0" customHeight="1">
      <c r="A1126" s="2" t="s">
        <v>4653</v>
      </c>
      <c r="B1126" s="2" t="s">
        <v>4421</v>
      </c>
      <c r="C1126" s="2" t="s">
        <v>4654</v>
      </c>
      <c r="D1126" s="2" t="s">
        <v>4655</v>
      </c>
      <c r="E1126" s="2" t="s">
        <v>2010</v>
      </c>
      <c r="F1126" s="2" t="s">
        <v>4656</v>
      </c>
    </row>
    <row r="1127" ht="36.0" customHeight="1">
      <c r="A1127" s="3" t="s">
        <v>4657</v>
      </c>
      <c r="B1127" s="3" t="s">
        <v>4421</v>
      </c>
      <c r="C1127" s="3" t="s">
        <v>4658</v>
      </c>
      <c r="D1127" s="3" t="s">
        <v>4659</v>
      </c>
      <c r="E1127" s="3" t="s">
        <v>2010</v>
      </c>
      <c r="F1127" s="3" t="s">
        <v>4660</v>
      </c>
    </row>
    <row r="1128" ht="36.0" customHeight="1">
      <c r="A1128" s="2" t="s">
        <v>4661</v>
      </c>
      <c r="B1128" s="2" t="s">
        <v>4421</v>
      </c>
      <c r="C1128" s="2" t="s">
        <v>4662</v>
      </c>
      <c r="D1128" s="2" t="s">
        <v>4663</v>
      </c>
      <c r="E1128" s="2" t="s">
        <v>19</v>
      </c>
      <c r="F1128" s="2" t="s">
        <v>4664</v>
      </c>
    </row>
    <row r="1129" ht="36.0" customHeight="1">
      <c r="A1129" s="3" t="s">
        <v>4665</v>
      </c>
      <c r="B1129" s="3" t="s">
        <v>4421</v>
      </c>
      <c r="C1129" s="3" t="s">
        <v>4666</v>
      </c>
      <c r="D1129" s="3" t="s">
        <v>4667</v>
      </c>
      <c r="E1129" s="3" t="s">
        <v>19</v>
      </c>
      <c r="F1129" s="3" t="s">
        <v>4668</v>
      </c>
    </row>
    <row r="1130" ht="36.0" customHeight="1">
      <c r="A1130" s="2" t="s">
        <v>4669</v>
      </c>
      <c r="B1130" s="2" t="s">
        <v>4421</v>
      </c>
      <c r="C1130" s="2" t="s">
        <v>4670</v>
      </c>
      <c r="D1130" s="2" t="s">
        <v>4671</v>
      </c>
      <c r="E1130" s="2" t="s">
        <v>1756</v>
      </c>
      <c r="F1130" s="2" t="s">
        <v>4672</v>
      </c>
    </row>
    <row r="1131" ht="36.0" customHeight="1">
      <c r="A1131" s="3" t="s">
        <v>4673</v>
      </c>
      <c r="B1131" s="3" t="s">
        <v>4421</v>
      </c>
      <c r="C1131" s="3" t="s">
        <v>4674</v>
      </c>
      <c r="D1131" s="3" t="s">
        <v>4675</v>
      </c>
      <c r="E1131" s="3" t="s">
        <v>2126</v>
      </c>
      <c r="F1131" s="3" t="s">
        <v>4676</v>
      </c>
    </row>
    <row r="1132" ht="36.0" customHeight="1">
      <c r="A1132" s="2" t="s">
        <v>4677</v>
      </c>
      <c r="B1132" s="2" t="s">
        <v>4421</v>
      </c>
      <c r="C1132" s="2" t="s">
        <v>4678</v>
      </c>
      <c r="D1132" s="2" t="s">
        <v>4679</v>
      </c>
      <c r="E1132" s="2" t="s">
        <v>19</v>
      </c>
      <c r="F1132" s="2" t="s">
        <v>4680</v>
      </c>
    </row>
    <row r="1133" ht="36.0" customHeight="1">
      <c r="A1133" s="3" t="s">
        <v>4681</v>
      </c>
      <c r="B1133" s="3" t="s">
        <v>4421</v>
      </c>
      <c r="C1133" s="3" t="s">
        <v>4682</v>
      </c>
      <c r="D1133" s="3" t="s">
        <v>4683</v>
      </c>
      <c r="E1133" s="3" t="s">
        <v>1756</v>
      </c>
      <c r="F1133" s="3" t="s">
        <v>4684</v>
      </c>
    </row>
    <row r="1134" ht="36.0" customHeight="1">
      <c r="A1134" s="2" t="s">
        <v>4685</v>
      </c>
      <c r="B1134" s="2" t="s">
        <v>4421</v>
      </c>
      <c r="C1134" s="2" t="s">
        <v>4686</v>
      </c>
      <c r="D1134" s="2" t="s">
        <v>4687</v>
      </c>
      <c r="E1134" s="2" t="s">
        <v>1756</v>
      </c>
      <c r="F1134" s="2" t="s">
        <v>4688</v>
      </c>
    </row>
    <row r="1135" ht="36.0" customHeight="1">
      <c r="A1135" s="3" t="s">
        <v>4689</v>
      </c>
      <c r="B1135" s="3" t="s">
        <v>4421</v>
      </c>
      <c r="C1135" s="3" t="s">
        <v>4690</v>
      </c>
      <c r="D1135" s="3" t="s">
        <v>4691</v>
      </c>
      <c r="E1135" s="3" t="s">
        <v>24</v>
      </c>
      <c r="F1135" s="3" t="s">
        <v>4692</v>
      </c>
    </row>
    <row r="1136" ht="36.0" customHeight="1">
      <c r="A1136" s="2" t="s">
        <v>4693</v>
      </c>
      <c r="B1136" s="2" t="s">
        <v>4421</v>
      </c>
      <c r="C1136" s="2" t="s">
        <v>4694</v>
      </c>
      <c r="D1136" s="2" t="s">
        <v>4695</v>
      </c>
      <c r="E1136" s="2" t="s">
        <v>24</v>
      </c>
      <c r="F1136" s="2" t="s">
        <v>4696</v>
      </c>
    </row>
    <row r="1137" ht="36.0" customHeight="1">
      <c r="A1137" s="3" t="s">
        <v>4697</v>
      </c>
      <c r="B1137" s="3" t="s">
        <v>4421</v>
      </c>
      <c r="C1137" s="3" t="s">
        <v>4698</v>
      </c>
      <c r="D1137" s="3" t="s">
        <v>4699</v>
      </c>
      <c r="E1137" s="3" t="s">
        <v>19</v>
      </c>
      <c r="F1137" s="3" t="s">
        <v>4700</v>
      </c>
    </row>
    <row r="1138" ht="36.0" customHeight="1">
      <c r="A1138" s="2" t="s">
        <v>4701</v>
      </c>
      <c r="B1138" s="2" t="s">
        <v>4421</v>
      </c>
      <c r="C1138" s="2" t="s">
        <v>4702</v>
      </c>
      <c r="D1138" s="2" t="s">
        <v>4703</v>
      </c>
      <c r="E1138" s="2" t="s">
        <v>47</v>
      </c>
      <c r="F1138" s="2" t="s">
        <v>4704</v>
      </c>
    </row>
    <row r="1139" ht="36.0" customHeight="1">
      <c r="A1139" s="3" t="s">
        <v>4705</v>
      </c>
      <c r="B1139" s="3" t="s">
        <v>4421</v>
      </c>
      <c r="C1139" s="3" t="s">
        <v>4706</v>
      </c>
      <c r="D1139" s="3" t="s">
        <v>4707</v>
      </c>
      <c r="E1139" s="3" t="s">
        <v>47</v>
      </c>
      <c r="F1139" s="3" t="s">
        <v>4708</v>
      </c>
    </row>
    <row r="1140" ht="36.0" customHeight="1">
      <c r="A1140" s="2" t="s">
        <v>4709</v>
      </c>
      <c r="B1140" s="2" t="s">
        <v>4421</v>
      </c>
      <c r="C1140" s="2" t="s">
        <v>4710</v>
      </c>
      <c r="D1140" s="2" t="s">
        <v>4711</v>
      </c>
      <c r="E1140" s="2" t="s">
        <v>47</v>
      </c>
      <c r="F1140" s="2" t="s">
        <v>4712</v>
      </c>
    </row>
    <row r="1141" ht="36.0" customHeight="1">
      <c r="A1141" s="3" t="s">
        <v>4713</v>
      </c>
      <c r="B1141" s="3" t="s">
        <v>4421</v>
      </c>
      <c r="C1141" s="3" t="s">
        <v>4714</v>
      </c>
      <c r="D1141" s="3" t="s">
        <v>4715</v>
      </c>
      <c r="E1141" s="3" t="s">
        <v>4456</v>
      </c>
      <c r="F1141" s="3" t="s">
        <v>4716</v>
      </c>
    </row>
    <row r="1142" ht="36.0" customHeight="1">
      <c r="A1142" s="2" t="s">
        <v>4717</v>
      </c>
      <c r="B1142" s="2" t="s">
        <v>4421</v>
      </c>
      <c r="C1142" s="2" t="s">
        <v>4718</v>
      </c>
      <c r="D1142" s="2" t="s">
        <v>4719</v>
      </c>
      <c r="E1142" s="2" t="s">
        <v>1756</v>
      </c>
      <c r="F1142" s="2" t="s">
        <v>4720</v>
      </c>
    </row>
    <row r="1143" ht="36.0" customHeight="1">
      <c r="A1143" s="3" t="s">
        <v>4721</v>
      </c>
      <c r="B1143" s="3" t="s">
        <v>4421</v>
      </c>
      <c r="C1143" s="3" t="s">
        <v>4722</v>
      </c>
      <c r="D1143" s="3" t="s">
        <v>4723</v>
      </c>
      <c r="E1143" s="3" t="s">
        <v>62</v>
      </c>
      <c r="F1143" s="3" t="s">
        <v>4724</v>
      </c>
    </row>
    <row r="1144" ht="36.0" customHeight="1">
      <c r="A1144" s="2" t="s">
        <v>4725</v>
      </c>
      <c r="B1144" s="2" t="s">
        <v>4421</v>
      </c>
      <c r="C1144" s="2" t="s">
        <v>4726</v>
      </c>
      <c r="D1144" s="2" t="s">
        <v>4727</v>
      </c>
      <c r="E1144" s="2" t="s">
        <v>2977</v>
      </c>
      <c r="F1144" s="2" t="s">
        <v>4728</v>
      </c>
    </row>
    <row r="1145" ht="36.0" customHeight="1">
      <c r="A1145" s="3" t="s">
        <v>4729</v>
      </c>
      <c r="B1145" s="3" t="s">
        <v>4421</v>
      </c>
      <c r="C1145" s="3" t="s">
        <v>4730</v>
      </c>
      <c r="D1145" s="3" t="s">
        <v>4731</v>
      </c>
      <c r="E1145" s="3" t="s">
        <v>340</v>
      </c>
      <c r="F1145" s="3" t="s">
        <v>4732</v>
      </c>
    </row>
    <row r="1146" ht="36.0" customHeight="1">
      <c r="A1146" s="2" t="s">
        <v>4733</v>
      </c>
      <c r="B1146" s="2" t="s">
        <v>4421</v>
      </c>
      <c r="C1146" s="2" t="s">
        <v>4734</v>
      </c>
      <c r="D1146" s="2" t="s">
        <v>4735</v>
      </c>
      <c r="E1146" s="2" t="s">
        <v>224</v>
      </c>
      <c r="F1146" s="2" t="s">
        <v>4736</v>
      </c>
    </row>
    <row r="1147" ht="36.0" customHeight="1">
      <c r="A1147" s="3" t="s">
        <v>4737</v>
      </c>
      <c r="B1147" s="3" t="s">
        <v>4421</v>
      </c>
      <c r="C1147" s="3" t="s">
        <v>4738</v>
      </c>
      <c r="D1147" s="3" t="s">
        <v>4739</v>
      </c>
      <c r="E1147" s="3" t="s">
        <v>4513</v>
      </c>
      <c r="F1147" s="3" t="s">
        <v>4740</v>
      </c>
    </row>
    <row r="1148" ht="36.0" customHeight="1">
      <c r="A1148" s="2" t="s">
        <v>4741</v>
      </c>
      <c r="B1148" s="2" t="s">
        <v>4421</v>
      </c>
      <c r="C1148" s="2" t="s">
        <v>4742</v>
      </c>
      <c r="D1148" s="2" t="s">
        <v>4743</v>
      </c>
      <c r="E1148" s="2" t="s">
        <v>224</v>
      </c>
      <c r="F1148" s="2" t="s">
        <v>4744</v>
      </c>
    </row>
    <row r="1149" ht="36.0" customHeight="1">
      <c r="A1149" s="3" t="s">
        <v>4745</v>
      </c>
      <c r="B1149" s="3" t="s">
        <v>4421</v>
      </c>
      <c r="C1149" s="3" t="s">
        <v>4746</v>
      </c>
      <c r="D1149" s="3" t="s">
        <v>4747</v>
      </c>
      <c r="E1149" s="3" t="s">
        <v>599</v>
      </c>
      <c r="F1149" s="3" t="s">
        <v>4748</v>
      </c>
    </row>
    <row r="1150" ht="36.0" customHeight="1">
      <c r="A1150" s="2" t="s">
        <v>4749</v>
      </c>
      <c r="B1150" s="2" t="s">
        <v>4421</v>
      </c>
      <c r="C1150" s="2" t="s">
        <v>4750</v>
      </c>
      <c r="D1150" s="2" t="s">
        <v>4751</v>
      </c>
      <c r="E1150" s="2" t="s">
        <v>4513</v>
      </c>
      <c r="F1150" s="2" t="s">
        <v>4752</v>
      </c>
    </row>
    <row r="1151" ht="36.0" customHeight="1">
      <c r="A1151" s="3" t="s">
        <v>4753</v>
      </c>
      <c r="B1151" s="3" t="s">
        <v>4421</v>
      </c>
      <c r="C1151" s="3" t="s">
        <v>4754</v>
      </c>
      <c r="D1151" s="3" t="s">
        <v>4755</v>
      </c>
      <c r="E1151" s="3" t="s">
        <v>4513</v>
      </c>
      <c r="F1151" s="3" t="s">
        <v>4756</v>
      </c>
    </row>
    <row r="1152" ht="36.0" customHeight="1">
      <c r="A1152" s="2" t="s">
        <v>4757</v>
      </c>
      <c r="B1152" s="2" t="s">
        <v>4421</v>
      </c>
      <c r="C1152" s="2" t="s">
        <v>4758</v>
      </c>
      <c r="D1152" s="2" t="s">
        <v>4759</v>
      </c>
      <c r="E1152" s="2" t="s">
        <v>4513</v>
      </c>
      <c r="F1152" s="2" t="s">
        <v>4760</v>
      </c>
    </row>
    <row r="1153" ht="36.0" customHeight="1">
      <c r="A1153" s="3" t="s">
        <v>4761</v>
      </c>
      <c r="B1153" s="3" t="s">
        <v>4421</v>
      </c>
      <c r="C1153" s="3" t="s">
        <v>4762</v>
      </c>
      <c r="D1153" s="3" t="s">
        <v>4763</v>
      </c>
      <c r="E1153" s="3" t="s">
        <v>4513</v>
      </c>
      <c r="F1153" s="3" t="s">
        <v>4764</v>
      </c>
    </row>
    <row r="1154" ht="36.0" customHeight="1">
      <c r="A1154" s="2" t="s">
        <v>4765</v>
      </c>
      <c r="B1154" s="2" t="s">
        <v>4421</v>
      </c>
      <c r="C1154" s="2" t="s">
        <v>4766</v>
      </c>
      <c r="D1154" s="2" t="s">
        <v>4767</v>
      </c>
      <c r="E1154" s="2" t="s">
        <v>91</v>
      </c>
      <c r="F1154" s="2" t="s">
        <v>4768</v>
      </c>
    </row>
    <row r="1155" ht="36.0" customHeight="1">
      <c r="A1155" s="3" t="s">
        <v>4769</v>
      </c>
      <c r="B1155" s="3" t="s">
        <v>4421</v>
      </c>
      <c r="C1155" s="3" t="s">
        <v>4770</v>
      </c>
      <c r="D1155" s="3" t="s">
        <v>4771</v>
      </c>
      <c r="E1155" s="3" t="s">
        <v>695</v>
      </c>
      <c r="F1155" s="3" t="s">
        <v>4772</v>
      </c>
    </row>
    <row r="1156" ht="36.0" customHeight="1">
      <c r="A1156" s="2" t="s">
        <v>4773</v>
      </c>
      <c r="B1156" s="2" t="s">
        <v>4421</v>
      </c>
      <c r="C1156" s="2" t="s">
        <v>4774</v>
      </c>
      <c r="D1156" s="2" t="s">
        <v>4775</v>
      </c>
      <c r="E1156" s="2" t="s">
        <v>267</v>
      </c>
      <c r="F1156" s="2" t="s">
        <v>4776</v>
      </c>
    </row>
    <row r="1157" ht="36.0" customHeight="1">
      <c r="A1157" s="3" t="s">
        <v>4777</v>
      </c>
      <c r="B1157" s="3" t="s">
        <v>4421</v>
      </c>
      <c r="C1157" s="3" t="s">
        <v>4778</v>
      </c>
      <c r="D1157" s="3" t="s">
        <v>4779</v>
      </c>
      <c r="E1157" s="3" t="s">
        <v>4780</v>
      </c>
      <c r="F1157" s="3" t="s">
        <v>4781</v>
      </c>
    </row>
    <row r="1158" ht="36.0" customHeight="1">
      <c r="A1158" s="2" t="s">
        <v>4782</v>
      </c>
      <c r="B1158" s="2" t="s">
        <v>4421</v>
      </c>
      <c r="C1158" s="2" t="s">
        <v>4783</v>
      </c>
      <c r="D1158" s="2" t="s">
        <v>4784</v>
      </c>
      <c r="E1158" s="2" t="s">
        <v>695</v>
      </c>
      <c r="F1158" s="2" t="s">
        <v>4785</v>
      </c>
    </row>
    <row r="1159" ht="36.0" customHeight="1">
      <c r="A1159" s="3" t="s">
        <v>4786</v>
      </c>
      <c r="B1159" s="3" t="s">
        <v>4421</v>
      </c>
      <c r="C1159" s="3" t="s">
        <v>4787</v>
      </c>
      <c r="D1159" s="3" t="s">
        <v>4788</v>
      </c>
      <c r="E1159" s="3" t="s">
        <v>2208</v>
      </c>
      <c r="F1159" s="3" t="s">
        <v>4789</v>
      </c>
    </row>
    <row r="1160" ht="36.0" customHeight="1">
      <c r="A1160" s="2" t="s">
        <v>4790</v>
      </c>
      <c r="B1160" s="2" t="s">
        <v>4421</v>
      </c>
      <c r="C1160" s="2" t="s">
        <v>4791</v>
      </c>
      <c r="D1160" s="2" t="s">
        <v>4792</v>
      </c>
      <c r="E1160" s="2" t="s">
        <v>695</v>
      </c>
      <c r="F1160" s="2" t="s">
        <v>4793</v>
      </c>
    </row>
    <row r="1161" ht="36.0" customHeight="1">
      <c r="A1161" s="3" t="s">
        <v>4794</v>
      </c>
      <c r="B1161" s="3" t="s">
        <v>4421</v>
      </c>
      <c r="C1161" s="3" t="s">
        <v>4795</v>
      </c>
      <c r="D1161" s="3" t="s">
        <v>4796</v>
      </c>
      <c r="E1161" s="3" t="s">
        <v>2208</v>
      </c>
      <c r="F1161" s="3" t="s">
        <v>4797</v>
      </c>
    </row>
    <row r="1162" ht="36.0" customHeight="1">
      <c r="A1162" s="2" t="s">
        <v>4798</v>
      </c>
      <c r="B1162" s="2" t="s">
        <v>4421</v>
      </c>
      <c r="C1162" s="2" t="s">
        <v>4799</v>
      </c>
      <c r="D1162" s="2" t="s">
        <v>4800</v>
      </c>
      <c r="E1162" s="2" t="s">
        <v>695</v>
      </c>
      <c r="F1162" s="2" t="s">
        <v>4801</v>
      </c>
    </row>
    <row r="1163" ht="36.0" customHeight="1">
      <c r="A1163" s="3" t="s">
        <v>4802</v>
      </c>
      <c r="B1163" s="3" t="s">
        <v>4421</v>
      </c>
      <c r="C1163" s="3" t="s">
        <v>4803</v>
      </c>
      <c r="D1163" s="3" t="s">
        <v>4804</v>
      </c>
      <c r="E1163" s="3" t="s">
        <v>695</v>
      </c>
      <c r="F1163" s="3" t="s">
        <v>4805</v>
      </c>
    </row>
    <row r="1164" ht="36.0" customHeight="1">
      <c r="A1164" s="2" t="s">
        <v>4806</v>
      </c>
      <c r="B1164" s="2" t="s">
        <v>4421</v>
      </c>
      <c r="C1164" s="2" t="s">
        <v>4807</v>
      </c>
      <c r="D1164" s="2" t="s">
        <v>4808</v>
      </c>
      <c r="E1164" s="2" t="s">
        <v>4780</v>
      </c>
      <c r="F1164" s="2" t="s">
        <v>4809</v>
      </c>
    </row>
    <row r="1165" ht="36.0" customHeight="1">
      <c r="A1165" s="3" t="s">
        <v>4810</v>
      </c>
      <c r="B1165" s="3" t="s">
        <v>4421</v>
      </c>
      <c r="C1165" s="3" t="s">
        <v>4811</v>
      </c>
      <c r="D1165" s="3" t="s">
        <v>4812</v>
      </c>
      <c r="E1165" s="3" t="s">
        <v>4780</v>
      </c>
      <c r="F1165" s="3" t="s">
        <v>4813</v>
      </c>
    </row>
    <row r="1166" ht="36.0" customHeight="1">
      <c r="A1166" s="2" t="s">
        <v>4814</v>
      </c>
      <c r="B1166" s="2" t="s">
        <v>4421</v>
      </c>
      <c r="C1166" s="2" t="s">
        <v>4815</v>
      </c>
      <c r="D1166" s="2" t="s">
        <v>4816</v>
      </c>
      <c r="E1166" s="2" t="s">
        <v>1855</v>
      </c>
      <c r="F1166" s="2" t="s">
        <v>4817</v>
      </c>
    </row>
    <row r="1167" ht="36.0" customHeight="1">
      <c r="A1167" s="3" t="s">
        <v>4818</v>
      </c>
      <c r="B1167" s="3" t="s">
        <v>4421</v>
      </c>
      <c r="C1167" s="3" t="s">
        <v>4819</v>
      </c>
      <c r="D1167" s="3" t="s">
        <v>4820</v>
      </c>
      <c r="E1167" s="3" t="s">
        <v>2208</v>
      </c>
      <c r="F1167" s="3" t="s">
        <v>4821</v>
      </c>
    </row>
    <row r="1168" ht="36.0" customHeight="1">
      <c r="A1168" s="2" t="s">
        <v>4822</v>
      </c>
      <c r="B1168" s="2" t="s">
        <v>4421</v>
      </c>
      <c r="C1168" s="2" t="s">
        <v>4823</v>
      </c>
      <c r="D1168" s="2" t="s">
        <v>4824</v>
      </c>
      <c r="E1168" s="2" t="s">
        <v>2208</v>
      </c>
      <c r="F1168" s="2" t="s">
        <v>4825</v>
      </c>
    </row>
    <row r="1169" ht="36.0" customHeight="1">
      <c r="A1169" s="3" t="s">
        <v>4826</v>
      </c>
      <c r="B1169" s="3" t="s">
        <v>4421</v>
      </c>
      <c r="C1169" s="3" t="s">
        <v>4827</v>
      </c>
      <c r="D1169" s="3" t="s">
        <v>4828</v>
      </c>
      <c r="E1169" s="3" t="s">
        <v>2208</v>
      </c>
      <c r="F1169" s="3" t="s">
        <v>4829</v>
      </c>
    </row>
    <row r="1170" ht="36.0" customHeight="1">
      <c r="A1170" s="2" t="s">
        <v>4830</v>
      </c>
      <c r="B1170" s="2" t="s">
        <v>4421</v>
      </c>
      <c r="C1170" s="2" t="s">
        <v>4831</v>
      </c>
      <c r="D1170" s="2" t="s">
        <v>4832</v>
      </c>
      <c r="E1170" s="2" t="s">
        <v>1297</v>
      </c>
      <c r="F1170" s="2" t="s">
        <v>4833</v>
      </c>
    </row>
    <row r="1171" ht="36.0" customHeight="1">
      <c r="A1171" s="3" t="s">
        <v>4834</v>
      </c>
      <c r="B1171" s="3" t="s">
        <v>4421</v>
      </c>
      <c r="C1171" s="3" t="s">
        <v>4835</v>
      </c>
      <c r="D1171" s="3" t="s">
        <v>4836</v>
      </c>
      <c r="E1171" s="3" t="s">
        <v>4837</v>
      </c>
      <c r="F1171" s="3" t="s">
        <v>4838</v>
      </c>
    </row>
    <row r="1172" ht="36.0" customHeight="1">
      <c r="A1172" s="2" t="s">
        <v>4839</v>
      </c>
      <c r="B1172" s="2" t="s">
        <v>4421</v>
      </c>
      <c r="C1172" s="2" t="s">
        <v>4840</v>
      </c>
      <c r="D1172" s="2" t="s">
        <v>4841</v>
      </c>
      <c r="E1172" s="2" t="s">
        <v>742</v>
      </c>
      <c r="F1172" s="2" t="s">
        <v>4842</v>
      </c>
    </row>
    <row r="1173" ht="36.0" customHeight="1">
      <c r="A1173" s="3" t="s">
        <v>4843</v>
      </c>
      <c r="B1173" s="3" t="s">
        <v>4421</v>
      </c>
      <c r="C1173" s="3" t="s">
        <v>4844</v>
      </c>
      <c r="D1173" s="3" t="s">
        <v>4845</v>
      </c>
      <c r="E1173" s="3" t="s">
        <v>4846</v>
      </c>
      <c r="F1173" s="3" t="s">
        <v>4847</v>
      </c>
    </row>
    <row r="1174" ht="36.0" customHeight="1">
      <c r="A1174" s="2" t="s">
        <v>4848</v>
      </c>
      <c r="B1174" s="2" t="s">
        <v>4421</v>
      </c>
      <c r="C1174" s="2" t="s">
        <v>4849</v>
      </c>
      <c r="D1174" s="2" t="s">
        <v>4850</v>
      </c>
      <c r="E1174" s="2" t="s">
        <v>1297</v>
      </c>
      <c r="F1174" s="2" t="s">
        <v>4851</v>
      </c>
    </row>
    <row r="1175" ht="36.0" customHeight="1">
      <c r="A1175" s="3" t="s">
        <v>4852</v>
      </c>
      <c r="B1175" s="3" t="s">
        <v>4421</v>
      </c>
      <c r="C1175" s="3" t="s">
        <v>4853</v>
      </c>
      <c r="D1175" s="3" t="s">
        <v>4854</v>
      </c>
      <c r="E1175" s="3" t="s">
        <v>1396</v>
      </c>
      <c r="F1175" s="3" t="s">
        <v>4855</v>
      </c>
    </row>
    <row r="1176" ht="36.0" customHeight="1">
      <c r="A1176" s="2" t="s">
        <v>4856</v>
      </c>
      <c r="B1176" s="2" t="s">
        <v>4421</v>
      </c>
      <c r="C1176" s="2" t="s">
        <v>4857</v>
      </c>
      <c r="D1176" s="2" t="s">
        <v>4858</v>
      </c>
      <c r="E1176" s="2" t="s">
        <v>4607</v>
      </c>
      <c r="F1176" s="2" t="s">
        <v>4859</v>
      </c>
    </row>
    <row r="1177" ht="36.0" customHeight="1">
      <c r="A1177" s="3" t="s">
        <v>4860</v>
      </c>
      <c r="B1177" s="3" t="s">
        <v>4421</v>
      </c>
      <c r="C1177" s="3" t="s">
        <v>4861</v>
      </c>
      <c r="D1177" s="3" t="s">
        <v>4862</v>
      </c>
      <c r="E1177" s="3" t="s">
        <v>362</v>
      </c>
      <c r="F1177" s="3" t="s">
        <v>4863</v>
      </c>
    </row>
    <row r="1178" ht="36.0" customHeight="1">
      <c r="A1178" s="2" t="s">
        <v>4864</v>
      </c>
      <c r="B1178" s="2" t="s">
        <v>4421</v>
      </c>
      <c r="C1178" s="2" t="s">
        <v>4865</v>
      </c>
      <c r="D1178" s="2" t="s">
        <v>4866</v>
      </c>
      <c r="E1178" s="2" t="s">
        <v>362</v>
      </c>
      <c r="F1178" s="2" t="s">
        <v>4867</v>
      </c>
    </row>
    <row r="1179" ht="36.0" customHeight="1">
      <c r="A1179" s="3" t="s">
        <v>4868</v>
      </c>
      <c r="B1179" s="3" t="s">
        <v>4421</v>
      </c>
      <c r="C1179" s="3" t="s">
        <v>4869</v>
      </c>
      <c r="D1179" s="3" t="s">
        <v>4870</v>
      </c>
      <c r="E1179" s="3" t="s">
        <v>2020</v>
      </c>
      <c r="F1179" s="3" t="s">
        <v>4871</v>
      </c>
    </row>
    <row r="1180" ht="36.0" customHeight="1">
      <c r="A1180" s="2" t="s">
        <v>4872</v>
      </c>
      <c r="B1180" s="2" t="s">
        <v>4421</v>
      </c>
      <c r="C1180" s="2" t="s">
        <v>4873</v>
      </c>
      <c r="D1180" s="2" t="s">
        <v>4874</v>
      </c>
      <c r="E1180" s="2" t="s">
        <v>362</v>
      </c>
      <c r="F1180" s="2" t="s">
        <v>4875</v>
      </c>
    </row>
    <row r="1181" ht="36.0" customHeight="1">
      <c r="A1181" s="3" t="s">
        <v>4876</v>
      </c>
      <c r="B1181" s="3" t="s">
        <v>4421</v>
      </c>
      <c r="C1181" s="3" t="s">
        <v>4877</v>
      </c>
      <c r="D1181" s="3" t="s">
        <v>4878</v>
      </c>
      <c r="E1181" s="3" t="s">
        <v>345</v>
      </c>
      <c r="F1181" s="3" t="s">
        <v>4879</v>
      </c>
    </row>
    <row r="1182" ht="36.0" customHeight="1">
      <c r="A1182" s="2" t="s">
        <v>4880</v>
      </c>
      <c r="B1182" s="2" t="s">
        <v>4421</v>
      </c>
      <c r="C1182" s="2" t="s">
        <v>4881</v>
      </c>
      <c r="D1182" s="2" t="s">
        <v>4882</v>
      </c>
      <c r="E1182" s="2" t="s">
        <v>345</v>
      </c>
      <c r="F1182" s="2" t="s">
        <v>4883</v>
      </c>
    </row>
    <row r="1183" ht="36.0" customHeight="1">
      <c r="A1183" s="3" t="s">
        <v>4884</v>
      </c>
      <c r="B1183" s="3" t="s">
        <v>4421</v>
      </c>
      <c r="C1183" s="3" t="s">
        <v>4885</v>
      </c>
      <c r="D1183" s="3" t="s">
        <v>4886</v>
      </c>
      <c r="E1183" s="3" t="s">
        <v>345</v>
      </c>
      <c r="F1183" s="3" t="s">
        <v>4887</v>
      </c>
    </row>
    <row r="1184" ht="36.0" customHeight="1">
      <c r="A1184" s="2" t="s">
        <v>4888</v>
      </c>
      <c r="B1184" s="2" t="s">
        <v>4421</v>
      </c>
      <c r="C1184" s="2" t="s">
        <v>4889</v>
      </c>
      <c r="D1184" s="2" t="s">
        <v>4890</v>
      </c>
      <c r="E1184" s="2" t="s">
        <v>345</v>
      </c>
      <c r="F1184" s="2" t="s">
        <v>4891</v>
      </c>
    </row>
    <row r="1185" ht="36.0" customHeight="1">
      <c r="A1185" s="3" t="s">
        <v>4892</v>
      </c>
      <c r="B1185" s="3" t="s">
        <v>4421</v>
      </c>
      <c r="C1185" s="3" t="s">
        <v>4893</v>
      </c>
      <c r="D1185" s="3" t="s">
        <v>4894</v>
      </c>
      <c r="E1185" s="3" t="s">
        <v>2010</v>
      </c>
      <c r="F1185" s="3" t="s">
        <v>4895</v>
      </c>
    </row>
    <row r="1186" ht="36.0" customHeight="1">
      <c r="A1186" s="2" t="s">
        <v>4896</v>
      </c>
      <c r="B1186" s="2" t="s">
        <v>4421</v>
      </c>
      <c r="C1186" s="2" t="s">
        <v>4897</v>
      </c>
      <c r="D1186" s="2" t="s">
        <v>4898</v>
      </c>
      <c r="E1186" s="2" t="s">
        <v>2010</v>
      </c>
      <c r="F1186" s="2" t="s">
        <v>4899</v>
      </c>
    </row>
    <row r="1187" ht="36.0" customHeight="1">
      <c r="A1187" s="3" t="s">
        <v>4900</v>
      </c>
      <c r="B1187" s="3" t="s">
        <v>4421</v>
      </c>
      <c r="C1187" s="3" t="s">
        <v>4901</v>
      </c>
      <c r="D1187" s="3" t="s">
        <v>4902</v>
      </c>
      <c r="E1187" s="3" t="s">
        <v>2010</v>
      </c>
      <c r="F1187" s="3" t="s">
        <v>4903</v>
      </c>
    </row>
    <row r="1188" ht="36.0" customHeight="1">
      <c r="A1188" s="2" t="s">
        <v>4904</v>
      </c>
      <c r="B1188" s="2" t="s">
        <v>4421</v>
      </c>
      <c r="C1188" s="2" t="s">
        <v>4905</v>
      </c>
      <c r="D1188" s="2" t="s">
        <v>4906</v>
      </c>
      <c r="E1188" s="2" t="s">
        <v>4907</v>
      </c>
      <c r="F1188" s="2" t="s">
        <v>4908</v>
      </c>
    </row>
    <row r="1189" ht="36.0" customHeight="1">
      <c r="A1189" s="3" t="s">
        <v>4909</v>
      </c>
      <c r="B1189" s="3" t="s">
        <v>4421</v>
      </c>
      <c r="C1189" s="3" t="s">
        <v>4910</v>
      </c>
      <c r="D1189" s="3" t="s">
        <v>4911</v>
      </c>
      <c r="E1189" s="3" t="s">
        <v>4912</v>
      </c>
      <c r="F1189" s="3" t="s">
        <v>4913</v>
      </c>
    </row>
    <row r="1190" ht="36.0" customHeight="1">
      <c r="A1190" s="2" t="s">
        <v>4914</v>
      </c>
      <c r="B1190" s="2" t="s">
        <v>4421</v>
      </c>
      <c r="C1190" s="2" t="s">
        <v>4915</v>
      </c>
      <c r="D1190" s="2" t="s">
        <v>4916</v>
      </c>
      <c r="E1190" s="2" t="s">
        <v>3661</v>
      </c>
      <c r="F1190" s="2" t="s">
        <v>4917</v>
      </c>
    </row>
    <row r="1191" ht="36.0" customHeight="1">
      <c r="A1191" s="3" t="s">
        <v>4918</v>
      </c>
      <c r="B1191" s="3" t="s">
        <v>4421</v>
      </c>
      <c r="C1191" s="3" t="s">
        <v>4919</v>
      </c>
      <c r="D1191" s="3" t="s">
        <v>4920</v>
      </c>
      <c r="E1191" s="3" t="s">
        <v>1583</v>
      </c>
      <c r="F1191" s="3" t="s">
        <v>4921</v>
      </c>
    </row>
    <row r="1192" ht="36.0" customHeight="1">
      <c r="A1192" s="2" t="s">
        <v>4922</v>
      </c>
      <c r="B1192" s="2" t="s">
        <v>4421</v>
      </c>
      <c r="C1192" s="2" t="s">
        <v>4923</v>
      </c>
      <c r="D1192" s="2" t="s">
        <v>4924</v>
      </c>
      <c r="E1192" s="2" t="s">
        <v>86</v>
      </c>
      <c r="F1192" s="2" t="s">
        <v>4925</v>
      </c>
    </row>
    <row r="1193" ht="36.0" customHeight="1">
      <c r="A1193" s="3" t="s">
        <v>4926</v>
      </c>
      <c r="B1193" s="3" t="s">
        <v>4421</v>
      </c>
      <c r="C1193" s="3" t="s">
        <v>4927</v>
      </c>
      <c r="D1193" s="3" t="s">
        <v>4928</v>
      </c>
      <c r="E1193" s="3" t="s">
        <v>91</v>
      </c>
      <c r="F1193" s="3" t="s">
        <v>4929</v>
      </c>
    </row>
    <row r="1194" ht="36.0" customHeight="1">
      <c r="A1194" s="2" t="s">
        <v>4930</v>
      </c>
      <c r="B1194" s="2" t="s">
        <v>4421</v>
      </c>
      <c r="C1194" s="2" t="s">
        <v>4931</v>
      </c>
      <c r="D1194" s="2" t="s">
        <v>4932</v>
      </c>
      <c r="E1194" s="2" t="s">
        <v>91</v>
      </c>
      <c r="F1194" s="2" t="s">
        <v>4933</v>
      </c>
    </row>
    <row r="1195" ht="36.0" customHeight="1">
      <c r="A1195" s="3" t="s">
        <v>4934</v>
      </c>
      <c r="B1195" s="3" t="s">
        <v>4421</v>
      </c>
      <c r="C1195" s="3" t="s">
        <v>4935</v>
      </c>
      <c r="D1195" s="3" t="s">
        <v>4936</v>
      </c>
      <c r="E1195" s="3" t="s">
        <v>91</v>
      </c>
      <c r="F1195" s="3" t="s">
        <v>4937</v>
      </c>
    </row>
    <row r="1196" ht="36.0" customHeight="1">
      <c r="A1196" s="2" t="s">
        <v>4938</v>
      </c>
      <c r="B1196" s="2" t="s">
        <v>4421</v>
      </c>
      <c r="C1196" s="2" t="s">
        <v>4939</v>
      </c>
      <c r="D1196" s="2" t="s">
        <v>4940</v>
      </c>
      <c r="E1196" s="2" t="s">
        <v>267</v>
      </c>
      <c r="F1196" s="2" t="s">
        <v>4941</v>
      </c>
    </row>
    <row r="1197" ht="36.0" customHeight="1">
      <c r="A1197" s="3" t="s">
        <v>4942</v>
      </c>
      <c r="B1197" s="3" t="s">
        <v>4421</v>
      </c>
      <c r="C1197" s="3" t="s">
        <v>4943</v>
      </c>
      <c r="D1197" s="3" t="s">
        <v>4944</v>
      </c>
      <c r="E1197" s="3" t="s">
        <v>2020</v>
      </c>
      <c r="F1197" s="3" t="s">
        <v>4945</v>
      </c>
    </row>
    <row r="1198" ht="36.0" customHeight="1">
      <c r="A1198" s="2" t="s">
        <v>4946</v>
      </c>
      <c r="B1198" s="2" t="s">
        <v>4421</v>
      </c>
      <c r="C1198" s="2" t="s">
        <v>4947</v>
      </c>
      <c r="D1198" s="2" t="s">
        <v>4948</v>
      </c>
      <c r="E1198" s="2" t="s">
        <v>362</v>
      </c>
      <c r="F1198" s="2" t="s">
        <v>4949</v>
      </c>
    </row>
    <row r="1199" ht="36.0" customHeight="1">
      <c r="A1199" s="3" t="s">
        <v>4950</v>
      </c>
      <c r="B1199" s="3" t="s">
        <v>4421</v>
      </c>
      <c r="C1199" s="3" t="s">
        <v>4951</v>
      </c>
      <c r="D1199" s="3" t="s">
        <v>4952</v>
      </c>
      <c r="E1199" s="3" t="s">
        <v>345</v>
      </c>
      <c r="F1199" s="3" t="s">
        <v>4953</v>
      </c>
    </row>
    <row r="1200" ht="36.0" customHeight="1">
      <c r="A1200" s="2" t="s">
        <v>4954</v>
      </c>
      <c r="B1200" s="2" t="s">
        <v>4421</v>
      </c>
      <c r="C1200" s="2" t="s">
        <v>4955</v>
      </c>
      <c r="D1200" s="2" t="s">
        <v>4956</v>
      </c>
      <c r="E1200" s="2" t="s">
        <v>345</v>
      </c>
      <c r="F1200" s="2" t="s">
        <v>4957</v>
      </c>
    </row>
    <row r="1201" ht="36.0" customHeight="1">
      <c r="A1201" s="3" t="s">
        <v>4958</v>
      </c>
      <c r="B1201" s="3" t="s">
        <v>4421</v>
      </c>
      <c r="C1201" s="3" t="s">
        <v>4959</v>
      </c>
      <c r="D1201" s="3" t="s">
        <v>4960</v>
      </c>
      <c r="E1201" s="3" t="s">
        <v>267</v>
      </c>
      <c r="F1201" s="3" t="s">
        <v>4961</v>
      </c>
    </row>
    <row r="1202" ht="36.0" customHeight="1">
      <c r="A1202" s="2" t="s">
        <v>4962</v>
      </c>
      <c r="B1202" s="2" t="s">
        <v>4421</v>
      </c>
      <c r="C1202" s="2" t="s">
        <v>4963</v>
      </c>
      <c r="D1202" s="2" t="s">
        <v>4964</v>
      </c>
      <c r="E1202" s="2" t="s">
        <v>229</v>
      </c>
      <c r="F1202" s="2" t="s">
        <v>4965</v>
      </c>
    </row>
    <row r="1203" ht="36.0" customHeight="1">
      <c r="A1203" s="3" t="s">
        <v>4966</v>
      </c>
      <c r="B1203" s="3" t="s">
        <v>4421</v>
      </c>
      <c r="C1203" s="3" t="s">
        <v>4967</v>
      </c>
      <c r="D1203" s="3" t="s">
        <v>4968</v>
      </c>
      <c r="E1203" s="3" t="s">
        <v>91</v>
      </c>
      <c r="F1203" s="3" t="s">
        <v>4969</v>
      </c>
    </row>
    <row r="1204" ht="36.0" customHeight="1">
      <c r="A1204" s="2" t="s">
        <v>4970</v>
      </c>
      <c r="B1204" s="2" t="s">
        <v>4421</v>
      </c>
      <c r="C1204" s="2" t="s">
        <v>4971</v>
      </c>
      <c r="D1204" s="2" t="s">
        <v>4972</v>
      </c>
      <c r="E1204" s="2" t="s">
        <v>267</v>
      </c>
      <c r="F1204" s="2" t="s">
        <v>4973</v>
      </c>
    </row>
    <row r="1205" ht="36.0" customHeight="1">
      <c r="A1205" s="3" t="s">
        <v>4974</v>
      </c>
      <c r="B1205" s="3" t="s">
        <v>4421</v>
      </c>
      <c r="C1205" s="3" t="s">
        <v>4975</v>
      </c>
      <c r="D1205" s="3" t="s">
        <v>4976</v>
      </c>
      <c r="E1205" s="3" t="s">
        <v>4607</v>
      </c>
      <c r="F1205" s="3" t="s">
        <v>4977</v>
      </c>
    </row>
    <row r="1206" ht="36.0" customHeight="1">
      <c r="A1206" s="2" t="s">
        <v>4978</v>
      </c>
      <c r="B1206" s="2" t="s">
        <v>4421</v>
      </c>
      <c r="C1206" s="2" t="s">
        <v>4979</v>
      </c>
      <c r="D1206" s="2" t="s">
        <v>4980</v>
      </c>
      <c r="E1206" s="2" t="s">
        <v>4607</v>
      </c>
      <c r="F1206" s="2" t="s">
        <v>4981</v>
      </c>
    </row>
    <row r="1207" ht="36.0" customHeight="1">
      <c r="A1207" s="3" t="s">
        <v>4982</v>
      </c>
      <c r="B1207" s="3" t="s">
        <v>4421</v>
      </c>
      <c r="C1207" s="3" t="s">
        <v>4983</v>
      </c>
      <c r="D1207" s="3" t="s">
        <v>4984</v>
      </c>
      <c r="E1207" s="3" t="s">
        <v>2010</v>
      </c>
      <c r="F1207" s="3" t="s">
        <v>4985</v>
      </c>
    </row>
    <row r="1208" ht="36.0" customHeight="1">
      <c r="A1208" s="2" t="s">
        <v>4986</v>
      </c>
      <c r="B1208" s="2" t="s">
        <v>4421</v>
      </c>
      <c r="C1208" s="2" t="s">
        <v>4987</v>
      </c>
      <c r="D1208" s="2" t="s">
        <v>4988</v>
      </c>
      <c r="E1208" s="2" t="s">
        <v>267</v>
      </c>
      <c r="F1208" s="2" t="s">
        <v>4989</v>
      </c>
    </row>
    <row r="1209" ht="36.0" customHeight="1">
      <c r="A1209" s="3" t="s">
        <v>4990</v>
      </c>
      <c r="B1209" s="3" t="s">
        <v>4421</v>
      </c>
      <c r="C1209" s="3" t="s">
        <v>4991</v>
      </c>
      <c r="D1209" s="3" t="s">
        <v>4992</v>
      </c>
      <c r="E1209" s="3" t="s">
        <v>1756</v>
      </c>
      <c r="F1209" s="3" t="s">
        <v>4993</v>
      </c>
    </row>
    <row r="1210" ht="36.0" customHeight="1">
      <c r="A1210" s="2" t="s">
        <v>4994</v>
      </c>
      <c r="B1210" s="2" t="s">
        <v>4421</v>
      </c>
      <c r="C1210" s="2" t="s">
        <v>4995</v>
      </c>
      <c r="D1210" s="2" t="s">
        <v>4996</v>
      </c>
      <c r="E1210" s="2" t="s">
        <v>1263</v>
      </c>
      <c r="F1210" s="2" t="s">
        <v>4997</v>
      </c>
    </row>
    <row r="1211" ht="36.0" customHeight="1">
      <c r="A1211" s="3" t="s">
        <v>4998</v>
      </c>
      <c r="B1211" s="3" t="s">
        <v>4421</v>
      </c>
      <c r="C1211" s="3" t="s">
        <v>4999</v>
      </c>
      <c r="D1211" s="3" t="s">
        <v>5000</v>
      </c>
      <c r="E1211" s="3" t="s">
        <v>2733</v>
      </c>
      <c r="F1211" s="3" t="s">
        <v>5001</v>
      </c>
    </row>
    <row r="1212" ht="36.0" customHeight="1">
      <c r="A1212" s="2" t="s">
        <v>5002</v>
      </c>
      <c r="B1212" s="2" t="s">
        <v>4421</v>
      </c>
      <c r="C1212" s="2" t="s">
        <v>5003</v>
      </c>
      <c r="D1212" s="2" t="s">
        <v>5004</v>
      </c>
      <c r="E1212" s="2" t="s">
        <v>1297</v>
      </c>
      <c r="F1212" s="2" t="s">
        <v>5005</v>
      </c>
    </row>
    <row r="1213" ht="36.0" customHeight="1">
      <c r="A1213" s="3" t="s">
        <v>5006</v>
      </c>
      <c r="B1213" s="3" t="s">
        <v>4421</v>
      </c>
      <c r="C1213" s="3" t="s">
        <v>5007</v>
      </c>
      <c r="D1213" s="3" t="s">
        <v>5008</v>
      </c>
      <c r="E1213" s="3" t="s">
        <v>19</v>
      </c>
      <c r="F1213" s="3" t="s">
        <v>5009</v>
      </c>
    </row>
    <row r="1214" ht="36.0" customHeight="1">
      <c r="A1214" s="2" t="s">
        <v>5010</v>
      </c>
      <c r="B1214" s="2" t="s">
        <v>4421</v>
      </c>
      <c r="C1214" s="2" t="s">
        <v>5011</v>
      </c>
      <c r="D1214" s="2" t="s">
        <v>5012</v>
      </c>
      <c r="E1214" s="2" t="s">
        <v>19</v>
      </c>
      <c r="F1214" s="2" t="s">
        <v>5013</v>
      </c>
    </row>
    <row r="1215" ht="36.0" customHeight="1">
      <c r="A1215" s="3" t="s">
        <v>5014</v>
      </c>
      <c r="B1215" s="3" t="s">
        <v>4421</v>
      </c>
      <c r="C1215" s="3" t="s">
        <v>5015</v>
      </c>
      <c r="D1215" s="3" t="s">
        <v>5016</v>
      </c>
      <c r="E1215" s="3" t="s">
        <v>47</v>
      </c>
      <c r="F1215" s="3" t="s">
        <v>5017</v>
      </c>
    </row>
    <row r="1216" ht="36.0" customHeight="1">
      <c r="A1216" s="2" t="s">
        <v>5018</v>
      </c>
      <c r="B1216" s="2" t="s">
        <v>4421</v>
      </c>
      <c r="C1216" s="2" t="s">
        <v>5019</v>
      </c>
      <c r="D1216" s="2" t="s">
        <v>5020</v>
      </c>
      <c r="E1216" s="2" t="s">
        <v>207</v>
      </c>
      <c r="F1216" s="2" t="s">
        <v>5021</v>
      </c>
    </row>
    <row r="1217" ht="36.0" customHeight="1">
      <c r="A1217" s="3" t="s">
        <v>5022</v>
      </c>
      <c r="B1217" s="3" t="s">
        <v>4421</v>
      </c>
      <c r="C1217" s="3" t="s">
        <v>5023</v>
      </c>
      <c r="D1217" s="3" t="s">
        <v>5024</v>
      </c>
      <c r="E1217" s="3" t="s">
        <v>71</v>
      </c>
      <c r="F1217" s="3" t="s">
        <v>5025</v>
      </c>
    </row>
    <row r="1218" ht="36.0" customHeight="1">
      <c r="A1218" s="2" t="s">
        <v>5026</v>
      </c>
      <c r="B1218" s="2" t="s">
        <v>4421</v>
      </c>
      <c r="C1218" s="2" t="s">
        <v>5027</v>
      </c>
      <c r="D1218" s="2" t="s">
        <v>5028</v>
      </c>
      <c r="E1218" s="2" t="s">
        <v>224</v>
      </c>
      <c r="F1218" s="2" t="s">
        <v>5029</v>
      </c>
    </row>
    <row r="1219" ht="36.0" customHeight="1">
      <c r="A1219" s="3" t="s">
        <v>5030</v>
      </c>
      <c r="B1219" s="3" t="s">
        <v>4421</v>
      </c>
      <c r="C1219" s="3" t="s">
        <v>5031</v>
      </c>
      <c r="D1219" s="3" t="s">
        <v>5032</v>
      </c>
      <c r="E1219" s="3" t="s">
        <v>5033</v>
      </c>
      <c r="F1219" s="3" t="s">
        <v>5034</v>
      </c>
    </row>
    <row r="1220" ht="36.0" customHeight="1">
      <c r="A1220" s="2" t="s">
        <v>5035</v>
      </c>
      <c r="B1220" s="2" t="s">
        <v>4421</v>
      </c>
      <c r="C1220" s="2" t="s">
        <v>5036</v>
      </c>
      <c r="D1220" s="2" t="s">
        <v>5037</v>
      </c>
      <c r="E1220" s="2" t="s">
        <v>5038</v>
      </c>
      <c r="F1220" s="2" t="s">
        <v>5039</v>
      </c>
    </row>
    <row r="1221" ht="36.0" customHeight="1">
      <c r="A1221" s="3" t="s">
        <v>5040</v>
      </c>
      <c r="B1221" s="3" t="s">
        <v>4421</v>
      </c>
      <c r="C1221" s="3" t="s">
        <v>5041</v>
      </c>
      <c r="D1221" s="3" t="s">
        <v>5042</v>
      </c>
      <c r="E1221" s="3" t="s">
        <v>1855</v>
      </c>
      <c r="F1221" s="3" t="s">
        <v>5043</v>
      </c>
    </row>
    <row r="1222" ht="36.0" customHeight="1">
      <c r="A1222" s="2" t="s">
        <v>5044</v>
      </c>
      <c r="B1222" s="2" t="s">
        <v>4421</v>
      </c>
      <c r="C1222" s="2" t="s">
        <v>5045</v>
      </c>
      <c r="D1222" s="2" t="s">
        <v>5046</v>
      </c>
      <c r="E1222" s="2" t="s">
        <v>1855</v>
      </c>
      <c r="F1222" s="2" t="s">
        <v>5047</v>
      </c>
    </row>
    <row r="1223" ht="36.0" customHeight="1">
      <c r="A1223" s="3" t="s">
        <v>5048</v>
      </c>
      <c r="B1223" s="3" t="s">
        <v>4421</v>
      </c>
      <c r="C1223" s="3" t="s">
        <v>5049</v>
      </c>
      <c r="D1223" s="3" t="s">
        <v>5050</v>
      </c>
      <c r="E1223" s="3" t="s">
        <v>1855</v>
      </c>
      <c r="F1223" s="3" t="s">
        <v>5051</v>
      </c>
    </row>
    <row r="1224" ht="36.0" customHeight="1">
      <c r="A1224" s="2" t="s">
        <v>5052</v>
      </c>
      <c r="B1224" s="2" t="s">
        <v>4421</v>
      </c>
      <c r="C1224" s="2" t="s">
        <v>5053</v>
      </c>
      <c r="D1224" s="2" t="s">
        <v>5054</v>
      </c>
      <c r="E1224" s="2" t="s">
        <v>1855</v>
      </c>
      <c r="F1224" s="2" t="s">
        <v>5055</v>
      </c>
    </row>
    <row r="1225" ht="36.0" customHeight="1">
      <c r="A1225" s="3" t="s">
        <v>5056</v>
      </c>
      <c r="B1225" s="3" t="s">
        <v>4421</v>
      </c>
      <c r="C1225" s="3" t="s">
        <v>5057</v>
      </c>
      <c r="D1225" s="3" t="s">
        <v>5058</v>
      </c>
      <c r="E1225" s="3" t="s">
        <v>1855</v>
      </c>
      <c r="F1225" s="3" t="s">
        <v>5059</v>
      </c>
    </row>
    <row r="1226" ht="36.0" customHeight="1">
      <c r="A1226" s="2" t="s">
        <v>5060</v>
      </c>
      <c r="B1226" s="2" t="s">
        <v>4421</v>
      </c>
      <c r="C1226" s="2" t="s">
        <v>5061</v>
      </c>
      <c r="D1226" s="2" t="s">
        <v>5062</v>
      </c>
      <c r="E1226" s="2" t="s">
        <v>608</v>
      </c>
      <c r="F1226" s="2" t="s">
        <v>5063</v>
      </c>
    </row>
    <row r="1227" ht="36.0" customHeight="1">
      <c r="A1227" s="3" t="s">
        <v>5064</v>
      </c>
      <c r="B1227" s="3" t="s">
        <v>4421</v>
      </c>
      <c r="C1227" s="3" t="s">
        <v>5065</v>
      </c>
      <c r="D1227" s="3" t="s">
        <v>5066</v>
      </c>
      <c r="E1227" s="3" t="s">
        <v>608</v>
      </c>
      <c r="F1227" s="3" t="s">
        <v>5067</v>
      </c>
    </row>
    <row r="1228" ht="36.0" customHeight="1">
      <c r="A1228" s="2" t="s">
        <v>5068</v>
      </c>
      <c r="B1228" s="2" t="s">
        <v>4421</v>
      </c>
      <c r="C1228" s="2" t="s">
        <v>5069</v>
      </c>
      <c r="D1228" s="2" t="s">
        <v>5070</v>
      </c>
      <c r="E1228" s="2" t="s">
        <v>1855</v>
      </c>
      <c r="F1228" s="2" t="s">
        <v>5071</v>
      </c>
    </row>
    <row r="1229" ht="36.0" customHeight="1">
      <c r="A1229" s="3" t="s">
        <v>5072</v>
      </c>
      <c r="B1229" s="3" t="s">
        <v>4421</v>
      </c>
      <c r="C1229" s="3" t="s">
        <v>5073</v>
      </c>
      <c r="D1229" s="3" t="s">
        <v>5074</v>
      </c>
      <c r="E1229" s="3" t="s">
        <v>1297</v>
      </c>
      <c r="F1229" s="3" t="s">
        <v>5075</v>
      </c>
    </row>
    <row r="1230" ht="36.0" customHeight="1">
      <c r="A1230" s="2" t="s">
        <v>5076</v>
      </c>
      <c r="B1230" s="2" t="s">
        <v>4421</v>
      </c>
      <c r="C1230" s="2" t="s">
        <v>5077</v>
      </c>
      <c r="D1230" s="2" t="s">
        <v>5078</v>
      </c>
      <c r="E1230" s="2" t="s">
        <v>101</v>
      </c>
      <c r="F1230" s="2" t="s">
        <v>5079</v>
      </c>
    </row>
    <row r="1231" ht="36.0" customHeight="1">
      <c r="A1231" s="3" t="s">
        <v>5080</v>
      </c>
      <c r="B1231" s="3" t="s">
        <v>4421</v>
      </c>
      <c r="C1231" s="3" t="s">
        <v>5081</v>
      </c>
      <c r="D1231" s="3" t="s">
        <v>5082</v>
      </c>
      <c r="E1231" s="3" t="s">
        <v>2355</v>
      </c>
      <c r="F1231" s="3" t="s">
        <v>5083</v>
      </c>
    </row>
    <row r="1232" ht="36.0" customHeight="1">
      <c r="A1232" s="2" t="s">
        <v>5084</v>
      </c>
      <c r="B1232" s="2" t="s">
        <v>4421</v>
      </c>
      <c r="C1232" s="2" t="s">
        <v>5085</v>
      </c>
      <c r="D1232" s="2" t="s">
        <v>5086</v>
      </c>
      <c r="E1232" s="2" t="s">
        <v>5087</v>
      </c>
      <c r="F1232" s="2" t="s">
        <v>5088</v>
      </c>
    </row>
    <row r="1233" ht="36.0" customHeight="1">
      <c r="A1233" s="3" t="s">
        <v>5089</v>
      </c>
      <c r="B1233" s="3" t="s">
        <v>4421</v>
      </c>
      <c r="C1233" s="3" t="s">
        <v>5090</v>
      </c>
      <c r="D1233" s="3" t="s">
        <v>5091</v>
      </c>
      <c r="E1233" s="3" t="s">
        <v>5087</v>
      </c>
      <c r="F1233" s="3" t="s">
        <v>5092</v>
      </c>
    </row>
    <row r="1234" ht="36.0" customHeight="1">
      <c r="A1234" s="2" t="s">
        <v>5093</v>
      </c>
      <c r="B1234" s="2" t="s">
        <v>4421</v>
      </c>
      <c r="C1234" s="2" t="s">
        <v>5094</v>
      </c>
      <c r="D1234" s="2" t="s">
        <v>5095</v>
      </c>
      <c r="E1234" s="2" t="s">
        <v>345</v>
      </c>
      <c r="F1234" s="2" t="s">
        <v>5096</v>
      </c>
    </row>
    <row r="1235" ht="36.0" customHeight="1">
      <c r="A1235" s="3" t="s">
        <v>5097</v>
      </c>
      <c r="B1235" s="3" t="s">
        <v>4421</v>
      </c>
      <c r="C1235" s="3" t="s">
        <v>5098</v>
      </c>
      <c r="D1235" s="3" t="s">
        <v>5099</v>
      </c>
      <c r="E1235" s="3" t="s">
        <v>345</v>
      </c>
      <c r="F1235" s="3" t="s">
        <v>5100</v>
      </c>
    </row>
    <row r="1236" ht="36.0" customHeight="1">
      <c r="A1236" s="2" t="s">
        <v>5101</v>
      </c>
      <c r="B1236" s="2" t="s">
        <v>4421</v>
      </c>
      <c r="C1236" s="2" t="s">
        <v>5102</v>
      </c>
      <c r="D1236" s="2" t="s">
        <v>5103</v>
      </c>
      <c r="E1236" s="2" t="s">
        <v>2855</v>
      </c>
      <c r="F1236" s="2" t="s">
        <v>5104</v>
      </c>
    </row>
    <row r="1237" ht="36.0" customHeight="1">
      <c r="A1237" s="3" t="s">
        <v>5105</v>
      </c>
      <c r="B1237" s="3" t="s">
        <v>4421</v>
      </c>
      <c r="C1237" s="3" t="s">
        <v>5106</v>
      </c>
      <c r="D1237" s="3" t="s">
        <v>5107</v>
      </c>
      <c r="E1237" s="3" t="s">
        <v>2855</v>
      </c>
      <c r="F1237" s="3" t="s">
        <v>5108</v>
      </c>
    </row>
    <row r="1238" ht="36.0" customHeight="1">
      <c r="A1238" s="2" t="s">
        <v>5109</v>
      </c>
      <c r="B1238" s="2" t="s">
        <v>5110</v>
      </c>
      <c r="C1238" s="2" t="s">
        <v>5111</v>
      </c>
      <c r="D1238" s="2" t="s">
        <v>5112</v>
      </c>
      <c r="E1238" s="2" t="s">
        <v>430</v>
      </c>
      <c r="F1238" s="2" t="s">
        <v>5113</v>
      </c>
    </row>
    <row r="1239" ht="36.0" customHeight="1">
      <c r="A1239" s="3" t="s">
        <v>5114</v>
      </c>
      <c r="B1239" s="3" t="s">
        <v>5110</v>
      </c>
      <c r="C1239" s="3" t="s">
        <v>5115</v>
      </c>
      <c r="D1239" s="3" t="s">
        <v>5116</v>
      </c>
      <c r="E1239" s="3" t="s">
        <v>24</v>
      </c>
      <c r="F1239" s="3" t="s">
        <v>5117</v>
      </c>
    </row>
    <row r="1240" ht="36.0" customHeight="1">
      <c r="A1240" s="2" t="s">
        <v>5118</v>
      </c>
      <c r="B1240" s="2" t="s">
        <v>5110</v>
      </c>
      <c r="C1240" s="2" t="s">
        <v>5119</v>
      </c>
      <c r="D1240" s="2" t="s">
        <v>5120</v>
      </c>
      <c r="E1240" s="2" t="s">
        <v>19</v>
      </c>
      <c r="F1240" s="2" t="s">
        <v>5121</v>
      </c>
    </row>
    <row r="1241" ht="36.0" customHeight="1">
      <c r="A1241" s="3" t="s">
        <v>5122</v>
      </c>
      <c r="B1241" s="3" t="s">
        <v>5110</v>
      </c>
      <c r="C1241" s="3" t="s">
        <v>5123</v>
      </c>
      <c r="D1241" s="3" t="s">
        <v>5120</v>
      </c>
      <c r="E1241" s="3" t="s">
        <v>19</v>
      </c>
      <c r="F1241" s="3" t="s">
        <v>5124</v>
      </c>
    </row>
    <row r="1242" ht="36.0" customHeight="1">
      <c r="A1242" s="2" t="s">
        <v>5125</v>
      </c>
      <c r="B1242" s="2" t="s">
        <v>5110</v>
      </c>
      <c r="C1242" s="2" t="s">
        <v>5126</v>
      </c>
      <c r="D1242" s="2" t="s">
        <v>5127</v>
      </c>
      <c r="E1242" s="2" t="s">
        <v>19</v>
      </c>
      <c r="F1242" s="2" t="s">
        <v>5128</v>
      </c>
    </row>
    <row r="1243" ht="36.0" customHeight="1">
      <c r="A1243" s="3" t="s">
        <v>5129</v>
      </c>
      <c r="B1243" s="3" t="s">
        <v>5110</v>
      </c>
      <c r="C1243" s="3" t="s">
        <v>5130</v>
      </c>
      <c r="D1243" s="3" t="s">
        <v>5131</v>
      </c>
      <c r="E1243" s="3" t="s">
        <v>19</v>
      </c>
      <c r="F1243" s="3" t="s">
        <v>5132</v>
      </c>
    </row>
    <row r="1244" ht="36.0" customHeight="1">
      <c r="A1244" s="2" t="s">
        <v>5133</v>
      </c>
      <c r="B1244" s="2" t="s">
        <v>5110</v>
      </c>
      <c r="C1244" s="2" t="s">
        <v>5134</v>
      </c>
      <c r="D1244" s="2" t="s">
        <v>5135</v>
      </c>
      <c r="E1244" s="2" t="s">
        <v>52</v>
      </c>
      <c r="F1244" s="2" t="s">
        <v>5136</v>
      </c>
    </row>
    <row r="1245" ht="36.0" customHeight="1">
      <c r="A1245" s="3" t="s">
        <v>5137</v>
      </c>
      <c r="B1245" s="3" t="s">
        <v>5110</v>
      </c>
      <c r="C1245" s="3" t="s">
        <v>5138</v>
      </c>
      <c r="D1245" s="3" t="s">
        <v>5139</v>
      </c>
      <c r="E1245" s="3" t="s">
        <v>52</v>
      </c>
      <c r="F1245" s="3" t="s">
        <v>5140</v>
      </c>
    </row>
    <row r="1246" ht="36.0" customHeight="1">
      <c r="A1246" s="2" t="s">
        <v>5141</v>
      </c>
      <c r="B1246" s="2" t="s">
        <v>5110</v>
      </c>
      <c r="C1246" s="2" t="s">
        <v>5142</v>
      </c>
      <c r="D1246" s="2" t="s">
        <v>5143</v>
      </c>
      <c r="E1246" s="2" t="s">
        <v>52</v>
      </c>
      <c r="F1246" s="2" t="s">
        <v>5144</v>
      </c>
    </row>
    <row r="1247" ht="36.0" customHeight="1">
      <c r="A1247" s="3" t="s">
        <v>5145</v>
      </c>
      <c r="B1247" s="3" t="s">
        <v>5110</v>
      </c>
      <c r="C1247" s="3" t="s">
        <v>5146</v>
      </c>
      <c r="D1247" s="3" t="s">
        <v>5147</v>
      </c>
      <c r="E1247" s="3" t="s">
        <v>52</v>
      </c>
      <c r="F1247" s="3" t="s">
        <v>5148</v>
      </c>
    </row>
    <row r="1248" ht="36.0" customHeight="1">
      <c r="A1248" s="2" t="s">
        <v>5149</v>
      </c>
      <c r="B1248" s="2" t="s">
        <v>5110</v>
      </c>
      <c r="C1248" s="2" t="s">
        <v>5150</v>
      </c>
      <c r="D1248" s="2" t="s">
        <v>5151</v>
      </c>
      <c r="E1248" s="2" t="s">
        <v>52</v>
      </c>
      <c r="F1248" s="2" t="s">
        <v>5152</v>
      </c>
    </row>
    <row r="1249" ht="36.0" customHeight="1">
      <c r="A1249" s="3" t="s">
        <v>5153</v>
      </c>
      <c r="B1249" s="3" t="s">
        <v>5110</v>
      </c>
      <c r="C1249" s="3" t="s">
        <v>5154</v>
      </c>
      <c r="D1249" s="3" t="s">
        <v>5155</v>
      </c>
      <c r="E1249" s="3" t="s">
        <v>52</v>
      </c>
      <c r="F1249" s="3" t="s">
        <v>5156</v>
      </c>
    </row>
    <row r="1250" ht="36.0" customHeight="1">
      <c r="A1250" s="2" t="s">
        <v>5157</v>
      </c>
      <c r="B1250" s="2" t="s">
        <v>5110</v>
      </c>
      <c r="C1250" s="2" t="s">
        <v>5158</v>
      </c>
      <c r="D1250" s="2" t="s">
        <v>5159</v>
      </c>
      <c r="E1250" s="2" t="s">
        <v>207</v>
      </c>
      <c r="F1250" s="2" t="s">
        <v>5160</v>
      </c>
    </row>
    <row r="1251" ht="36.0" customHeight="1">
      <c r="A1251" s="3" t="s">
        <v>5161</v>
      </c>
      <c r="B1251" s="3" t="s">
        <v>5110</v>
      </c>
      <c r="C1251" s="3" t="s">
        <v>5162</v>
      </c>
      <c r="D1251" s="3" t="s">
        <v>5163</v>
      </c>
      <c r="E1251" s="3" t="s">
        <v>229</v>
      </c>
      <c r="F1251" s="3" t="s">
        <v>5164</v>
      </c>
    </row>
    <row r="1252" ht="36.0" customHeight="1">
      <c r="A1252" s="2" t="s">
        <v>5165</v>
      </c>
      <c r="B1252" s="2" t="s">
        <v>5110</v>
      </c>
      <c r="C1252" s="2" t="s">
        <v>5166</v>
      </c>
      <c r="D1252" s="2" t="s">
        <v>5167</v>
      </c>
      <c r="E1252" s="2" t="s">
        <v>5168</v>
      </c>
      <c r="F1252" s="2" t="s">
        <v>5169</v>
      </c>
    </row>
    <row r="1253" ht="36.0" customHeight="1">
      <c r="A1253" s="3" t="s">
        <v>5170</v>
      </c>
      <c r="B1253" s="3" t="s">
        <v>5110</v>
      </c>
      <c r="C1253" s="3" t="s">
        <v>5171</v>
      </c>
      <c r="D1253" s="3" t="s">
        <v>5172</v>
      </c>
      <c r="E1253" s="3" t="s">
        <v>517</v>
      </c>
      <c r="F1253" s="3" t="s">
        <v>5173</v>
      </c>
    </row>
    <row r="1254" ht="36.0" customHeight="1">
      <c r="A1254" s="2" t="s">
        <v>5174</v>
      </c>
      <c r="B1254" s="2" t="s">
        <v>5110</v>
      </c>
      <c r="C1254" s="2" t="s">
        <v>5175</v>
      </c>
      <c r="D1254" s="2" t="s">
        <v>5176</v>
      </c>
      <c r="E1254" s="2" t="s">
        <v>62</v>
      </c>
      <c r="F1254" s="2" t="s">
        <v>5177</v>
      </c>
    </row>
    <row r="1255" ht="36.0" customHeight="1">
      <c r="A1255" s="3" t="s">
        <v>5178</v>
      </c>
      <c r="B1255" s="3" t="s">
        <v>5110</v>
      </c>
      <c r="C1255" s="3" t="s">
        <v>5179</v>
      </c>
      <c r="D1255" s="3" t="s">
        <v>5180</v>
      </c>
      <c r="E1255" s="3" t="s">
        <v>62</v>
      </c>
      <c r="F1255" s="3" t="s">
        <v>5181</v>
      </c>
    </row>
    <row r="1256" ht="36.0" customHeight="1">
      <c r="A1256" s="2" t="s">
        <v>5182</v>
      </c>
      <c r="B1256" s="2" t="s">
        <v>5110</v>
      </c>
      <c r="C1256" s="2" t="s">
        <v>5183</v>
      </c>
      <c r="D1256" s="2" t="s">
        <v>5184</v>
      </c>
      <c r="E1256" s="2" t="s">
        <v>62</v>
      </c>
      <c r="F1256" s="2" t="s">
        <v>5185</v>
      </c>
    </row>
    <row r="1257" ht="36.0" customHeight="1">
      <c r="A1257" s="3" t="s">
        <v>5186</v>
      </c>
      <c r="B1257" s="3" t="s">
        <v>5110</v>
      </c>
      <c r="C1257" s="3" t="s">
        <v>5187</v>
      </c>
      <c r="D1257" s="3" t="s">
        <v>5188</v>
      </c>
      <c r="E1257" s="3" t="s">
        <v>62</v>
      </c>
      <c r="F1257" s="3" t="s">
        <v>5189</v>
      </c>
    </row>
    <row r="1258" ht="36.0" customHeight="1">
      <c r="A1258" s="2" t="s">
        <v>5190</v>
      </c>
      <c r="B1258" s="2" t="s">
        <v>5110</v>
      </c>
      <c r="C1258" s="2" t="s">
        <v>5191</v>
      </c>
      <c r="D1258" s="2" t="s">
        <v>5192</v>
      </c>
      <c r="E1258" s="2" t="s">
        <v>62</v>
      </c>
      <c r="F1258" s="2" t="s">
        <v>5193</v>
      </c>
    </row>
    <row r="1259" ht="36.0" customHeight="1">
      <c r="A1259" s="3" t="s">
        <v>5194</v>
      </c>
      <c r="B1259" s="3" t="s">
        <v>5110</v>
      </c>
      <c r="C1259" s="3" t="s">
        <v>5195</v>
      </c>
      <c r="D1259" s="3" t="s">
        <v>5196</v>
      </c>
      <c r="E1259" s="3" t="s">
        <v>1102</v>
      </c>
      <c r="F1259" s="3" t="s">
        <v>5197</v>
      </c>
    </row>
    <row r="1260" ht="36.0" customHeight="1">
      <c r="A1260" s="2" t="s">
        <v>5198</v>
      </c>
      <c r="B1260" s="2" t="s">
        <v>5110</v>
      </c>
      <c r="C1260" s="2" t="s">
        <v>5199</v>
      </c>
      <c r="D1260" s="2" t="s">
        <v>5200</v>
      </c>
      <c r="E1260" s="2" t="s">
        <v>2811</v>
      </c>
      <c r="F1260" s="2" t="s">
        <v>5201</v>
      </c>
    </row>
    <row r="1261" ht="36.0" customHeight="1">
      <c r="A1261" s="3" t="s">
        <v>5202</v>
      </c>
      <c r="B1261" s="3" t="s">
        <v>5110</v>
      </c>
      <c r="C1261" s="3" t="s">
        <v>5203</v>
      </c>
      <c r="D1261" s="3" t="s">
        <v>5204</v>
      </c>
      <c r="E1261" s="3" t="s">
        <v>1102</v>
      </c>
      <c r="F1261" s="3" t="s">
        <v>5205</v>
      </c>
    </row>
    <row r="1262" ht="36.0" customHeight="1">
      <c r="A1262" s="2" t="s">
        <v>5206</v>
      </c>
      <c r="B1262" s="2" t="s">
        <v>5110</v>
      </c>
      <c r="C1262" s="2" t="s">
        <v>5207</v>
      </c>
      <c r="D1262" s="2" t="s">
        <v>5208</v>
      </c>
      <c r="E1262" s="2" t="s">
        <v>1102</v>
      </c>
      <c r="F1262" s="2" t="s">
        <v>5209</v>
      </c>
    </row>
    <row r="1263" ht="36.0" customHeight="1">
      <c r="A1263" s="3" t="s">
        <v>5210</v>
      </c>
      <c r="B1263" s="3" t="s">
        <v>5110</v>
      </c>
      <c r="C1263" s="3" t="s">
        <v>5211</v>
      </c>
      <c r="D1263" s="3" t="s">
        <v>5212</v>
      </c>
      <c r="E1263" s="3" t="s">
        <v>695</v>
      </c>
      <c r="F1263" s="3" t="s">
        <v>5213</v>
      </c>
    </row>
    <row r="1264" ht="36.0" customHeight="1">
      <c r="A1264" s="2" t="s">
        <v>5214</v>
      </c>
      <c r="B1264" s="2" t="s">
        <v>5110</v>
      </c>
      <c r="C1264" s="2" t="s">
        <v>5215</v>
      </c>
      <c r="D1264" s="2" t="s">
        <v>5216</v>
      </c>
      <c r="E1264" s="2" t="s">
        <v>695</v>
      </c>
      <c r="F1264" s="2" t="s">
        <v>5217</v>
      </c>
    </row>
    <row r="1265" ht="36.0" customHeight="1">
      <c r="A1265" s="3" t="s">
        <v>5218</v>
      </c>
      <c r="B1265" s="3" t="s">
        <v>5110</v>
      </c>
      <c r="C1265" s="3" t="s">
        <v>5219</v>
      </c>
      <c r="D1265" s="3" t="s">
        <v>5220</v>
      </c>
      <c r="E1265" s="3" t="s">
        <v>695</v>
      </c>
      <c r="F1265" s="3" t="s">
        <v>5221</v>
      </c>
    </row>
    <row r="1266" ht="36.0" customHeight="1">
      <c r="A1266" s="2" t="s">
        <v>5222</v>
      </c>
      <c r="B1266" s="2" t="s">
        <v>5110</v>
      </c>
      <c r="C1266" s="2" t="s">
        <v>5223</v>
      </c>
      <c r="D1266" s="2" t="s">
        <v>5224</v>
      </c>
      <c r="E1266" s="2" t="s">
        <v>695</v>
      </c>
      <c r="F1266" s="2" t="s">
        <v>5225</v>
      </c>
    </row>
    <row r="1267" ht="36.0" customHeight="1">
      <c r="A1267" s="3" t="s">
        <v>5226</v>
      </c>
      <c r="B1267" s="3" t="s">
        <v>5110</v>
      </c>
      <c r="C1267" s="3" t="s">
        <v>5227</v>
      </c>
      <c r="D1267" s="3" t="s">
        <v>5228</v>
      </c>
      <c r="E1267" s="3" t="s">
        <v>1197</v>
      </c>
      <c r="F1267" s="3" t="s">
        <v>5229</v>
      </c>
    </row>
    <row r="1268" ht="36.0" customHeight="1">
      <c r="A1268" s="2" t="s">
        <v>5230</v>
      </c>
      <c r="B1268" s="2" t="s">
        <v>5110</v>
      </c>
      <c r="C1268" s="2" t="s">
        <v>5231</v>
      </c>
      <c r="D1268" s="2" t="s">
        <v>5232</v>
      </c>
      <c r="E1268" s="2" t="s">
        <v>1846</v>
      </c>
      <c r="F1268" s="2" t="s">
        <v>5233</v>
      </c>
    </row>
    <row r="1269" ht="36.0" customHeight="1">
      <c r="A1269" s="3" t="s">
        <v>5234</v>
      </c>
      <c r="B1269" s="3" t="s">
        <v>5110</v>
      </c>
      <c r="C1269" s="3" t="s">
        <v>5235</v>
      </c>
      <c r="D1269" s="3" t="s">
        <v>5236</v>
      </c>
      <c r="E1269" s="3" t="s">
        <v>1846</v>
      </c>
      <c r="F1269" s="3" t="s">
        <v>5237</v>
      </c>
    </row>
    <row r="1270" ht="36.0" customHeight="1">
      <c r="A1270" s="2" t="s">
        <v>5238</v>
      </c>
      <c r="B1270" s="2" t="s">
        <v>5110</v>
      </c>
      <c r="C1270" s="2" t="s">
        <v>5239</v>
      </c>
      <c r="D1270" s="2" t="s">
        <v>5240</v>
      </c>
      <c r="E1270" s="2" t="s">
        <v>2982</v>
      </c>
      <c r="F1270" s="2" t="s">
        <v>5241</v>
      </c>
    </row>
    <row r="1271" ht="36.0" customHeight="1">
      <c r="A1271" s="3" t="s">
        <v>5242</v>
      </c>
      <c r="B1271" s="3" t="s">
        <v>5110</v>
      </c>
      <c r="C1271" s="3" t="s">
        <v>5243</v>
      </c>
      <c r="D1271" s="3" t="s">
        <v>5244</v>
      </c>
      <c r="E1271" s="3" t="s">
        <v>96</v>
      </c>
      <c r="F1271" s="3" t="s">
        <v>5245</v>
      </c>
    </row>
    <row r="1272" ht="36.0" customHeight="1">
      <c r="A1272" s="2" t="s">
        <v>5246</v>
      </c>
      <c r="B1272" s="2" t="s">
        <v>5110</v>
      </c>
      <c r="C1272" s="2" t="s">
        <v>5247</v>
      </c>
      <c r="D1272" s="2" t="s">
        <v>5248</v>
      </c>
      <c r="E1272" s="2" t="s">
        <v>96</v>
      </c>
      <c r="F1272" s="2" t="s">
        <v>5249</v>
      </c>
    </row>
    <row r="1273" ht="36.0" customHeight="1">
      <c r="A1273" s="3" t="s">
        <v>5250</v>
      </c>
      <c r="B1273" s="3" t="s">
        <v>5110</v>
      </c>
      <c r="C1273" s="3" t="s">
        <v>5251</v>
      </c>
      <c r="D1273" s="3" t="s">
        <v>5252</v>
      </c>
      <c r="E1273" s="3" t="s">
        <v>96</v>
      </c>
      <c r="F1273" s="3" t="s">
        <v>5253</v>
      </c>
    </row>
    <row r="1274" ht="36.0" customHeight="1">
      <c r="A1274" s="2" t="s">
        <v>5254</v>
      </c>
      <c r="B1274" s="2" t="s">
        <v>5110</v>
      </c>
      <c r="C1274" s="2" t="s">
        <v>5255</v>
      </c>
      <c r="D1274" s="2" t="s">
        <v>5256</v>
      </c>
      <c r="E1274" s="2" t="s">
        <v>1350</v>
      </c>
      <c r="F1274" s="2" t="s">
        <v>5257</v>
      </c>
    </row>
    <row r="1275" ht="36.0" customHeight="1">
      <c r="A1275" s="3" t="s">
        <v>5258</v>
      </c>
      <c r="B1275" s="3" t="s">
        <v>5110</v>
      </c>
      <c r="C1275" s="3" t="s">
        <v>5259</v>
      </c>
      <c r="D1275" s="3" t="s">
        <v>5260</v>
      </c>
      <c r="E1275" s="3" t="s">
        <v>3473</v>
      </c>
      <c r="F1275" s="3" t="s">
        <v>5261</v>
      </c>
    </row>
    <row r="1276" ht="36.0" customHeight="1">
      <c r="A1276" s="2" t="s">
        <v>5262</v>
      </c>
      <c r="B1276" s="2" t="s">
        <v>5110</v>
      </c>
      <c r="C1276" s="2" t="s">
        <v>5263</v>
      </c>
      <c r="D1276" s="2" t="s">
        <v>5264</v>
      </c>
      <c r="E1276" s="2" t="s">
        <v>1583</v>
      </c>
      <c r="F1276" s="2" t="s">
        <v>5265</v>
      </c>
    </row>
    <row r="1277" ht="36.0" customHeight="1">
      <c r="A1277" s="3" t="s">
        <v>5266</v>
      </c>
      <c r="B1277" s="3" t="s">
        <v>5110</v>
      </c>
      <c r="C1277" s="3" t="s">
        <v>5267</v>
      </c>
      <c r="D1277" s="3" t="s">
        <v>5268</v>
      </c>
      <c r="E1277" s="3" t="s">
        <v>1511</v>
      </c>
      <c r="F1277" s="3" t="s">
        <v>5269</v>
      </c>
    </row>
    <row r="1278" ht="36.0" customHeight="1">
      <c r="A1278" s="2" t="s">
        <v>5270</v>
      </c>
      <c r="B1278" s="2" t="s">
        <v>5110</v>
      </c>
      <c r="C1278" s="2" t="s">
        <v>5271</v>
      </c>
      <c r="D1278" s="2" t="s">
        <v>5272</v>
      </c>
      <c r="E1278" s="2" t="s">
        <v>1511</v>
      </c>
      <c r="F1278" s="2" t="s">
        <v>5273</v>
      </c>
    </row>
    <row r="1279" ht="36.0" customHeight="1">
      <c r="A1279" s="3" t="s">
        <v>5274</v>
      </c>
      <c r="B1279" s="3" t="s">
        <v>5110</v>
      </c>
      <c r="C1279" s="3" t="s">
        <v>5275</v>
      </c>
      <c r="D1279" s="3" t="s">
        <v>5276</v>
      </c>
      <c r="E1279" s="3" t="s">
        <v>2855</v>
      </c>
      <c r="F1279" s="3" t="s">
        <v>5277</v>
      </c>
    </row>
    <row r="1280" ht="36.0" customHeight="1">
      <c r="A1280" s="2" t="s">
        <v>5278</v>
      </c>
      <c r="B1280" s="2" t="s">
        <v>5110</v>
      </c>
      <c r="C1280" s="2" t="s">
        <v>5279</v>
      </c>
      <c r="D1280" s="2" t="s">
        <v>5280</v>
      </c>
      <c r="E1280" s="2" t="s">
        <v>2855</v>
      </c>
      <c r="F1280" s="2" t="s">
        <v>5281</v>
      </c>
    </row>
    <row r="1281" ht="36.0" customHeight="1">
      <c r="A1281" s="3" t="s">
        <v>5282</v>
      </c>
      <c r="B1281" s="3" t="s">
        <v>5110</v>
      </c>
      <c r="C1281" s="3" t="s">
        <v>5283</v>
      </c>
      <c r="D1281" s="3" t="s">
        <v>5284</v>
      </c>
      <c r="E1281" s="3" t="s">
        <v>2855</v>
      </c>
      <c r="F1281" s="3" t="s">
        <v>5285</v>
      </c>
    </row>
    <row r="1282" ht="36.0" customHeight="1">
      <c r="A1282" s="2" t="s">
        <v>5286</v>
      </c>
      <c r="B1282" s="2" t="s">
        <v>5110</v>
      </c>
      <c r="C1282" s="2" t="s">
        <v>5287</v>
      </c>
      <c r="D1282" s="2" t="s">
        <v>5288</v>
      </c>
      <c r="E1282" s="2" t="s">
        <v>2855</v>
      </c>
      <c r="F1282" s="2" t="s">
        <v>5289</v>
      </c>
    </row>
    <row r="1283" ht="36.0" customHeight="1">
      <c r="A1283" s="3" t="s">
        <v>5290</v>
      </c>
      <c r="B1283" s="3" t="s">
        <v>5110</v>
      </c>
      <c r="C1283" s="3" t="s">
        <v>5291</v>
      </c>
      <c r="D1283" s="3" t="s">
        <v>5292</v>
      </c>
      <c r="E1283" s="3" t="s">
        <v>2855</v>
      </c>
      <c r="F1283" s="3" t="s">
        <v>5293</v>
      </c>
    </row>
    <row r="1284" ht="36.0" customHeight="1">
      <c r="A1284" s="2" t="s">
        <v>5294</v>
      </c>
      <c r="B1284" s="2" t="s">
        <v>5110</v>
      </c>
      <c r="C1284" s="2" t="s">
        <v>5295</v>
      </c>
      <c r="D1284" s="2" t="s">
        <v>5296</v>
      </c>
      <c r="E1284" s="2" t="s">
        <v>430</v>
      </c>
      <c r="F1284" s="2" t="s">
        <v>5297</v>
      </c>
    </row>
    <row r="1285" ht="36.0" customHeight="1">
      <c r="A1285" s="3" t="s">
        <v>5298</v>
      </c>
      <c r="B1285" s="3" t="s">
        <v>5110</v>
      </c>
      <c r="C1285" s="3" t="s">
        <v>5299</v>
      </c>
      <c r="D1285" s="3" t="s">
        <v>5300</v>
      </c>
      <c r="E1285" s="3" t="s">
        <v>430</v>
      </c>
      <c r="F1285" s="3" t="s">
        <v>5301</v>
      </c>
    </row>
    <row r="1286" ht="36.0" customHeight="1">
      <c r="A1286" s="2" t="s">
        <v>5302</v>
      </c>
      <c r="B1286" s="2" t="s">
        <v>5110</v>
      </c>
      <c r="C1286" s="2" t="s">
        <v>5303</v>
      </c>
      <c r="D1286" s="2" t="s">
        <v>5304</v>
      </c>
      <c r="E1286" s="2" t="s">
        <v>435</v>
      </c>
      <c r="F1286" s="2" t="s">
        <v>5305</v>
      </c>
    </row>
    <row r="1287" ht="36.0" customHeight="1">
      <c r="A1287" s="3" t="s">
        <v>5306</v>
      </c>
      <c r="B1287" s="3" t="s">
        <v>5110</v>
      </c>
      <c r="C1287" s="3" t="s">
        <v>5307</v>
      </c>
      <c r="D1287" s="3" t="s">
        <v>5308</v>
      </c>
      <c r="E1287" s="3" t="s">
        <v>435</v>
      </c>
      <c r="F1287" s="3" t="s">
        <v>5309</v>
      </c>
    </row>
    <row r="1288" ht="36.0" customHeight="1">
      <c r="A1288" s="2" t="s">
        <v>5310</v>
      </c>
      <c r="B1288" s="2" t="s">
        <v>5110</v>
      </c>
      <c r="C1288" s="2" t="s">
        <v>5311</v>
      </c>
      <c r="D1288" s="2" t="s">
        <v>5312</v>
      </c>
      <c r="E1288" s="2" t="s">
        <v>24</v>
      </c>
      <c r="F1288" s="2" t="s">
        <v>5313</v>
      </c>
    </row>
    <row r="1289" ht="36.0" customHeight="1">
      <c r="A1289" s="3" t="s">
        <v>5314</v>
      </c>
      <c r="B1289" s="3" t="s">
        <v>5110</v>
      </c>
      <c r="C1289" s="3" t="s">
        <v>5315</v>
      </c>
      <c r="D1289" s="3" t="s">
        <v>5316</v>
      </c>
      <c r="E1289" s="3" t="s">
        <v>24</v>
      </c>
      <c r="F1289" s="3" t="s">
        <v>5317</v>
      </c>
    </row>
    <row r="1290" ht="36.0" customHeight="1">
      <c r="A1290" s="2" t="s">
        <v>5318</v>
      </c>
      <c r="B1290" s="2" t="s">
        <v>5110</v>
      </c>
      <c r="C1290" s="2" t="s">
        <v>5319</v>
      </c>
      <c r="D1290" s="2" t="s">
        <v>5320</v>
      </c>
      <c r="E1290" s="2" t="s">
        <v>24</v>
      </c>
      <c r="F1290" s="2" t="s">
        <v>5321</v>
      </c>
    </row>
    <row r="1291" ht="36.0" customHeight="1">
      <c r="A1291" s="3" t="s">
        <v>5322</v>
      </c>
      <c r="B1291" s="3" t="s">
        <v>5110</v>
      </c>
      <c r="C1291" s="3" t="s">
        <v>5323</v>
      </c>
      <c r="D1291" s="3" t="s">
        <v>5324</v>
      </c>
      <c r="E1291" s="3" t="s">
        <v>52</v>
      </c>
      <c r="F1291" s="3" t="s">
        <v>5325</v>
      </c>
    </row>
    <row r="1292" ht="36.0" customHeight="1">
      <c r="A1292" s="2" t="s">
        <v>5326</v>
      </c>
      <c r="B1292" s="2" t="s">
        <v>5110</v>
      </c>
      <c r="C1292" s="2" t="s">
        <v>5327</v>
      </c>
      <c r="D1292" s="2" t="s">
        <v>5328</v>
      </c>
      <c r="E1292" s="2" t="s">
        <v>1073</v>
      </c>
      <c r="F1292" s="2" t="s">
        <v>5329</v>
      </c>
    </row>
    <row r="1293" ht="36.0" customHeight="1">
      <c r="A1293" s="3" t="s">
        <v>5330</v>
      </c>
      <c r="B1293" s="3" t="s">
        <v>5110</v>
      </c>
      <c r="C1293" s="3" t="s">
        <v>5331</v>
      </c>
      <c r="D1293" s="3" t="s">
        <v>5332</v>
      </c>
      <c r="E1293" s="3" t="s">
        <v>538</v>
      </c>
      <c r="F1293" s="3" t="s">
        <v>5333</v>
      </c>
    </row>
    <row r="1294" ht="36.0" customHeight="1">
      <c r="A1294" s="2" t="s">
        <v>5334</v>
      </c>
      <c r="B1294" s="2" t="s">
        <v>5110</v>
      </c>
      <c r="C1294" s="2" t="s">
        <v>5335</v>
      </c>
      <c r="D1294" s="2" t="s">
        <v>5336</v>
      </c>
      <c r="E1294" s="2" t="s">
        <v>62</v>
      </c>
      <c r="F1294" s="2" t="s">
        <v>5337</v>
      </c>
    </row>
    <row r="1295" ht="36.0" customHeight="1">
      <c r="A1295" s="3" t="s">
        <v>5338</v>
      </c>
      <c r="B1295" s="3" t="s">
        <v>5110</v>
      </c>
      <c r="C1295" s="3" t="s">
        <v>5339</v>
      </c>
      <c r="D1295" s="3" t="s">
        <v>5340</v>
      </c>
      <c r="E1295" s="3" t="s">
        <v>1073</v>
      </c>
      <c r="F1295" s="3" t="s">
        <v>5341</v>
      </c>
    </row>
    <row r="1296" ht="36.0" customHeight="1">
      <c r="A1296" s="2" t="s">
        <v>5342</v>
      </c>
      <c r="B1296" s="2" t="s">
        <v>5110</v>
      </c>
      <c r="C1296" s="2" t="s">
        <v>5343</v>
      </c>
      <c r="D1296" s="2" t="s">
        <v>5344</v>
      </c>
      <c r="E1296" s="2" t="s">
        <v>1102</v>
      </c>
      <c r="F1296" s="2" t="s">
        <v>5345</v>
      </c>
    </row>
    <row r="1297" ht="36.0" customHeight="1">
      <c r="A1297" s="3" t="s">
        <v>5346</v>
      </c>
      <c r="B1297" s="3" t="s">
        <v>5110</v>
      </c>
      <c r="C1297" s="3" t="s">
        <v>5347</v>
      </c>
      <c r="D1297" s="3" t="s">
        <v>5348</v>
      </c>
      <c r="E1297" s="3" t="s">
        <v>1102</v>
      </c>
      <c r="F1297" s="3" t="s">
        <v>5349</v>
      </c>
    </row>
    <row r="1298" ht="36.0" customHeight="1">
      <c r="A1298" s="2" t="s">
        <v>5350</v>
      </c>
      <c r="B1298" s="2" t="s">
        <v>5110</v>
      </c>
      <c r="C1298" s="2" t="s">
        <v>5351</v>
      </c>
      <c r="D1298" s="2" t="s">
        <v>5352</v>
      </c>
      <c r="E1298" s="2" t="s">
        <v>695</v>
      </c>
      <c r="F1298" s="2" t="s">
        <v>5353</v>
      </c>
    </row>
    <row r="1299" ht="36.0" customHeight="1">
      <c r="A1299" s="3" t="s">
        <v>5354</v>
      </c>
      <c r="B1299" s="3" t="s">
        <v>5110</v>
      </c>
      <c r="C1299" s="3" t="s">
        <v>5355</v>
      </c>
      <c r="D1299" s="3" t="s">
        <v>5356</v>
      </c>
      <c r="E1299" s="3" t="s">
        <v>608</v>
      </c>
      <c r="F1299" s="3" t="s">
        <v>5357</v>
      </c>
    </row>
    <row r="1300" ht="36.0" customHeight="1">
      <c r="A1300" s="2" t="s">
        <v>5358</v>
      </c>
      <c r="B1300" s="2" t="s">
        <v>5110</v>
      </c>
      <c r="C1300" s="2" t="s">
        <v>5359</v>
      </c>
      <c r="D1300" s="2" t="s">
        <v>5360</v>
      </c>
      <c r="E1300" s="2" t="s">
        <v>608</v>
      </c>
      <c r="F1300" s="2" t="s">
        <v>5361</v>
      </c>
    </row>
    <row r="1301" ht="36.0" customHeight="1">
      <c r="A1301" s="3" t="s">
        <v>5362</v>
      </c>
      <c r="B1301" s="3" t="s">
        <v>5110</v>
      </c>
      <c r="C1301" s="3" t="s">
        <v>5363</v>
      </c>
      <c r="D1301" s="3" t="s">
        <v>5364</v>
      </c>
      <c r="E1301" s="3" t="s">
        <v>608</v>
      </c>
      <c r="F1301" s="3" t="s">
        <v>5365</v>
      </c>
    </row>
    <row r="1302" ht="36.0" customHeight="1">
      <c r="A1302" s="2" t="s">
        <v>5366</v>
      </c>
      <c r="B1302" s="2" t="s">
        <v>5110</v>
      </c>
      <c r="C1302" s="2" t="s">
        <v>5367</v>
      </c>
      <c r="D1302" s="2" t="s">
        <v>5368</v>
      </c>
      <c r="E1302" s="2" t="s">
        <v>695</v>
      </c>
      <c r="F1302" s="2" t="s">
        <v>5369</v>
      </c>
    </row>
    <row r="1303" ht="36.0" customHeight="1">
      <c r="A1303" s="3" t="s">
        <v>5370</v>
      </c>
      <c r="B1303" s="3" t="s">
        <v>5110</v>
      </c>
      <c r="C1303" s="3" t="s">
        <v>5371</v>
      </c>
      <c r="D1303" s="3" t="s">
        <v>5372</v>
      </c>
      <c r="E1303" s="3" t="s">
        <v>695</v>
      </c>
      <c r="F1303" s="3" t="s">
        <v>5373</v>
      </c>
    </row>
    <row r="1304" ht="36.0" customHeight="1">
      <c r="A1304" s="2" t="s">
        <v>5374</v>
      </c>
      <c r="B1304" s="2" t="s">
        <v>5110</v>
      </c>
      <c r="C1304" s="2" t="s">
        <v>5375</v>
      </c>
      <c r="D1304" s="2" t="s">
        <v>5376</v>
      </c>
      <c r="E1304" s="2" t="s">
        <v>392</v>
      </c>
      <c r="F1304" s="2" t="s">
        <v>5377</v>
      </c>
    </row>
    <row r="1305" ht="36.0" customHeight="1">
      <c r="A1305" s="3" t="s">
        <v>5378</v>
      </c>
      <c r="B1305" s="3" t="s">
        <v>5110</v>
      </c>
      <c r="C1305" s="3" t="s">
        <v>5379</v>
      </c>
      <c r="D1305" s="3" t="s">
        <v>5380</v>
      </c>
      <c r="E1305" s="3" t="s">
        <v>2982</v>
      </c>
      <c r="F1305" s="3" t="s">
        <v>5381</v>
      </c>
    </row>
    <row r="1306" ht="36.0" customHeight="1">
      <c r="A1306" s="2" t="s">
        <v>5382</v>
      </c>
      <c r="B1306" s="2" t="s">
        <v>5110</v>
      </c>
      <c r="C1306" s="2" t="s">
        <v>5383</v>
      </c>
      <c r="D1306" s="2" t="s">
        <v>5384</v>
      </c>
      <c r="E1306" s="2" t="s">
        <v>96</v>
      </c>
      <c r="F1306" s="2" t="s">
        <v>5385</v>
      </c>
    </row>
    <row r="1307" ht="36.0" customHeight="1">
      <c r="A1307" s="3" t="s">
        <v>5386</v>
      </c>
      <c r="B1307" s="3" t="s">
        <v>5110</v>
      </c>
      <c r="C1307" s="3" t="s">
        <v>5387</v>
      </c>
      <c r="D1307" s="3" t="s">
        <v>5388</v>
      </c>
      <c r="E1307" s="3" t="s">
        <v>96</v>
      </c>
      <c r="F1307" s="3" t="s">
        <v>5389</v>
      </c>
    </row>
    <row r="1308" ht="36.0" customHeight="1">
      <c r="A1308" s="2" t="s">
        <v>5390</v>
      </c>
      <c r="B1308" s="2" t="s">
        <v>5110</v>
      </c>
      <c r="C1308" s="2" t="s">
        <v>5391</v>
      </c>
      <c r="D1308" s="2" t="s">
        <v>5392</v>
      </c>
      <c r="E1308" s="2" t="s">
        <v>1250</v>
      </c>
      <c r="F1308" s="2" t="s">
        <v>5393</v>
      </c>
    </row>
    <row r="1309" ht="36.0" customHeight="1">
      <c r="A1309" s="3" t="s">
        <v>5394</v>
      </c>
      <c r="B1309" s="3" t="s">
        <v>5110</v>
      </c>
      <c r="C1309" s="3" t="s">
        <v>5395</v>
      </c>
      <c r="D1309" s="3" t="s">
        <v>5396</v>
      </c>
      <c r="E1309" s="3" t="s">
        <v>1268</v>
      </c>
      <c r="F1309" s="3" t="s">
        <v>5397</v>
      </c>
    </row>
    <row r="1310" ht="36.0" customHeight="1">
      <c r="A1310" s="2" t="s">
        <v>5398</v>
      </c>
      <c r="B1310" s="2" t="s">
        <v>5110</v>
      </c>
      <c r="C1310" s="2" t="s">
        <v>5399</v>
      </c>
      <c r="D1310" s="2" t="s">
        <v>5400</v>
      </c>
      <c r="E1310" s="2" t="s">
        <v>1268</v>
      </c>
      <c r="F1310" s="2" t="s">
        <v>5401</v>
      </c>
    </row>
    <row r="1311" ht="36.0" customHeight="1">
      <c r="A1311" s="3" t="s">
        <v>5402</v>
      </c>
      <c r="B1311" s="3" t="s">
        <v>5110</v>
      </c>
      <c r="C1311" s="3" t="s">
        <v>5403</v>
      </c>
      <c r="D1311" s="3" t="s">
        <v>5404</v>
      </c>
      <c r="E1311" s="3" t="s">
        <v>2855</v>
      </c>
      <c r="F1311" s="3" t="s">
        <v>5405</v>
      </c>
    </row>
    <row r="1312" ht="36.0" customHeight="1">
      <c r="A1312" s="2" t="s">
        <v>5406</v>
      </c>
      <c r="B1312" s="2" t="s">
        <v>5110</v>
      </c>
      <c r="C1312" s="2" t="s">
        <v>5407</v>
      </c>
      <c r="D1312" s="2" t="s">
        <v>5408</v>
      </c>
      <c r="E1312" s="2" t="s">
        <v>2855</v>
      </c>
      <c r="F1312" s="2" t="s">
        <v>5409</v>
      </c>
    </row>
    <row r="1313" ht="36.0" customHeight="1">
      <c r="A1313" s="3" t="s">
        <v>5410</v>
      </c>
      <c r="B1313" s="3" t="s">
        <v>5110</v>
      </c>
      <c r="C1313" s="3" t="s">
        <v>5411</v>
      </c>
      <c r="D1313" s="3" t="s">
        <v>5412</v>
      </c>
      <c r="E1313" s="3" t="s">
        <v>57</v>
      </c>
      <c r="F1313" s="3" t="s">
        <v>5413</v>
      </c>
    </row>
    <row r="1314" ht="36.0" customHeight="1">
      <c r="A1314" s="2" t="s">
        <v>5414</v>
      </c>
      <c r="B1314" s="2" t="s">
        <v>5110</v>
      </c>
      <c r="C1314" s="2" t="s">
        <v>5415</v>
      </c>
      <c r="D1314" s="2" t="s">
        <v>5416</v>
      </c>
      <c r="E1314" s="2" t="s">
        <v>57</v>
      </c>
      <c r="F1314" s="2" t="s">
        <v>5417</v>
      </c>
    </row>
    <row r="1315" ht="36.0" customHeight="1">
      <c r="A1315" s="3" t="s">
        <v>5418</v>
      </c>
      <c r="B1315" s="3" t="s">
        <v>5110</v>
      </c>
      <c r="C1315" s="3" t="s">
        <v>5419</v>
      </c>
      <c r="D1315" s="3" t="s">
        <v>5420</v>
      </c>
      <c r="E1315" s="3" t="s">
        <v>96</v>
      </c>
      <c r="F1315" s="3" t="s">
        <v>5421</v>
      </c>
    </row>
    <row r="1316" ht="36.0" customHeight="1">
      <c r="A1316" s="2" t="s">
        <v>5422</v>
      </c>
      <c r="B1316" s="2" t="s">
        <v>5110</v>
      </c>
      <c r="C1316" s="2" t="s">
        <v>5423</v>
      </c>
      <c r="D1316" s="2" t="s">
        <v>5424</v>
      </c>
      <c r="E1316" s="2" t="s">
        <v>57</v>
      </c>
      <c r="F1316" s="2" t="s">
        <v>5425</v>
      </c>
    </row>
    <row r="1317" ht="36.0" customHeight="1">
      <c r="A1317" s="3" t="s">
        <v>5426</v>
      </c>
      <c r="B1317" s="3" t="s">
        <v>5110</v>
      </c>
      <c r="C1317" s="3" t="s">
        <v>5427</v>
      </c>
      <c r="D1317" s="3" t="s">
        <v>5428</v>
      </c>
      <c r="E1317" s="3" t="s">
        <v>101</v>
      </c>
      <c r="F1317" s="3" t="s">
        <v>5429</v>
      </c>
    </row>
    <row r="1318" ht="36.0" customHeight="1">
      <c r="A1318" s="2" t="s">
        <v>5430</v>
      </c>
      <c r="B1318" s="2" t="s">
        <v>5110</v>
      </c>
      <c r="C1318" s="2" t="s">
        <v>5431</v>
      </c>
      <c r="D1318" s="2" t="s">
        <v>5432</v>
      </c>
      <c r="E1318" s="2" t="s">
        <v>101</v>
      </c>
      <c r="F1318" s="2" t="s">
        <v>5433</v>
      </c>
    </row>
    <row r="1319" ht="36.0" customHeight="1">
      <c r="A1319" s="3" t="s">
        <v>5434</v>
      </c>
      <c r="B1319" s="3" t="s">
        <v>5110</v>
      </c>
      <c r="C1319" s="3" t="s">
        <v>5435</v>
      </c>
      <c r="D1319" s="3" t="s">
        <v>5436</v>
      </c>
      <c r="E1319" s="3" t="s">
        <v>101</v>
      </c>
      <c r="F1319" s="3" t="s">
        <v>5437</v>
      </c>
    </row>
    <row r="1320" ht="36.0" customHeight="1">
      <c r="A1320" s="2" t="s">
        <v>5438</v>
      </c>
      <c r="B1320" s="2" t="s">
        <v>5110</v>
      </c>
      <c r="C1320" s="2" t="s">
        <v>5439</v>
      </c>
      <c r="D1320" s="2" t="s">
        <v>5440</v>
      </c>
      <c r="E1320" s="2" t="s">
        <v>101</v>
      </c>
      <c r="F1320" s="2" t="s">
        <v>5441</v>
      </c>
    </row>
    <row r="1321" ht="36.0" customHeight="1">
      <c r="A1321" s="3" t="s">
        <v>5442</v>
      </c>
      <c r="B1321" s="3" t="s">
        <v>5110</v>
      </c>
      <c r="C1321" s="3" t="s">
        <v>5443</v>
      </c>
      <c r="D1321" s="3" t="s">
        <v>5444</v>
      </c>
      <c r="E1321" s="3" t="s">
        <v>101</v>
      </c>
      <c r="F1321" s="3" t="s">
        <v>5445</v>
      </c>
    </row>
    <row r="1322" ht="36.0" customHeight="1">
      <c r="A1322" s="2" t="s">
        <v>5446</v>
      </c>
      <c r="B1322" s="2" t="s">
        <v>5110</v>
      </c>
      <c r="C1322" s="2" t="s">
        <v>5447</v>
      </c>
      <c r="D1322" s="2" t="s">
        <v>5448</v>
      </c>
      <c r="E1322" s="2" t="s">
        <v>101</v>
      </c>
      <c r="F1322" s="2" t="s">
        <v>5449</v>
      </c>
    </row>
    <row r="1323" ht="36.0" customHeight="1">
      <c r="A1323" s="3" t="s">
        <v>5450</v>
      </c>
      <c r="B1323" s="3" t="s">
        <v>5110</v>
      </c>
      <c r="C1323" s="3" t="s">
        <v>5451</v>
      </c>
      <c r="D1323" s="3" t="s">
        <v>5452</v>
      </c>
      <c r="E1323" s="3" t="s">
        <v>101</v>
      </c>
      <c r="F1323" s="3" t="s">
        <v>5453</v>
      </c>
    </row>
    <row r="1324" ht="36.0" customHeight="1">
      <c r="A1324" s="2" t="s">
        <v>5454</v>
      </c>
      <c r="B1324" s="2" t="s">
        <v>5110</v>
      </c>
      <c r="C1324" s="2" t="s">
        <v>5455</v>
      </c>
      <c r="D1324" s="2" t="s">
        <v>5456</v>
      </c>
      <c r="E1324" s="2" t="s">
        <v>101</v>
      </c>
      <c r="F1324" s="2" t="s">
        <v>5457</v>
      </c>
    </row>
    <row r="1325" ht="36.0" customHeight="1">
      <c r="A1325" s="3" t="s">
        <v>5458</v>
      </c>
      <c r="B1325" s="3" t="s">
        <v>5110</v>
      </c>
      <c r="C1325" s="3" t="s">
        <v>5459</v>
      </c>
      <c r="D1325" s="3" t="s">
        <v>5460</v>
      </c>
      <c r="E1325" s="3" t="s">
        <v>2514</v>
      </c>
      <c r="F1325" s="3" t="s">
        <v>5461</v>
      </c>
    </row>
    <row r="1326" ht="36.0" customHeight="1">
      <c r="A1326" s="2" t="s">
        <v>5462</v>
      </c>
      <c r="B1326" s="2" t="s">
        <v>5110</v>
      </c>
      <c r="C1326" s="2" t="s">
        <v>5463</v>
      </c>
      <c r="D1326" s="2" t="s">
        <v>5464</v>
      </c>
      <c r="E1326" s="2" t="s">
        <v>2514</v>
      </c>
      <c r="F1326" s="2" t="s">
        <v>5465</v>
      </c>
    </row>
    <row r="1327" ht="36.0" customHeight="1">
      <c r="A1327" s="3" t="s">
        <v>5466</v>
      </c>
      <c r="B1327" s="3" t="s">
        <v>5110</v>
      </c>
      <c r="C1327" s="3" t="s">
        <v>5467</v>
      </c>
      <c r="D1327" s="3" t="s">
        <v>5468</v>
      </c>
      <c r="E1327" s="3" t="s">
        <v>2514</v>
      </c>
      <c r="F1327" s="3" t="s">
        <v>5469</v>
      </c>
    </row>
    <row r="1328" ht="36.0" customHeight="1">
      <c r="A1328" s="2" t="s">
        <v>5470</v>
      </c>
      <c r="B1328" s="2" t="s">
        <v>5110</v>
      </c>
      <c r="C1328" s="2" t="s">
        <v>5471</v>
      </c>
      <c r="D1328" s="2" t="s">
        <v>5472</v>
      </c>
      <c r="E1328" s="2" t="s">
        <v>2514</v>
      </c>
      <c r="F1328" s="2" t="s">
        <v>5473</v>
      </c>
    </row>
    <row r="1329" ht="36.0" customHeight="1">
      <c r="A1329" s="3" t="s">
        <v>5474</v>
      </c>
      <c r="B1329" s="3" t="s">
        <v>5110</v>
      </c>
      <c r="C1329" s="3" t="s">
        <v>5475</v>
      </c>
      <c r="D1329" s="3" t="s">
        <v>5476</v>
      </c>
      <c r="E1329" s="3" t="s">
        <v>2855</v>
      </c>
      <c r="F1329" s="3" t="s">
        <v>5477</v>
      </c>
    </row>
    <row r="1330" ht="36.0" customHeight="1">
      <c r="A1330" s="2" t="s">
        <v>5478</v>
      </c>
      <c r="B1330" s="2" t="s">
        <v>5110</v>
      </c>
      <c r="C1330" s="2" t="s">
        <v>5479</v>
      </c>
      <c r="D1330" s="2" t="s">
        <v>5480</v>
      </c>
      <c r="E1330" s="2" t="s">
        <v>2855</v>
      </c>
      <c r="F1330" s="2" t="s">
        <v>5481</v>
      </c>
    </row>
    <row r="1331" ht="36.0" customHeight="1">
      <c r="A1331" s="3" t="s">
        <v>5482</v>
      </c>
      <c r="B1331" s="3" t="s">
        <v>5110</v>
      </c>
      <c r="C1331" s="3" t="s">
        <v>5483</v>
      </c>
      <c r="D1331" s="3" t="s">
        <v>5484</v>
      </c>
      <c r="E1331" s="3" t="s">
        <v>430</v>
      </c>
      <c r="F1331" s="3" t="s">
        <v>5485</v>
      </c>
    </row>
    <row r="1332" ht="36.0" customHeight="1">
      <c r="A1332" s="2" t="s">
        <v>5486</v>
      </c>
      <c r="B1332" s="2" t="s">
        <v>5110</v>
      </c>
      <c r="C1332" s="2" t="s">
        <v>5487</v>
      </c>
      <c r="D1332" s="2" t="s">
        <v>5488</v>
      </c>
      <c r="E1332" s="2" t="s">
        <v>57</v>
      </c>
      <c r="F1332" s="2" t="s">
        <v>5489</v>
      </c>
    </row>
    <row r="1333" ht="36.0" customHeight="1">
      <c r="A1333" s="3" t="s">
        <v>5490</v>
      </c>
      <c r="B1333" s="3" t="s">
        <v>5110</v>
      </c>
      <c r="C1333" s="3" t="s">
        <v>5491</v>
      </c>
      <c r="D1333" s="3" t="s">
        <v>5492</v>
      </c>
      <c r="E1333" s="3" t="s">
        <v>57</v>
      </c>
      <c r="F1333" s="3" t="s">
        <v>5493</v>
      </c>
    </row>
    <row r="1334" ht="36.0" customHeight="1">
      <c r="A1334" s="2" t="s">
        <v>5494</v>
      </c>
      <c r="B1334" s="2" t="s">
        <v>5110</v>
      </c>
      <c r="C1334" s="2" t="s">
        <v>5495</v>
      </c>
      <c r="D1334" s="2" t="s">
        <v>5496</v>
      </c>
      <c r="E1334" s="2" t="s">
        <v>19</v>
      </c>
      <c r="F1334" s="2" t="s">
        <v>5497</v>
      </c>
    </row>
    <row r="1335" ht="36.0" customHeight="1">
      <c r="A1335" s="3" t="s">
        <v>5498</v>
      </c>
      <c r="B1335" s="3" t="s">
        <v>5110</v>
      </c>
      <c r="C1335" s="3" t="s">
        <v>5499</v>
      </c>
      <c r="D1335" s="3" t="s">
        <v>5500</v>
      </c>
      <c r="E1335" s="3" t="s">
        <v>19</v>
      </c>
      <c r="F1335" s="3" t="s">
        <v>5501</v>
      </c>
    </row>
    <row r="1336" ht="36.0" customHeight="1">
      <c r="A1336" s="2" t="s">
        <v>5502</v>
      </c>
      <c r="B1336" s="2" t="s">
        <v>5110</v>
      </c>
      <c r="C1336" s="2" t="s">
        <v>5503</v>
      </c>
      <c r="D1336" s="2" t="s">
        <v>5504</v>
      </c>
      <c r="E1336" s="2" t="s">
        <v>19</v>
      </c>
      <c r="F1336" s="2" t="s">
        <v>5505</v>
      </c>
    </row>
    <row r="1337" ht="36.0" customHeight="1">
      <c r="A1337" s="3" t="s">
        <v>5506</v>
      </c>
      <c r="B1337" s="3" t="s">
        <v>5110</v>
      </c>
      <c r="C1337" s="3" t="s">
        <v>5507</v>
      </c>
      <c r="D1337" s="3" t="s">
        <v>5508</v>
      </c>
      <c r="E1337" s="3" t="s">
        <v>1396</v>
      </c>
      <c r="F1337" s="3" t="s">
        <v>5509</v>
      </c>
    </row>
    <row r="1338" ht="36.0" customHeight="1">
      <c r="A1338" s="2" t="s">
        <v>5510</v>
      </c>
      <c r="B1338" s="2" t="s">
        <v>5110</v>
      </c>
      <c r="C1338" s="2" t="s">
        <v>5511</v>
      </c>
      <c r="D1338" s="2" t="s">
        <v>5512</v>
      </c>
      <c r="E1338" s="2" t="s">
        <v>207</v>
      </c>
      <c r="F1338" s="2" t="s">
        <v>5513</v>
      </c>
    </row>
    <row r="1339" ht="36.0" customHeight="1">
      <c r="A1339" s="3" t="s">
        <v>5514</v>
      </c>
      <c r="B1339" s="3" t="s">
        <v>5110</v>
      </c>
      <c r="C1339" s="3" t="s">
        <v>5515</v>
      </c>
      <c r="D1339" s="3" t="s">
        <v>5516</v>
      </c>
      <c r="E1339" s="3" t="s">
        <v>207</v>
      </c>
      <c r="F1339" s="3" t="s">
        <v>5517</v>
      </c>
    </row>
    <row r="1340" ht="36.0" customHeight="1">
      <c r="A1340" s="2" t="s">
        <v>5518</v>
      </c>
      <c r="B1340" s="2" t="s">
        <v>5110</v>
      </c>
      <c r="C1340" s="2" t="s">
        <v>5519</v>
      </c>
      <c r="D1340" s="2" t="s">
        <v>5520</v>
      </c>
      <c r="E1340" s="2" t="s">
        <v>2982</v>
      </c>
      <c r="F1340" s="2" t="s">
        <v>5521</v>
      </c>
    </row>
    <row r="1341" ht="36.0" customHeight="1">
      <c r="A1341" s="3" t="s">
        <v>5522</v>
      </c>
      <c r="B1341" s="3" t="s">
        <v>5110</v>
      </c>
      <c r="C1341" s="3" t="s">
        <v>5523</v>
      </c>
      <c r="D1341" s="3" t="s">
        <v>5524</v>
      </c>
      <c r="E1341" s="3" t="s">
        <v>2977</v>
      </c>
      <c r="F1341" s="3" t="s">
        <v>5525</v>
      </c>
    </row>
    <row r="1342" ht="36.0" customHeight="1">
      <c r="A1342" s="2" t="s">
        <v>5526</v>
      </c>
      <c r="B1342" s="2" t="s">
        <v>5110</v>
      </c>
      <c r="C1342" s="2" t="s">
        <v>5527</v>
      </c>
      <c r="D1342" s="2" t="s">
        <v>5528</v>
      </c>
      <c r="E1342" s="2" t="s">
        <v>2977</v>
      </c>
      <c r="F1342" s="2" t="s">
        <v>5529</v>
      </c>
    </row>
    <row r="1343" ht="36.0" customHeight="1">
      <c r="A1343" s="3" t="s">
        <v>5530</v>
      </c>
      <c r="B1343" s="3" t="s">
        <v>5110</v>
      </c>
      <c r="C1343" s="3" t="s">
        <v>5531</v>
      </c>
      <c r="D1343" s="3" t="s">
        <v>5532</v>
      </c>
      <c r="E1343" s="3" t="s">
        <v>2977</v>
      </c>
      <c r="F1343" s="3" t="s">
        <v>5533</v>
      </c>
    </row>
    <row r="1344" ht="36.0" customHeight="1">
      <c r="A1344" s="2" t="s">
        <v>5534</v>
      </c>
      <c r="B1344" s="2" t="s">
        <v>5110</v>
      </c>
      <c r="C1344" s="2" t="s">
        <v>5535</v>
      </c>
      <c r="D1344" s="2" t="s">
        <v>5536</v>
      </c>
      <c r="E1344" s="2" t="s">
        <v>517</v>
      </c>
      <c r="F1344" s="2" t="s">
        <v>5537</v>
      </c>
    </row>
    <row r="1345" ht="36.0" customHeight="1">
      <c r="A1345" s="3" t="s">
        <v>5538</v>
      </c>
      <c r="B1345" s="3" t="s">
        <v>5110</v>
      </c>
      <c r="C1345" s="3" t="s">
        <v>5539</v>
      </c>
      <c r="D1345" s="3" t="s">
        <v>5540</v>
      </c>
      <c r="E1345" s="3" t="s">
        <v>2977</v>
      </c>
      <c r="F1345" s="3" t="s">
        <v>5541</v>
      </c>
    </row>
    <row r="1346" ht="36.0" customHeight="1">
      <c r="A1346" s="2" t="s">
        <v>5542</v>
      </c>
      <c r="B1346" s="2" t="s">
        <v>5110</v>
      </c>
      <c r="C1346" s="2" t="s">
        <v>5543</v>
      </c>
      <c r="D1346" s="2" t="s">
        <v>5544</v>
      </c>
      <c r="E1346" s="2" t="s">
        <v>2982</v>
      </c>
      <c r="F1346" s="2" t="s">
        <v>5545</v>
      </c>
    </row>
    <row r="1347" ht="36.0" customHeight="1">
      <c r="A1347" s="3" t="s">
        <v>5546</v>
      </c>
      <c r="B1347" s="3" t="s">
        <v>5110</v>
      </c>
      <c r="C1347" s="3" t="s">
        <v>5547</v>
      </c>
      <c r="D1347" s="3" t="s">
        <v>5548</v>
      </c>
      <c r="E1347" s="3" t="s">
        <v>695</v>
      </c>
      <c r="F1347" s="3" t="s">
        <v>5549</v>
      </c>
    </row>
    <row r="1348" ht="36.0" customHeight="1">
      <c r="A1348" s="2" t="s">
        <v>5550</v>
      </c>
      <c r="B1348" s="2" t="s">
        <v>5110</v>
      </c>
      <c r="C1348" s="2" t="s">
        <v>5551</v>
      </c>
      <c r="D1348" s="2" t="s">
        <v>5552</v>
      </c>
      <c r="E1348" s="2" t="s">
        <v>3332</v>
      </c>
      <c r="F1348" s="2" t="s">
        <v>5553</v>
      </c>
    </row>
    <row r="1349" ht="36.0" customHeight="1">
      <c r="A1349" s="3" t="s">
        <v>5554</v>
      </c>
      <c r="B1349" s="3" t="s">
        <v>5110</v>
      </c>
      <c r="C1349" s="3" t="s">
        <v>5555</v>
      </c>
      <c r="D1349" s="3" t="s">
        <v>5556</v>
      </c>
      <c r="E1349" s="3" t="s">
        <v>1846</v>
      </c>
      <c r="F1349" s="3" t="s">
        <v>5557</v>
      </c>
    </row>
    <row r="1350" ht="36.0" customHeight="1">
      <c r="A1350" s="2" t="s">
        <v>5558</v>
      </c>
      <c r="B1350" s="2" t="s">
        <v>5110</v>
      </c>
      <c r="C1350" s="2" t="s">
        <v>5559</v>
      </c>
      <c r="D1350" s="2" t="s">
        <v>5560</v>
      </c>
      <c r="E1350" s="2" t="s">
        <v>2982</v>
      </c>
      <c r="F1350" s="2" t="s">
        <v>5561</v>
      </c>
    </row>
    <row r="1351" ht="36.0" customHeight="1">
      <c r="A1351" s="3" t="s">
        <v>5562</v>
      </c>
      <c r="B1351" s="3" t="s">
        <v>5110</v>
      </c>
      <c r="C1351" s="3" t="s">
        <v>5563</v>
      </c>
      <c r="D1351" s="3" t="s">
        <v>5564</v>
      </c>
      <c r="E1351" s="3" t="s">
        <v>1263</v>
      </c>
      <c r="F1351" s="3" t="s">
        <v>5565</v>
      </c>
    </row>
    <row r="1352" ht="36.0" customHeight="1">
      <c r="A1352" s="2" t="s">
        <v>5566</v>
      </c>
      <c r="B1352" s="2" t="s">
        <v>5110</v>
      </c>
      <c r="C1352" s="2" t="s">
        <v>5567</v>
      </c>
      <c r="D1352" s="2" t="s">
        <v>5568</v>
      </c>
      <c r="E1352" s="2" t="s">
        <v>96</v>
      </c>
      <c r="F1352" s="2" t="s">
        <v>5569</v>
      </c>
    </row>
    <row r="1353" ht="36.0" customHeight="1">
      <c r="A1353" s="3" t="s">
        <v>5570</v>
      </c>
      <c r="B1353" s="3" t="s">
        <v>5110</v>
      </c>
      <c r="C1353" s="3" t="s">
        <v>5571</v>
      </c>
      <c r="D1353" s="3" t="s">
        <v>5572</v>
      </c>
      <c r="E1353" s="3" t="s">
        <v>96</v>
      </c>
      <c r="F1353" s="3" t="s">
        <v>5573</v>
      </c>
    </row>
    <row r="1354" ht="36.0" customHeight="1">
      <c r="A1354" s="2" t="s">
        <v>5574</v>
      </c>
      <c r="B1354" s="2" t="s">
        <v>5110</v>
      </c>
      <c r="C1354" s="2" t="s">
        <v>5575</v>
      </c>
      <c r="D1354" s="2" t="s">
        <v>5576</v>
      </c>
      <c r="E1354" s="2" t="s">
        <v>2982</v>
      </c>
      <c r="F1354" s="2" t="s">
        <v>5577</v>
      </c>
    </row>
    <row r="1355" ht="36.0" customHeight="1">
      <c r="A1355" s="3" t="s">
        <v>5578</v>
      </c>
      <c r="B1355" s="3" t="s">
        <v>5110</v>
      </c>
      <c r="C1355" s="3" t="s">
        <v>5579</v>
      </c>
      <c r="D1355" s="3" t="s">
        <v>5580</v>
      </c>
      <c r="E1355" s="3" t="s">
        <v>1268</v>
      </c>
      <c r="F1355" s="3" t="s">
        <v>5581</v>
      </c>
    </row>
    <row r="1356" ht="36.0" customHeight="1">
      <c r="A1356" s="2" t="s">
        <v>5582</v>
      </c>
      <c r="B1356" s="2" t="s">
        <v>5110</v>
      </c>
      <c r="C1356" s="2" t="s">
        <v>5583</v>
      </c>
      <c r="D1356" s="2" t="s">
        <v>5584</v>
      </c>
      <c r="E1356" s="2" t="s">
        <v>2855</v>
      </c>
      <c r="F1356" s="2" t="s">
        <v>5585</v>
      </c>
    </row>
    <row r="1357" ht="36.0" customHeight="1">
      <c r="A1357" s="3" t="s">
        <v>5586</v>
      </c>
      <c r="B1357" s="3" t="s">
        <v>5110</v>
      </c>
      <c r="C1357" s="3" t="s">
        <v>5587</v>
      </c>
      <c r="D1357" s="3" t="s">
        <v>5588</v>
      </c>
      <c r="E1357" s="3" t="s">
        <v>2982</v>
      </c>
      <c r="F1357" s="3" t="s">
        <v>5589</v>
      </c>
    </row>
    <row r="1358" ht="36.0" customHeight="1">
      <c r="A1358" s="2" t="s">
        <v>5590</v>
      </c>
      <c r="B1358" s="2" t="s">
        <v>5110</v>
      </c>
      <c r="C1358" s="2" t="s">
        <v>5591</v>
      </c>
      <c r="D1358" s="2" t="s">
        <v>5592</v>
      </c>
      <c r="E1358" s="2" t="s">
        <v>3207</v>
      </c>
      <c r="F1358" s="2" t="s">
        <v>5593</v>
      </c>
    </row>
    <row r="1359" ht="36.0" customHeight="1">
      <c r="A1359" s="3" t="s">
        <v>5594</v>
      </c>
      <c r="B1359" s="3" t="s">
        <v>5110</v>
      </c>
      <c r="C1359" s="3" t="s">
        <v>5595</v>
      </c>
      <c r="D1359" s="3" t="s">
        <v>5596</v>
      </c>
      <c r="E1359" s="3" t="s">
        <v>207</v>
      </c>
      <c r="F1359" s="3" t="s">
        <v>5597</v>
      </c>
    </row>
    <row r="1360" ht="36.0" customHeight="1">
      <c r="A1360" s="2" t="s">
        <v>5598</v>
      </c>
      <c r="B1360" s="2" t="s">
        <v>5110</v>
      </c>
      <c r="C1360" s="2" t="s">
        <v>5599</v>
      </c>
      <c r="D1360" s="2" t="s">
        <v>5600</v>
      </c>
      <c r="E1360" s="2" t="s">
        <v>62</v>
      </c>
      <c r="F1360" s="2" t="s">
        <v>5601</v>
      </c>
    </row>
    <row r="1361" ht="36.0" customHeight="1">
      <c r="A1361" s="3" t="s">
        <v>5602</v>
      </c>
      <c r="B1361" s="3" t="s">
        <v>5110</v>
      </c>
      <c r="C1361" s="3" t="s">
        <v>5603</v>
      </c>
      <c r="D1361" s="3" t="s">
        <v>5604</v>
      </c>
      <c r="E1361" s="3" t="s">
        <v>62</v>
      </c>
      <c r="F1361" s="3" t="s">
        <v>5605</v>
      </c>
    </row>
    <row r="1362" ht="36.0" customHeight="1">
      <c r="A1362" s="2" t="s">
        <v>5606</v>
      </c>
      <c r="B1362" s="2" t="s">
        <v>5110</v>
      </c>
      <c r="C1362" s="2" t="s">
        <v>5607</v>
      </c>
      <c r="D1362" s="2" t="s">
        <v>5608</v>
      </c>
      <c r="E1362" s="2" t="s">
        <v>62</v>
      </c>
      <c r="F1362" s="2" t="s">
        <v>5609</v>
      </c>
    </row>
    <row r="1363" ht="36.0" customHeight="1">
      <c r="A1363" s="3" t="s">
        <v>5610</v>
      </c>
      <c r="B1363" s="3" t="s">
        <v>5110</v>
      </c>
      <c r="C1363" s="3" t="s">
        <v>5611</v>
      </c>
      <c r="D1363" s="3" t="s">
        <v>5612</v>
      </c>
      <c r="E1363" s="3" t="s">
        <v>1102</v>
      </c>
      <c r="F1363" s="3" t="s">
        <v>5613</v>
      </c>
    </row>
    <row r="1364" ht="36.0" customHeight="1">
      <c r="A1364" s="2" t="s">
        <v>5614</v>
      </c>
      <c r="B1364" s="2" t="s">
        <v>5110</v>
      </c>
      <c r="C1364" s="2" t="s">
        <v>5615</v>
      </c>
      <c r="D1364" s="2" t="s">
        <v>5616</v>
      </c>
      <c r="E1364" s="2" t="s">
        <v>5617</v>
      </c>
      <c r="F1364" s="2" t="s">
        <v>5618</v>
      </c>
    </row>
    <row r="1365" ht="36.0" customHeight="1">
      <c r="A1365" s="3" t="s">
        <v>5619</v>
      </c>
      <c r="B1365" s="3" t="s">
        <v>5110</v>
      </c>
      <c r="C1365" s="3" t="s">
        <v>5620</v>
      </c>
      <c r="D1365" s="3" t="s">
        <v>5621</v>
      </c>
      <c r="E1365" s="3" t="s">
        <v>96</v>
      </c>
      <c r="F1365" s="3" t="s">
        <v>5622</v>
      </c>
    </row>
    <row r="1366" ht="36.0" customHeight="1">
      <c r="A1366" s="2" t="s">
        <v>5623</v>
      </c>
      <c r="B1366" s="2" t="s">
        <v>5110</v>
      </c>
      <c r="C1366" s="2" t="s">
        <v>5624</v>
      </c>
      <c r="D1366" s="2" t="s">
        <v>5625</v>
      </c>
      <c r="E1366" s="2" t="s">
        <v>96</v>
      </c>
      <c r="F1366" s="2" t="s">
        <v>5626</v>
      </c>
    </row>
    <row r="1367" ht="36.0" customHeight="1">
      <c r="A1367" s="3" t="s">
        <v>5627</v>
      </c>
      <c r="B1367" s="3" t="s">
        <v>5110</v>
      </c>
      <c r="C1367" s="3" t="s">
        <v>5628</v>
      </c>
      <c r="D1367" s="3" t="s">
        <v>5629</v>
      </c>
      <c r="E1367" s="3" t="s">
        <v>5630</v>
      </c>
      <c r="F1367" s="3" t="s">
        <v>5631</v>
      </c>
    </row>
    <row r="1368" ht="36.0" customHeight="1">
      <c r="A1368" s="2" t="s">
        <v>5632</v>
      </c>
      <c r="B1368" s="2" t="s">
        <v>5110</v>
      </c>
      <c r="C1368" s="2" t="s">
        <v>5633</v>
      </c>
      <c r="D1368" s="2" t="s">
        <v>5634</v>
      </c>
      <c r="E1368" s="2" t="s">
        <v>101</v>
      </c>
      <c r="F1368" s="2" t="s">
        <v>5635</v>
      </c>
    </row>
    <row r="1369" ht="36.0" customHeight="1">
      <c r="A1369" s="3" t="s">
        <v>5636</v>
      </c>
      <c r="B1369" s="3" t="s">
        <v>5110</v>
      </c>
      <c r="C1369" s="3" t="s">
        <v>5637</v>
      </c>
      <c r="D1369" s="3" t="s">
        <v>5638</v>
      </c>
      <c r="E1369" s="3" t="s">
        <v>1583</v>
      </c>
      <c r="F1369" s="3" t="s">
        <v>5639</v>
      </c>
    </row>
    <row r="1370" ht="36.0" customHeight="1">
      <c r="A1370" s="2" t="s">
        <v>5640</v>
      </c>
      <c r="B1370" s="2" t="s">
        <v>5110</v>
      </c>
      <c r="C1370" s="2" t="s">
        <v>5641</v>
      </c>
      <c r="D1370" s="2" t="s">
        <v>5642</v>
      </c>
      <c r="E1370" s="2" t="s">
        <v>101</v>
      </c>
      <c r="F1370" s="2" t="s">
        <v>5643</v>
      </c>
    </row>
    <row r="1371" ht="36.0" customHeight="1">
      <c r="A1371" s="3" t="s">
        <v>5644</v>
      </c>
      <c r="B1371" s="3" t="s">
        <v>5110</v>
      </c>
      <c r="C1371" s="3" t="s">
        <v>5645</v>
      </c>
      <c r="D1371" s="3" t="s">
        <v>5646</v>
      </c>
      <c r="E1371" s="3" t="s">
        <v>5630</v>
      </c>
      <c r="F1371" s="3" t="s">
        <v>5647</v>
      </c>
    </row>
    <row r="1372" ht="36.0" customHeight="1">
      <c r="A1372" s="2" t="s">
        <v>5648</v>
      </c>
      <c r="B1372" s="2" t="s">
        <v>5110</v>
      </c>
      <c r="C1372" s="2" t="s">
        <v>5649</v>
      </c>
      <c r="D1372" s="2" t="s">
        <v>5650</v>
      </c>
      <c r="E1372" s="2" t="s">
        <v>5651</v>
      </c>
      <c r="F1372" s="2" t="s">
        <v>5652</v>
      </c>
    </row>
    <row r="1373" ht="36.0" customHeight="1">
      <c r="A1373" s="3" t="s">
        <v>5653</v>
      </c>
      <c r="B1373" s="3" t="s">
        <v>5654</v>
      </c>
      <c r="C1373" s="3" t="s">
        <v>5655</v>
      </c>
      <c r="D1373" s="3" t="s">
        <v>5656</v>
      </c>
      <c r="E1373" s="3" t="s">
        <v>430</v>
      </c>
      <c r="F1373" s="3" t="s">
        <v>5657</v>
      </c>
    </row>
    <row r="1374" ht="36.0" customHeight="1">
      <c r="A1374" s="2" t="s">
        <v>5658</v>
      </c>
      <c r="B1374" s="2" t="s">
        <v>5654</v>
      </c>
      <c r="C1374" s="2" t="s">
        <v>5659</v>
      </c>
      <c r="D1374" s="2" t="s">
        <v>5660</v>
      </c>
      <c r="E1374" s="2" t="s">
        <v>19</v>
      </c>
      <c r="F1374" s="2" t="s">
        <v>5661</v>
      </c>
    </row>
    <row r="1375" ht="36.0" customHeight="1">
      <c r="A1375" s="3" t="s">
        <v>5662</v>
      </c>
      <c r="B1375" s="3" t="s">
        <v>5654</v>
      </c>
      <c r="C1375" s="3" t="s">
        <v>5663</v>
      </c>
      <c r="D1375" s="3" t="s">
        <v>5664</v>
      </c>
      <c r="E1375" s="3" t="s">
        <v>19</v>
      </c>
      <c r="F1375" s="3" t="s">
        <v>5665</v>
      </c>
    </row>
    <row r="1376" ht="36.0" customHeight="1">
      <c r="A1376" s="2" t="s">
        <v>5666</v>
      </c>
      <c r="B1376" s="2" t="s">
        <v>5654</v>
      </c>
      <c r="C1376" s="2" t="s">
        <v>5667</v>
      </c>
      <c r="D1376" s="2" t="s">
        <v>5668</v>
      </c>
      <c r="E1376" s="2" t="s">
        <v>19</v>
      </c>
      <c r="F1376" s="2" t="s">
        <v>5669</v>
      </c>
    </row>
    <row r="1377" ht="36.0" customHeight="1">
      <c r="A1377" s="3" t="s">
        <v>5670</v>
      </c>
      <c r="B1377" s="3" t="s">
        <v>5654</v>
      </c>
      <c r="C1377" s="3" t="s">
        <v>5671</v>
      </c>
      <c r="D1377" s="3" t="s">
        <v>5672</v>
      </c>
      <c r="E1377" s="3" t="s">
        <v>19</v>
      </c>
      <c r="F1377" s="3" t="s">
        <v>5673</v>
      </c>
    </row>
    <row r="1378" ht="36.0" customHeight="1">
      <c r="A1378" s="2" t="s">
        <v>5674</v>
      </c>
      <c r="B1378" s="2" t="s">
        <v>5654</v>
      </c>
      <c r="C1378" s="2" t="s">
        <v>5675</v>
      </c>
      <c r="D1378" s="2" t="s">
        <v>5676</v>
      </c>
      <c r="E1378" s="2" t="s">
        <v>207</v>
      </c>
      <c r="F1378" s="2" t="s">
        <v>5677</v>
      </c>
    </row>
    <row r="1379" ht="36.0" customHeight="1">
      <c r="A1379" s="3" t="s">
        <v>5678</v>
      </c>
      <c r="B1379" s="3" t="s">
        <v>5654</v>
      </c>
      <c r="C1379" s="3" t="s">
        <v>5679</v>
      </c>
      <c r="D1379" s="3" t="s">
        <v>5680</v>
      </c>
      <c r="E1379" s="3" t="s">
        <v>52</v>
      </c>
      <c r="F1379" s="3" t="s">
        <v>5681</v>
      </c>
    </row>
    <row r="1380" ht="36.0" customHeight="1">
      <c r="A1380" s="2" t="s">
        <v>5682</v>
      </c>
      <c r="B1380" s="2" t="s">
        <v>5654</v>
      </c>
      <c r="C1380" s="2" t="s">
        <v>5683</v>
      </c>
      <c r="D1380" s="2" t="s">
        <v>5684</v>
      </c>
      <c r="E1380" s="2" t="s">
        <v>978</v>
      </c>
      <c r="F1380" s="2" t="s">
        <v>5685</v>
      </c>
    </row>
    <row r="1381" ht="36.0" customHeight="1">
      <c r="A1381" s="3" t="s">
        <v>5686</v>
      </c>
      <c r="B1381" s="3" t="s">
        <v>5654</v>
      </c>
      <c r="C1381" s="3" t="s">
        <v>5687</v>
      </c>
      <c r="D1381" s="3" t="s">
        <v>5688</v>
      </c>
      <c r="E1381" s="3" t="s">
        <v>37</v>
      </c>
      <c r="F1381" s="3" t="s">
        <v>5689</v>
      </c>
    </row>
    <row r="1382" ht="36.0" customHeight="1">
      <c r="A1382" s="2" t="s">
        <v>5690</v>
      </c>
      <c r="B1382" s="2" t="s">
        <v>5654</v>
      </c>
      <c r="C1382" s="2" t="s">
        <v>5691</v>
      </c>
      <c r="D1382" s="2" t="s">
        <v>5692</v>
      </c>
      <c r="E1382" s="2" t="s">
        <v>42</v>
      </c>
      <c r="F1382" s="2" t="s">
        <v>5693</v>
      </c>
    </row>
    <row r="1383" ht="36.0" customHeight="1">
      <c r="A1383" s="3" t="s">
        <v>5694</v>
      </c>
      <c r="B1383" s="3" t="s">
        <v>5654</v>
      </c>
      <c r="C1383" s="3" t="s">
        <v>5695</v>
      </c>
      <c r="D1383" s="3" t="s">
        <v>5696</v>
      </c>
      <c r="E1383" s="3" t="s">
        <v>37</v>
      </c>
      <c r="F1383" s="3" t="s">
        <v>5697</v>
      </c>
    </row>
    <row r="1384" ht="36.0" customHeight="1">
      <c r="A1384" s="2" t="s">
        <v>5698</v>
      </c>
      <c r="B1384" s="2" t="s">
        <v>5654</v>
      </c>
      <c r="C1384" s="2" t="s">
        <v>5699</v>
      </c>
      <c r="D1384" s="2" t="s">
        <v>5700</v>
      </c>
      <c r="E1384" s="2" t="s">
        <v>52</v>
      </c>
      <c r="F1384" s="2" t="s">
        <v>5701</v>
      </c>
    </row>
    <row r="1385" ht="36.0" customHeight="1">
      <c r="A1385" s="3" t="s">
        <v>5702</v>
      </c>
      <c r="B1385" s="3" t="s">
        <v>5654</v>
      </c>
      <c r="C1385" s="3" t="s">
        <v>5703</v>
      </c>
      <c r="D1385" s="3" t="s">
        <v>5704</v>
      </c>
      <c r="E1385" s="3" t="s">
        <v>1655</v>
      </c>
      <c r="F1385" s="3" t="s">
        <v>5705</v>
      </c>
    </row>
    <row r="1386" ht="36.0" customHeight="1">
      <c r="A1386" s="2" t="s">
        <v>5706</v>
      </c>
      <c r="B1386" s="2" t="s">
        <v>5654</v>
      </c>
      <c r="C1386" s="2" t="s">
        <v>5707</v>
      </c>
      <c r="D1386" s="2" t="s">
        <v>5708</v>
      </c>
      <c r="E1386" s="2" t="s">
        <v>1458</v>
      </c>
      <c r="F1386" s="2" t="s">
        <v>5709</v>
      </c>
    </row>
    <row r="1387" ht="36.0" customHeight="1">
      <c r="A1387" s="3" t="s">
        <v>5710</v>
      </c>
      <c r="B1387" s="3" t="s">
        <v>5654</v>
      </c>
      <c r="C1387" s="3" t="s">
        <v>5711</v>
      </c>
      <c r="D1387" s="3" t="s">
        <v>5712</v>
      </c>
      <c r="E1387" s="3" t="s">
        <v>57</v>
      </c>
      <c r="F1387" s="3" t="s">
        <v>5713</v>
      </c>
    </row>
    <row r="1388" ht="36.0" customHeight="1">
      <c r="A1388" s="2" t="s">
        <v>5714</v>
      </c>
      <c r="B1388" s="2" t="s">
        <v>5654</v>
      </c>
      <c r="C1388" s="2" t="s">
        <v>5715</v>
      </c>
      <c r="D1388" s="2" t="s">
        <v>5716</v>
      </c>
      <c r="E1388" s="2" t="s">
        <v>57</v>
      </c>
      <c r="F1388" s="2" t="s">
        <v>5717</v>
      </c>
    </row>
    <row r="1389" ht="36.0" customHeight="1">
      <c r="A1389" s="3" t="s">
        <v>5718</v>
      </c>
      <c r="B1389" s="3" t="s">
        <v>5654</v>
      </c>
      <c r="C1389" s="3" t="s">
        <v>5719</v>
      </c>
      <c r="D1389" s="3" t="s">
        <v>5720</v>
      </c>
      <c r="E1389" s="3" t="s">
        <v>1816</v>
      </c>
      <c r="F1389" s="3" t="s">
        <v>5721</v>
      </c>
    </row>
    <row r="1390" ht="36.0" customHeight="1">
      <c r="A1390" s="2" t="s">
        <v>5722</v>
      </c>
      <c r="B1390" s="2" t="s">
        <v>5654</v>
      </c>
      <c r="C1390" s="2" t="s">
        <v>5723</v>
      </c>
      <c r="D1390" s="2" t="s">
        <v>5724</v>
      </c>
      <c r="E1390" s="2" t="s">
        <v>2408</v>
      </c>
      <c r="F1390" s="2" t="s">
        <v>5725</v>
      </c>
    </row>
    <row r="1391" ht="36.0" customHeight="1">
      <c r="A1391" s="3" t="s">
        <v>5726</v>
      </c>
      <c r="B1391" s="3" t="s">
        <v>5654</v>
      </c>
      <c r="C1391" s="3" t="s">
        <v>5727</v>
      </c>
      <c r="D1391" s="3" t="s">
        <v>5728</v>
      </c>
      <c r="E1391" s="3" t="s">
        <v>608</v>
      </c>
      <c r="F1391" s="3" t="s">
        <v>5729</v>
      </c>
    </row>
    <row r="1392" ht="36.0" customHeight="1">
      <c r="A1392" s="2" t="s">
        <v>5730</v>
      </c>
      <c r="B1392" s="2" t="s">
        <v>5654</v>
      </c>
      <c r="C1392" s="2" t="s">
        <v>5731</v>
      </c>
      <c r="D1392" s="2" t="s">
        <v>5732</v>
      </c>
      <c r="E1392" s="2" t="s">
        <v>608</v>
      </c>
      <c r="F1392" s="2" t="s">
        <v>5733</v>
      </c>
    </row>
    <row r="1393" ht="36.0" customHeight="1">
      <c r="A1393" s="3" t="s">
        <v>5734</v>
      </c>
      <c r="B1393" s="3" t="s">
        <v>5654</v>
      </c>
      <c r="C1393" s="3" t="s">
        <v>5735</v>
      </c>
      <c r="D1393" s="3" t="s">
        <v>5736</v>
      </c>
      <c r="E1393" s="3" t="s">
        <v>229</v>
      </c>
      <c r="F1393" s="3" t="s">
        <v>5737</v>
      </c>
    </row>
    <row r="1394" ht="36.0" customHeight="1">
      <c r="A1394" s="2" t="s">
        <v>5738</v>
      </c>
      <c r="B1394" s="2" t="s">
        <v>5654</v>
      </c>
      <c r="C1394" s="2" t="s">
        <v>5739</v>
      </c>
      <c r="D1394" s="2" t="s">
        <v>5740</v>
      </c>
      <c r="E1394" s="2" t="s">
        <v>229</v>
      </c>
      <c r="F1394" s="2" t="s">
        <v>5741</v>
      </c>
    </row>
    <row r="1395" ht="36.0" customHeight="1">
      <c r="A1395" s="3" t="s">
        <v>5742</v>
      </c>
      <c r="B1395" s="3" t="s">
        <v>5654</v>
      </c>
      <c r="C1395" s="3" t="s">
        <v>5743</v>
      </c>
      <c r="D1395" s="3" t="s">
        <v>5744</v>
      </c>
      <c r="E1395" s="3" t="s">
        <v>229</v>
      </c>
      <c r="F1395" s="3" t="s">
        <v>5745</v>
      </c>
    </row>
    <row r="1396" ht="36.0" customHeight="1">
      <c r="A1396" s="2" t="s">
        <v>5746</v>
      </c>
      <c r="B1396" s="2" t="s">
        <v>5654</v>
      </c>
      <c r="C1396" s="2" t="s">
        <v>5747</v>
      </c>
      <c r="D1396" s="2" t="s">
        <v>5748</v>
      </c>
      <c r="E1396" s="2" t="s">
        <v>229</v>
      </c>
      <c r="F1396" s="2" t="s">
        <v>5749</v>
      </c>
    </row>
    <row r="1397" ht="36.0" customHeight="1">
      <c r="A1397" s="3" t="s">
        <v>5750</v>
      </c>
      <c r="B1397" s="3" t="s">
        <v>5654</v>
      </c>
      <c r="C1397" s="3" t="s">
        <v>5751</v>
      </c>
      <c r="D1397" s="3" t="s">
        <v>5752</v>
      </c>
      <c r="E1397" s="3" t="s">
        <v>229</v>
      </c>
      <c r="F1397" s="3" t="s">
        <v>5753</v>
      </c>
    </row>
    <row r="1398" ht="36.0" customHeight="1">
      <c r="A1398" s="2" t="s">
        <v>5754</v>
      </c>
      <c r="B1398" s="2" t="s">
        <v>5654</v>
      </c>
      <c r="C1398" s="2" t="s">
        <v>5755</v>
      </c>
      <c r="D1398" s="2" t="s">
        <v>5756</v>
      </c>
      <c r="E1398" s="2" t="s">
        <v>695</v>
      </c>
      <c r="F1398" s="2" t="s">
        <v>5757</v>
      </c>
    </row>
    <row r="1399" ht="36.0" customHeight="1">
      <c r="A1399" s="3" t="s">
        <v>5758</v>
      </c>
      <c r="B1399" s="3" t="s">
        <v>5654</v>
      </c>
      <c r="C1399" s="3" t="s">
        <v>5759</v>
      </c>
      <c r="D1399" s="3" t="s">
        <v>5760</v>
      </c>
      <c r="E1399" s="3" t="s">
        <v>695</v>
      </c>
      <c r="F1399" s="3" t="s">
        <v>5761</v>
      </c>
    </row>
    <row r="1400" ht="36.0" customHeight="1">
      <c r="A1400" s="2" t="s">
        <v>5762</v>
      </c>
      <c r="B1400" s="2" t="s">
        <v>5654</v>
      </c>
      <c r="C1400" s="2" t="s">
        <v>5763</v>
      </c>
      <c r="D1400" s="2" t="s">
        <v>5764</v>
      </c>
      <c r="E1400" s="2" t="s">
        <v>695</v>
      </c>
      <c r="F1400" s="2" t="s">
        <v>5765</v>
      </c>
    </row>
    <row r="1401" ht="36.0" customHeight="1">
      <c r="A1401" s="3" t="s">
        <v>5766</v>
      </c>
      <c r="B1401" s="3" t="s">
        <v>5654</v>
      </c>
      <c r="C1401" s="3" t="s">
        <v>5767</v>
      </c>
      <c r="D1401" s="3" t="s">
        <v>5768</v>
      </c>
      <c r="E1401" s="3" t="s">
        <v>2208</v>
      </c>
      <c r="F1401" s="3" t="s">
        <v>5769</v>
      </c>
    </row>
    <row r="1402" ht="36.0" customHeight="1">
      <c r="A1402" s="2" t="s">
        <v>5770</v>
      </c>
      <c r="B1402" s="2" t="s">
        <v>5654</v>
      </c>
      <c r="C1402" s="2" t="s">
        <v>5771</v>
      </c>
      <c r="D1402" s="2" t="s">
        <v>5772</v>
      </c>
      <c r="E1402" s="2" t="s">
        <v>2208</v>
      </c>
      <c r="F1402" s="2" t="s">
        <v>5773</v>
      </c>
    </row>
    <row r="1403" ht="36.0" customHeight="1">
      <c r="A1403" s="3" t="s">
        <v>5774</v>
      </c>
      <c r="B1403" s="3" t="s">
        <v>5654</v>
      </c>
      <c r="C1403" s="3" t="s">
        <v>5775</v>
      </c>
      <c r="D1403" s="3" t="s">
        <v>5776</v>
      </c>
      <c r="E1403" s="3" t="s">
        <v>695</v>
      </c>
      <c r="F1403" s="3" t="s">
        <v>5777</v>
      </c>
    </row>
    <row r="1404" ht="36.0" customHeight="1">
      <c r="A1404" s="2" t="s">
        <v>5778</v>
      </c>
      <c r="B1404" s="2" t="s">
        <v>5654</v>
      </c>
      <c r="C1404" s="2" t="s">
        <v>5779</v>
      </c>
      <c r="D1404" s="2" t="s">
        <v>5780</v>
      </c>
      <c r="E1404" s="2" t="s">
        <v>724</v>
      </c>
      <c r="F1404" s="2" t="s">
        <v>5781</v>
      </c>
    </row>
    <row r="1405" ht="36.0" customHeight="1">
      <c r="A1405" s="3" t="s">
        <v>5782</v>
      </c>
      <c r="B1405" s="3" t="s">
        <v>5654</v>
      </c>
      <c r="C1405" s="3" t="s">
        <v>5783</v>
      </c>
      <c r="D1405" s="3" t="s">
        <v>5784</v>
      </c>
      <c r="E1405" s="3" t="s">
        <v>2010</v>
      </c>
      <c r="F1405" s="3" t="s">
        <v>5785</v>
      </c>
    </row>
    <row r="1406" ht="36.0" customHeight="1">
      <c r="A1406" s="2" t="s">
        <v>5786</v>
      </c>
      <c r="B1406" s="2" t="s">
        <v>5654</v>
      </c>
      <c r="C1406" s="2" t="s">
        <v>5787</v>
      </c>
      <c r="D1406" s="2" t="s">
        <v>5788</v>
      </c>
      <c r="E1406" s="2" t="s">
        <v>1297</v>
      </c>
      <c r="F1406" s="2" t="s">
        <v>5789</v>
      </c>
    </row>
    <row r="1407" ht="36.0" customHeight="1">
      <c r="A1407" s="3" t="s">
        <v>5790</v>
      </c>
      <c r="B1407" s="3" t="s">
        <v>5654</v>
      </c>
      <c r="C1407" s="3" t="s">
        <v>5791</v>
      </c>
      <c r="D1407" s="3" t="s">
        <v>5792</v>
      </c>
      <c r="E1407" s="3" t="s">
        <v>1855</v>
      </c>
      <c r="F1407" s="3" t="s">
        <v>5793</v>
      </c>
    </row>
    <row r="1408" ht="36.0" customHeight="1">
      <c r="A1408" s="2" t="s">
        <v>5794</v>
      </c>
      <c r="B1408" s="2" t="s">
        <v>5654</v>
      </c>
      <c r="C1408" s="2" t="s">
        <v>5795</v>
      </c>
      <c r="D1408" s="2" t="s">
        <v>5796</v>
      </c>
      <c r="E1408" s="2" t="s">
        <v>340</v>
      </c>
      <c r="F1408" s="2" t="s">
        <v>5797</v>
      </c>
    </row>
    <row r="1409" ht="36.0" customHeight="1">
      <c r="A1409" s="3" t="s">
        <v>5798</v>
      </c>
      <c r="B1409" s="3" t="s">
        <v>5654</v>
      </c>
      <c r="C1409" s="3" t="s">
        <v>5799</v>
      </c>
      <c r="D1409" s="3" t="s">
        <v>5800</v>
      </c>
      <c r="E1409" s="3" t="s">
        <v>1855</v>
      </c>
      <c r="F1409" s="3" t="s">
        <v>5801</v>
      </c>
    </row>
    <row r="1410" ht="36.0" customHeight="1">
      <c r="A1410" s="2" t="s">
        <v>5802</v>
      </c>
      <c r="B1410" s="2" t="s">
        <v>5654</v>
      </c>
      <c r="C1410" s="2" t="s">
        <v>5803</v>
      </c>
      <c r="D1410" s="2" t="s">
        <v>5804</v>
      </c>
      <c r="E1410" s="2" t="s">
        <v>1997</v>
      </c>
      <c r="F1410" s="2" t="s">
        <v>5805</v>
      </c>
    </row>
    <row r="1411" ht="36.0" customHeight="1">
      <c r="A1411" s="3" t="s">
        <v>5806</v>
      </c>
      <c r="B1411" s="3" t="s">
        <v>5654</v>
      </c>
      <c r="C1411" s="3" t="s">
        <v>5807</v>
      </c>
      <c r="D1411" s="3" t="s">
        <v>5808</v>
      </c>
      <c r="E1411" s="3" t="s">
        <v>1855</v>
      </c>
      <c r="F1411" s="3" t="s">
        <v>5809</v>
      </c>
    </row>
    <row r="1412" ht="36.0" customHeight="1">
      <c r="A1412" s="2" t="s">
        <v>5810</v>
      </c>
      <c r="B1412" s="2" t="s">
        <v>5654</v>
      </c>
      <c r="C1412" s="2" t="s">
        <v>5811</v>
      </c>
      <c r="D1412" s="2" t="s">
        <v>5812</v>
      </c>
      <c r="E1412" s="2" t="s">
        <v>1855</v>
      </c>
      <c r="F1412" s="2" t="s">
        <v>5813</v>
      </c>
    </row>
    <row r="1413" ht="36.0" customHeight="1">
      <c r="A1413" s="3" t="s">
        <v>5814</v>
      </c>
      <c r="B1413" s="3" t="s">
        <v>5654</v>
      </c>
      <c r="C1413" s="3" t="s">
        <v>5815</v>
      </c>
      <c r="D1413" s="3" t="s">
        <v>5816</v>
      </c>
      <c r="E1413" s="3" t="s">
        <v>1516</v>
      </c>
      <c r="F1413" s="3" t="s">
        <v>5817</v>
      </c>
    </row>
    <row r="1414" ht="36.0" customHeight="1">
      <c r="A1414" s="2" t="s">
        <v>5818</v>
      </c>
      <c r="B1414" s="2" t="s">
        <v>5654</v>
      </c>
      <c r="C1414" s="2" t="s">
        <v>5819</v>
      </c>
      <c r="D1414" s="2" t="s">
        <v>5820</v>
      </c>
      <c r="E1414" s="2" t="s">
        <v>1516</v>
      </c>
      <c r="F1414" s="2" t="s">
        <v>5821</v>
      </c>
    </row>
    <row r="1415" ht="36.0" customHeight="1">
      <c r="A1415" s="3" t="s">
        <v>5822</v>
      </c>
      <c r="B1415" s="3" t="s">
        <v>5654</v>
      </c>
      <c r="C1415" s="3" t="s">
        <v>5823</v>
      </c>
      <c r="D1415" s="3" t="s">
        <v>5824</v>
      </c>
      <c r="E1415" s="3"/>
      <c r="F1415" s="3" t="s">
        <v>5825</v>
      </c>
    </row>
    <row r="1416" ht="36.0" customHeight="1">
      <c r="A1416" s="2" t="s">
        <v>5826</v>
      </c>
      <c r="B1416" s="2" t="s">
        <v>5654</v>
      </c>
      <c r="C1416" s="2" t="s">
        <v>5827</v>
      </c>
      <c r="D1416" s="2" t="s">
        <v>5828</v>
      </c>
      <c r="E1416" s="2" t="s">
        <v>937</v>
      </c>
      <c r="F1416" s="2" t="s">
        <v>5829</v>
      </c>
    </row>
    <row r="1417" ht="36.0" customHeight="1">
      <c r="A1417" s="3" t="s">
        <v>5830</v>
      </c>
      <c r="B1417" s="3" t="s">
        <v>5654</v>
      </c>
      <c r="C1417" s="3" t="s">
        <v>5831</v>
      </c>
      <c r="D1417" s="3" t="s">
        <v>5832</v>
      </c>
      <c r="E1417" s="3" t="s">
        <v>1756</v>
      </c>
      <c r="F1417" s="3" t="s">
        <v>5833</v>
      </c>
    </row>
    <row r="1418" ht="36.0" customHeight="1">
      <c r="A1418" s="2" t="s">
        <v>5834</v>
      </c>
      <c r="B1418" s="2" t="s">
        <v>5654</v>
      </c>
      <c r="C1418" s="2" t="s">
        <v>5835</v>
      </c>
      <c r="D1418" s="2" t="s">
        <v>5836</v>
      </c>
      <c r="E1418" s="2" t="s">
        <v>1756</v>
      </c>
      <c r="F1418" s="2" t="s">
        <v>5837</v>
      </c>
    </row>
    <row r="1419" ht="36.0" customHeight="1">
      <c r="A1419" s="3" t="s">
        <v>5838</v>
      </c>
      <c r="B1419" s="3" t="s">
        <v>5654</v>
      </c>
      <c r="C1419" s="3" t="s">
        <v>5839</v>
      </c>
      <c r="D1419" s="3" t="s">
        <v>5840</v>
      </c>
      <c r="E1419" s="3" t="s">
        <v>1655</v>
      </c>
      <c r="F1419" s="3" t="s">
        <v>5841</v>
      </c>
    </row>
    <row r="1420" ht="36.0" customHeight="1">
      <c r="A1420" s="2" t="s">
        <v>5842</v>
      </c>
      <c r="B1420" s="2" t="s">
        <v>5654</v>
      </c>
      <c r="C1420" s="2" t="s">
        <v>5843</v>
      </c>
      <c r="D1420" s="2" t="s">
        <v>5844</v>
      </c>
      <c r="E1420" s="2" t="s">
        <v>2208</v>
      </c>
      <c r="F1420" s="2" t="s">
        <v>5845</v>
      </c>
    </row>
    <row r="1421" ht="36.0" customHeight="1">
      <c r="A1421" s="3" t="s">
        <v>5846</v>
      </c>
      <c r="B1421" s="3" t="s">
        <v>5654</v>
      </c>
      <c r="C1421" s="3" t="s">
        <v>5847</v>
      </c>
      <c r="D1421" s="3" t="s">
        <v>5848</v>
      </c>
      <c r="E1421" s="3" t="s">
        <v>2208</v>
      </c>
      <c r="F1421" s="3" t="s">
        <v>5849</v>
      </c>
    </row>
    <row r="1422" ht="36.0" customHeight="1">
      <c r="A1422" s="2" t="s">
        <v>5850</v>
      </c>
      <c r="B1422" s="2" t="s">
        <v>5654</v>
      </c>
      <c r="C1422" s="2" t="s">
        <v>5851</v>
      </c>
      <c r="D1422" s="2" t="s">
        <v>5852</v>
      </c>
      <c r="E1422" s="2" t="s">
        <v>2208</v>
      </c>
      <c r="F1422" s="2" t="s">
        <v>5853</v>
      </c>
    </row>
    <row r="1423" ht="36.0" customHeight="1">
      <c r="A1423" s="3" t="s">
        <v>5854</v>
      </c>
      <c r="B1423" s="3" t="s">
        <v>5654</v>
      </c>
      <c r="C1423" s="3" t="s">
        <v>5855</v>
      </c>
      <c r="D1423" s="3" t="s">
        <v>5856</v>
      </c>
      <c r="E1423" s="3" t="s">
        <v>62</v>
      </c>
      <c r="F1423" s="3" t="s">
        <v>5857</v>
      </c>
    </row>
    <row r="1424" ht="36.0" customHeight="1">
      <c r="A1424" s="2" t="s">
        <v>5858</v>
      </c>
      <c r="B1424" s="2" t="s">
        <v>5654</v>
      </c>
      <c r="C1424" s="2" t="s">
        <v>5859</v>
      </c>
      <c r="D1424" s="2" t="s">
        <v>5860</v>
      </c>
      <c r="E1424" s="2" t="s">
        <v>2833</v>
      </c>
      <c r="F1424" s="2" t="s">
        <v>5861</v>
      </c>
    </row>
    <row r="1425" ht="36.0" customHeight="1">
      <c r="A1425" s="3" t="s">
        <v>5862</v>
      </c>
      <c r="B1425" s="3" t="s">
        <v>5654</v>
      </c>
      <c r="C1425" s="3" t="s">
        <v>5863</v>
      </c>
      <c r="D1425" s="3" t="s">
        <v>5864</v>
      </c>
      <c r="E1425" s="3" t="s">
        <v>1855</v>
      </c>
      <c r="F1425" s="3" t="s">
        <v>5865</v>
      </c>
    </row>
    <row r="1426" ht="36.0" customHeight="1">
      <c r="A1426" s="2" t="s">
        <v>5866</v>
      </c>
      <c r="B1426" s="2" t="s">
        <v>5654</v>
      </c>
      <c r="C1426" s="2" t="s">
        <v>5867</v>
      </c>
      <c r="D1426" s="2" t="s">
        <v>5868</v>
      </c>
      <c r="E1426" s="2" t="s">
        <v>1855</v>
      </c>
      <c r="F1426" s="2" t="s">
        <v>5869</v>
      </c>
    </row>
    <row r="1427" ht="36.0" customHeight="1">
      <c r="A1427" s="3" t="s">
        <v>5870</v>
      </c>
      <c r="B1427" s="3" t="s">
        <v>5654</v>
      </c>
      <c r="C1427" s="3" t="s">
        <v>5871</v>
      </c>
      <c r="D1427" s="3" t="s">
        <v>5872</v>
      </c>
      <c r="E1427" s="3" t="s">
        <v>166</v>
      </c>
      <c r="F1427" s="3" t="s">
        <v>5873</v>
      </c>
    </row>
    <row r="1428" ht="36.0" customHeight="1">
      <c r="A1428" s="2" t="s">
        <v>5874</v>
      </c>
      <c r="B1428" s="2" t="s">
        <v>5654</v>
      </c>
      <c r="C1428" s="2" t="s">
        <v>5875</v>
      </c>
      <c r="D1428" s="2" t="s">
        <v>5876</v>
      </c>
      <c r="E1428" s="2" t="s">
        <v>430</v>
      </c>
      <c r="F1428" s="2" t="s">
        <v>5877</v>
      </c>
    </row>
    <row r="1429" ht="36.0" customHeight="1">
      <c r="A1429" s="3" t="s">
        <v>5878</v>
      </c>
      <c r="B1429" s="3" t="s">
        <v>5654</v>
      </c>
      <c r="C1429" s="3" t="s">
        <v>5879</v>
      </c>
      <c r="D1429" s="3" t="s">
        <v>5880</v>
      </c>
      <c r="E1429" s="3" t="s">
        <v>430</v>
      </c>
      <c r="F1429" s="3" t="s">
        <v>5881</v>
      </c>
    </row>
    <row r="1430" ht="36.0" customHeight="1">
      <c r="A1430" s="2" t="s">
        <v>5882</v>
      </c>
      <c r="B1430" s="2" t="s">
        <v>5654</v>
      </c>
      <c r="C1430" s="2" t="s">
        <v>5883</v>
      </c>
      <c r="D1430" s="2" t="s">
        <v>5884</v>
      </c>
      <c r="E1430" s="2" t="s">
        <v>435</v>
      </c>
      <c r="F1430" s="2" t="s">
        <v>5885</v>
      </c>
    </row>
    <row r="1431" ht="36.0" customHeight="1">
      <c r="A1431" s="3" t="s">
        <v>5886</v>
      </c>
      <c r="B1431" s="3" t="s">
        <v>5654</v>
      </c>
      <c r="C1431" s="3" t="s">
        <v>5887</v>
      </c>
      <c r="D1431" s="3" t="s">
        <v>5888</v>
      </c>
      <c r="E1431" s="3" t="s">
        <v>435</v>
      </c>
      <c r="F1431" s="3" t="s">
        <v>5889</v>
      </c>
    </row>
    <row r="1432" ht="36.0" customHeight="1">
      <c r="A1432" s="2" t="s">
        <v>5890</v>
      </c>
      <c r="B1432" s="2" t="s">
        <v>5654</v>
      </c>
      <c r="C1432" s="2" t="s">
        <v>5891</v>
      </c>
      <c r="D1432" s="2" t="s">
        <v>5892</v>
      </c>
      <c r="E1432" s="2" t="s">
        <v>1458</v>
      </c>
      <c r="F1432" s="2" t="s">
        <v>5893</v>
      </c>
    </row>
    <row r="1433" ht="36.0" customHeight="1">
      <c r="A1433" s="3" t="s">
        <v>5894</v>
      </c>
      <c r="B1433" s="3" t="s">
        <v>5654</v>
      </c>
      <c r="C1433" s="3" t="s">
        <v>5895</v>
      </c>
      <c r="D1433" s="3" t="s">
        <v>5896</v>
      </c>
      <c r="E1433" s="3" t="s">
        <v>229</v>
      </c>
      <c r="F1433" s="3" t="s">
        <v>5897</v>
      </c>
    </row>
    <row r="1434" ht="36.0" customHeight="1">
      <c r="A1434" s="2" t="s">
        <v>5898</v>
      </c>
      <c r="B1434" s="2" t="s">
        <v>5654</v>
      </c>
      <c r="C1434" s="2" t="s">
        <v>5899</v>
      </c>
      <c r="D1434" s="2" t="s">
        <v>5900</v>
      </c>
      <c r="E1434" s="2" t="s">
        <v>110</v>
      </c>
      <c r="F1434" s="2" t="s">
        <v>5901</v>
      </c>
    </row>
    <row r="1435" ht="36.0" customHeight="1">
      <c r="A1435" s="3" t="s">
        <v>5902</v>
      </c>
      <c r="B1435" s="3" t="s">
        <v>5654</v>
      </c>
      <c r="C1435" s="3" t="s">
        <v>5903</v>
      </c>
      <c r="D1435" s="3" t="s">
        <v>5904</v>
      </c>
      <c r="E1435" s="3" t="s">
        <v>430</v>
      </c>
      <c r="F1435" s="3" t="s">
        <v>5905</v>
      </c>
    </row>
    <row r="1436" ht="36.0" customHeight="1">
      <c r="A1436" s="2" t="s">
        <v>5906</v>
      </c>
      <c r="B1436" s="2" t="s">
        <v>5654</v>
      </c>
      <c r="C1436" s="2" t="s">
        <v>5907</v>
      </c>
      <c r="D1436" s="2" t="s">
        <v>5908</v>
      </c>
      <c r="E1436" s="2" t="s">
        <v>5909</v>
      </c>
      <c r="F1436" s="2" t="s">
        <v>5910</v>
      </c>
    </row>
    <row r="1437" ht="36.0" customHeight="1">
      <c r="A1437" s="3" t="s">
        <v>5911</v>
      </c>
      <c r="B1437" s="3" t="s">
        <v>5654</v>
      </c>
      <c r="C1437" s="3" t="s">
        <v>5912</v>
      </c>
      <c r="D1437" s="3" t="s">
        <v>5913</v>
      </c>
      <c r="E1437" s="3" t="s">
        <v>229</v>
      </c>
      <c r="F1437" s="3" t="s">
        <v>5914</v>
      </c>
    </row>
    <row r="1438" ht="36.0" customHeight="1">
      <c r="A1438" s="2" t="s">
        <v>5915</v>
      </c>
      <c r="B1438" s="2" t="s">
        <v>5654</v>
      </c>
      <c r="C1438" s="2" t="s">
        <v>5916</v>
      </c>
      <c r="D1438" s="2" t="s">
        <v>5917</v>
      </c>
      <c r="E1438" s="2" t="s">
        <v>110</v>
      </c>
      <c r="F1438" s="2" t="s">
        <v>5918</v>
      </c>
    </row>
    <row r="1439" ht="36.0" customHeight="1">
      <c r="A1439" s="3" t="s">
        <v>5919</v>
      </c>
      <c r="B1439" s="3" t="s">
        <v>5654</v>
      </c>
      <c r="C1439" s="3" t="s">
        <v>5920</v>
      </c>
      <c r="D1439" s="3" t="s">
        <v>5921</v>
      </c>
      <c r="E1439" s="3"/>
      <c r="F1439" s="3" t="s">
        <v>5922</v>
      </c>
    </row>
    <row r="1440" ht="36.0" customHeight="1">
      <c r="A1440" s="2" t="s">
        <v>5923</v>
      </c>
      <c r="B1440" s="2" t="s">
        <v>5654</v>
      </c>
      <c r="C1440" s="2" t="s">
        <v>5924</v>
      </c>
      <c r="D1440" s="2" t="s">
        <v>5925</v>
      </c>
      <c r="E1440" s="2" t="s">
        <v>110</v>
      </c>
      <c r="F1440" s="2" t="s">
        <v>5926</v>
      </c>
    </row>
    <row r="1441" ht="36.0" customHeight="1">
      <c r="A1441" s="3" t="s">
        <v>5927</v>
      </c>
      <c r="B1441" s="3" t="s">
        <v>5654</v>
      </c>
      <c r="C1441" s="3" t="s">
        <v>5928</v>
      </c>
      <c r="D1441" s="3" t="s">
        <v>5929</v>
      </c>
      <c r="E1441" s="3" t="s">
        <v>110</v>
      </c>
      <c r="F1441" s="3" t="s">
        <v>5930</v>
      </c>
    </row>
    <row r="1442" ht="36.0" customHeight="1">
      <c r="A1442" s="2" t="s">
        <v>5931</v>
      </c>
      <c r="B1442" s="2" t="s">
        <v>5654</v>
      </c>
      <c r="C1442" s="2" t="s">
        <v>5932</v>
      </c>
      <c r="D1442" s="2" t="s">
        <v>5933</v>
      </c>
      <c r="E1442" s="2" t="s">
        <v>430</v>
      </c>
      <c r="F1442" s="2" t="s">
        <v>5934</v>
      </c>
    </row>
    <row r="1443" ht="36.0" customHeight="1">
      <c r="A1443" s="3" t="s">
        <v>5935</v>
      </c>
      <c r="B1443" s="3" t="s">
        <v>5654</v>
      </c>
      <c r="C1443" s="3" t="s">
        <v>5936</v>
      </c>
      <c r="D1443" s="3" t="s">
        <v>5937</v>
      </c>
      <c r="E1443" s="3" t="s">
        <v>435</v>
      </c>
      <c r="F1443" s="3" t="s">
        <v>5938</v>
      </c>
    </row>
    <row r="1444" ht="36.0" customHeight="1">
      <c r="A1444" s="2" t="s">
        <v>5939</v>
      </c>
      <c r="B1444" s="2" t="s">
        <v>5654</v>
      </c>
      <c r="C1444" s="2" t="s">
        <v>5940</v>
      </c>
      <c r="D1444" s="2" t="s">
        <v>5941</v>
      </c>
      <c r="E1444" s="2" t="s">
        <v>62</v>
      </c>
      <c r="F1444" s="2" t="s">
        <v>5942</v>
      </c>
    </row>
    <row r="1445" ht="36.0" customHeight="1">
      <c r="A1445" s="3" t="s">
        <v>5943</v>
      </c>
      <c r="B1445" s="3" t="s">
        <v>5654</v>
      </c>
      <c r="C1445" s="3" t="s">
        <v>5944</v>
      </c>
      <c r="D1445" s="3" t="s">
        <v>5945</v>
      </c>
      <c r="E1445" s="3" t="s">
        <v>695</v>
      </c>
      <c r="F1445" s="3" t="s">
        <v>5946</v>
      </c>
    </row>
    <row r="1446" ht="36.0" customHeight="1">
      <c r="A1446" s="2" t="s">
        <v>5947</v>
      </c>
      <c r="B1446" s="2" t="s">
        <v>5654</v>
      </c>
      <c r="C1446" s="2" t="s">
        <v>5948</v>
      </c>
      <c r="D1446" s="2" t="s">
        <v>5949</v>
      </c>
      <c r="E1446" s="2" t="s">
        <v>695</v>
      </c>
      <c r="F1446" s="2" t="s">
        <v>5950</v>
      </c>
    </row>
    <row r="1447" ht="36.0" customHeight="1">
      <c r="A1447" s="3" t="s">
        <v>5951</v>
      </c>
      <c r="B1447" s="3" t="s">
        <v>5654</v>
      </c>
      <c r="C1447" s="3" t="s">
        <v>5952</v>
      </c>
      <c r="D1447" s="3" t="s">
        <v>5953</v>
      </c>
      <c r="E1447" s="3" t="s">
        <v>695</v>
      </c>
      <c r="F1447" s="3" t="s">
        <v>5954</v>
      </c>
    </row>
    <row r="1448" ht="36.0" customHeight="1">
      <c r="A1448" s="2" t="s">
        <v>5955</v>
      </c>
      <c r="B1448" s="2" t="s">
        <v>5654</v>
      </c>
      <c r="C1448" s="2" t="s">
        <v>5956</v>
      </c>
      <c r="D1448" s="2" t="s">
        <v>5957</v>
      </c>
      <c r="E1448" s="2" t="s">
        <v>695</v>
      </c>
      <c r="F1448" s="2" t="s">
        <v>5958</v>
      </c>
    </row>
    <row r="1449" ht="36.0" customHeight="1">
      <c r="A1449" s="3" t="s">
        <v>5959</v>
      </c>
      <c r="B1449" s="3" t="s">
        <v>5654</v>
      </c>
      <c r="C1449" s="3" t="s">
        <v>5960</v>
      </c>
      <c r="D1449" s="3" t="s">
        <v>5961</v>
      </c>
      <c r="E1449" s="3" t="s">
        <v>695</v>
      </c>
      <c r="F1449" s="3" t="s">
        <v>5962</v>
      </c>
    </row>
    <row r="1450" ht="36.0" customHeight="1">
      <c r="A1450" s="2" t="s">
        <v>5963</v>
      </c>
      <c r="B1450" s="2" t="s">
        <v>5654</v>
      </c>
      <c r="C1450" s="2" t="s">
        <v>5964</v>
      </c>
      <c r="D1450" s="2" t="s">
        <v>5965</v>
      </c>
      <c r="E1450" s="2" t="s">
        <v>937</v>
      </c>
      <c r="F1450" s="2" t="s">
        <v>5966</v>
      </c>
    </row>
    <row r="1451" ht="36.0" customHeight="1">
      <c r="A1451" s="3" t="s">
        <v>5967</v>
      </c>
      <c r="B1451" s="3" t="s">
        <v>5654</v>
      </c>
      <c r="C1451" s="3" t="s">
        <v>5968</v>
      </c>
      <c r="D1451" s="3" t="s">
        <v>5969</v>
      </c>
      <c r="E1451" s="3" t="s">
        <v>1583</v>
      </c>
      <c r="F1451" s="3" t="s">
        <v>5970</v>
      </c>
    </row>
    <row r="1452" ht="36.0" customHeight="1">
      <c r="A1452" s="2" t="s">
        <v>5971</v>
      </c>
      <c r="B1452" s="2" t="s">
        <v>5654</v>
      </c>
      <c r="C1452" s="2" t="s">
        <v>5972</v>
      </c>
      <c r="D1452" s="2" t="s">
        <v>5973</v>
      </c>
      <c r="E1452" s="2" t="s">
        <v>1655</v>
      </c>
      <c r="F1452" s="2" t="s">
        <v>5974</v>
      </c>
    </row>
    <row r="1453" ht="36.0" customHeight="1">
      <c r="A1453" s="3" t="s">
        <v>5975</v>
      </c>
      <c r="B1453" s="3" t="s">
        <v>5654</v>
      </c>
      <c r="C1453" s="3" t="s">
        <v>5976</v>
      </c>
      <c r="D1453" s="3" t="s">
        <v>5977</v>
      </c>
      <c r="E1453" s="3" t="s">
        <v>608</v>
      </c>
      <c r="F1453" s="3" t="s">
        <v>5978</v>
      </c>
    </row>
    <row r="1454" ht="36.0" customHeight="1">
      <c r="A1454" s="2" t="s">
        <v>5979</v>
      </c>
      <c r="B1454" s="2" t="s">
        <v>5654</v>
      </c>
      <c r="C1454" s="2" t="s">
        <v>5980</v>
      </c>
      <c r="D1454" s="2" t="s">
        <v>5981</v>
      </c>
      <c r="E1454" s="2" t="s">
        <v>5982</v>
      </c>
      <c r="F1454" s="2" t="s">
        <v>5983</v>
      </c>
    </row>
    <row r="1455" ht="36.0" customHeight="1">
      <c r="A1455" s="3" t="s">
        <v>5984</v>
      </c>
      <c r="B1455" s="3" t="s">
        <v>5654</v>
      </c>
      <c r="C1455" s="3" t="s">
        <v>5985</v>
      </c>
      <c r="D1455" s="3" t="s">
        <v>5986</v>
      </c>
      <c r="E1455" s="3" t="s">
        <v>724</v>
      </c>
      <c r="F1455" s="3" t="s">
        <v>5987</v>
      </c>
    </row>
    <row r="1456" ht="36.0" customHeight="1">
      <c r="A1456" s="2" t="s">
        <v>5988</v>
      </c>
      <c r="B1456" s="2" t="s">
        <v>5654</v>
      </c>
      <c r="C1456" s="2" t="s">
        <v>5989</v>
      </c>
      <c r="D1456" s="2" t="s">
        <v>5990</v>
      </c>
      <c r="E1456" s="2" t="s">
        <v>1250</v>
      </c>
      <c r="F1456" s="2" t="s">
        <v>5991</v>
      </c>
    </row>
    <row r="1457" ht="36.0" customHeight="1">
      <c r="A1457" s="3" t="s">
        <v>5992</v>
      </c>
      <c r="B1457" s="3" t="s">
        <v>5654</v>
      </c>
      <c r="C1457" s="3" t="s">
        <v>5993</v>
      </c>
      <c r="D1457" s="3" t="s">
        <v>5994</v>
      </c>
      <c r="E1457" s="3" t="s">
        <v>1855</v>
      </c>
      <c r="F1457" s="3" t="s">
        <v>5995</v>
      </c>
    </row>
    <row r="1458" ht="36.0" customHeight="1">
      <c r="A1458" s="2" t="s">
        <v>5996</v>
      </c>
      <c r="B1458" s="2" t="s">
        <v>5654</v>
      </c>
      <c r="C1458" s="2" t="s">
        <v>5997</v>
      </c>
      <c r="D1458" s="2" t="s">
        <v>5998</v>
      </c>
      <c r="E1458" s="2" t="s">
        <v>2010</v>
      </c>
      <c r="F1458" s="2" t="s">
        <v>5999</v>
      </c>
    </row>
    <row r="1459" ht="36.0" customHeight="1">
      <c r="A1459" s="3" t="s">
        <v>6000</v>
      </c>
      <c r="B1459" s="3" t="s">
        <v>5654</v>
      </c>
      <c r="C1459" s="3" t="s">
        <v>6001</v>
      </c>
      <c r="D1459" s="3" t="s">
        <v>6002</v>
      </c>
      <c r="E1459" s="3" t="s">
        <v>1756</v>
      </c>
      <c r="F1459" s="3" t="s">
        <v>6003</v>
      </c>
    </row>
    <row r="1460" ht="36.0" customHeight="1">
      <c r="A1460" s="2" t="s">
        <v>6004</v>
      </c>
      <c r="B1460" s="2" t="s">
        <v>5654</v>
      </c>
      <c r="C1460" s="2" t="s">
        <v>6005</v>
      </c>
      <c r="D1460" s="2" t="s">
        <v>6006</v>
      </c>
      <c r="E1460" s="2" t="s">
        <v>1756</v>
      </c>
      <c r="F1460" s="2" t="s">
        <v>6007</v>
      </c>
    </row>
    <row r="1461" ht="36.0" customHeight="1">
      <c r="A1461" s="3" t="s">
        <v>6008</v>
      </c>
      <c r="B1461" s="3" t="s">
        <v>5654</v>
      </c>
      <c r="C1461" s="3" t="s">
        <v>6009</v>
      </c>
      <c r="D1461" s="3" t="s">
        <v>6010</v>
      </c>
      <c r="E1461" s="3" t="s">
        <v>1816</v>
      </c>
      <c r="F1461" s="3" t="s">
        <v>6011</v>
      </c>
    </row>
    <row r="1462" ht="36.0" customHeight="1">
      <c r="A1462" s="2" t="s">
        <v>6012</v>
      </c>
      <c r="B1462" s="2" t="s">
        <v>5654</v>
      </c>
      <c r="C1462" s="2" t="s">
        <v>6013</v>
      </c>
      <c r="D1462" s="2" t="s">
        <v>6014</v>
      </c>
      <c r="E1462" s="2" t="s">
        <v>996</v>
      </c>
      <c r="F1462" s="2" t="s">
        <v>6015</v>
      </c>
    </row>
    <row r="1463" ht="36.0" customHeight="1">
      <c r="A1463" s="3" t="s">
        <v>6016</v>
      </c>
      <c r="B1463" s="3" t="s">
        <v>5654</v>
      </c>
      <c r="C1463" s="3" t="s">
        <v>6017</v>
      </c>
      <c r="D1463" s="3" t="s">
        <v>6018</v>
      </c>
      <c r="E1463" s="3" t="s">
        <v>52</v>
      </c>
      <c r="F1463" s="3" t="s">
        <v>6019</v>
      </c>
    </row>
    <row r="1464" ht="36.0" customHeight="1">
      <c r="A1464" s="2" t="s">
        <v>6020</v>
      </c>
      <c r="B1464" s="2" t="s">
        <v>5654</v>
      </c>
      <c r="C1464" s="2" t="s">
        <v>6021</v>
      </c>
      <c r="D1464" s="2" t="s">
        <v>6022</v>
      </c>
      <c r="E1464" s="2" t="s">
        <v>1655</v>
      </c>
      <c r="F1464" s="2" t="s">
        <v>6023</v>
      </c>
    </row>
    <row r="1465" ht="36.0" customHeight="1">
      <c r="A1465" s="3" t="s">
        <v>6024</v>
      </c>
      <c r="B1465" s="3" t="s">
        <v>5654</v>
      </c>
      <c r="C1465" s="3" t="s">
        <v>6025</v>
      </c>
      <c r="D1465" s="3" t="s">
        <v>6026</v>
      </c>
      <c r="E1465" s="3" t="s">
        <v>229</v>
      </c>
      <c r="F1465" s="3" t="s">
        <v>6027</v>
      </c>
    </row>
    <row r="1466" ht="36.0" customHeight="1">
      <c r="A1466" s="2" t="s">
        <v>6028</v>
      </c>
      <c r="B1466" s="2" t="s">
        <v>5654</v>
      </c>
      <c r="C1466" s="2" t="s">
        <v>6029</v>
      </c>
      <c r="D1466" s="2" t="s">
        <v>6030</v>
      </c>
      <c r="E1466" s="2" t="s">
        <v>608</v>
      </c>
      <c r="F1466" s="2" t="s">
        <v>6031</v>
      </c>
    </row>
    <row r="1467" ht="36.0" customHeight="1">
      <c r="A1467" s="3" t="s">
        <v>6032</v>
      </c>
      <c r="B1467" s="3" t="s">
        <v>5654</v>
      </c>
      <c r="C1467" s="3" t="s">
        <v>6033</v>
      </c>
      <c r="D1467" s="3" t="s">
        <v>6034</v>
      </c>
      <c r="E1467" s="3" t="s">
        <v>742</v>
      </c>
      <c r="F1467" s="3" t="s">
        <v>6035</v>
      </c>
    </row>
    <row r="1468" ht="36.0" customHeight="1">
      <c r="A1468" s="2" t="s">
        <v>6036</v>
      </c>
      <c r="B1468" s="2" t="s">
        <v>5654</v>
      </c>
      <c r="C1468" s="2" t="s">
        <v>6037</v>
      </c>
      <c r="D1468" s="2" t="s">
        <v>6038</v>
      </c>
      <c r="E1468" s="2" t="s">
        <v>1297</v>
      </c>
      <c r="F1468" s="2" t="s">
        <v>6039</v>
      </c>
    </row>
    <row r="1469" ht="36.0" customHeight="1">
      <c r="A1469" s="3" t="s">
        <v>6040</v>
      </c>
      <c r="B1469" s="3" t="s">
        <v>5654</v>
      </c>
      <c r="C1469" s="3" t="s">
        <v>6041</v>
      </c>
      <c r="D1469" s="3" t="s">
        <v>6042</v>
      </c>
      <c r="E1469" s="3" t="s">
        <v>2010</v>
      </c>
      <c r="F1469" s="3" t="s">
        <v>6043</v>
      </c>
    </row>
    <row r="1470" ht="36.0" customHeight="1">
      <c r="A1470" s="2" t="s">
        <v>6044</v>
      </c>
      <c r="B1470" s="2" t="s">
        <v>5654</v>
      </c>
      <c r="C1470" s="2" t="s">
        <v>6045</v>
      </c>
      <c r="D1470" s="2" t="s">
        <v>6046</v>
      </c>
      <c r="E1470" s="2" t="s">
        <v>1516</v>
      </c>
      <c r="F1470" s="2" t="s">
        <v>6047</v>
      </c>
    </row>
    <row r="1471" ht="36.0" customHeight="1">
      <c r="A1471" s="3" t="s">
        <v>6048</v>
      </c>
      <c r="B1471" s="3" t="s">
        <v>5654</v>
      </c>
      <c r="C1471" s="3" t="s">
        <v>6049</v>
      </c>
      <c r="D1471" s="3" t="s">
        <v>6050</v>
      </c>
      <c r="E1471" s="3" t="s">
        <v>1816</v>
      </c>
      <c r="F1471" s="3" t="s">
        <v>6051</v>
      </c>
    </row>
    <row r="1472" ht="36.0" customHeight="1">
      <c r="A1472" s="2" t="s">
        <v>6052</v>
      </c>
      <c r="B1472" s="2" t="s">
        <v>5654</v>
      </c>
      <c r="C1472" s="2" t="s">
        <v>6053</v>
      </c>
      <c r="D1472" s="2" t="s">
        <v>6054</v>
      </c>
      <c r="E1472" s="2" t="s">
        <v>5909</v>
      </c>
      <c r="F1472" s="2" t="s">
        <v>6055</v>
      </c>
    </row>
    <row r="1473" ht="36.0" customHeight="1">
      <c r="A1473" s="3" t="s">
        <v>6056</v>
      </c>
      <c r="B1473" s="3" t="s">
        <v>5654</v>
      </c>
      <c r="C1473" s="3" t="s">
        <v>6057</v>
      </c>
      <c r="D1473" s="3" t="s">
        <v>6058</v>
      </c>
      <c r="E1473" s="3" t="s">
        <v>1143</v>
      </c>
      <c r="F1473" s="3" t="s">
        <v>6059</v>
      </c>
    </row>
    <row r="1474" ht="36.0" customHeight="1">
      <c r="A1474" s="2" t="s">
        <v>6060</v>
      </c>
      <c r="B1474" s="2" t="s">
        <v>5654</v>
      </c>
      <c r="C1474" s="2" t="s">
        <v>6061</v>
      </c>
      <c r="D1474" s="2" t="s">
        <v>6062</v>
      </c>
      <c r="E1474" s="2" t="s">
        <v>2208</v>
      </c>
      <c r="F1474" s="2" t="s">
        <v>6063</v>
      </c>
    </row>
    <row r="1475" ht="36.0" customHeight="1">
      <c r="A1475" s="3" t="s">
        <v>6064</v>
      </c>
      <c r="B1475" s="3" t="s">
        <v>5654</v>
      </c>
      <c r="C1475" s="3" t="s">
        <v>6065</v>
      </c>
      <c r="D1475" s="3" t="s">
        <v>6066</v>
      </c>
      <c r="E1475" s="3" t="s">
        <v>1297</v>
      </c>
      <c r="F1475" s="3" t="s">
        <v>6067</v>
      </c>
    </row>
    <row r="1476" ht="36.0" customHeight="1">
      <c r="A1476" s="2" t="s">
        <v>6068</v>
      </c>
      <c r="B1476" s="2" t="s">
        <v>5654</v>
      </c>
      <c r="C1476" s="2" t="s">
        <v>6069</v>
      </c>
      <c r="D1476" s="2" t="s">
        <v>6070</v>
      </c>
      <c r="E1476" s="2" t="s">
        <v>284</v>
      </c>
      <c r="F1476" s="2" t="s">
        <v>6071</v>
      </c>
    </row>
    <row r="1477" ht="36.0" customHeight="1">
      <c r="A1477" s="3" t="s">
        <v>6072</v>
      </c>
      <c r="B1477" s="3" t="s">
        <v>5654</v>
      </c>
      <c r="C1477" s="3" t="s">
        <v>6073</v>
      </c>
      <c r="D1477" s="3" t="s">
        <v>6074</v>
      </c>
      <c r="E1477" s="3" t="s">
        <v>1143</v>
      </c>
      <c r="F1477" s="3" t="s">
        <v>6075</v>
      </c>
    </row>
    <row r="1478" ht="36.0" customHeight="1">
      <c r="A1478" s="2" t="s">
        <v>6076</v>
      </c>
      <c r="B1478" s="2" t="s">
        <v>5654</v>
      </c>
      <c r="C1478" s="2" t="s">
        <v>6077</v>
      </c>
      <c r="D1478" s="2" t="s">
        <v>6078</v>
      </c>
      <c r="E1478" s="2" t="s">
        <v>1143</v>
      </c>
      <c r="F1478" s="2" t="s">
        <v>6079</v>
      </c>
    </row>
    <row r="1479" ht="36.0" customHeight="1">
      <c r="A1479" s="3" t="s">
        <v>6080</v>
      </c>
      <c r="B1479" s="3" t="s">
        <v>5654</v>
      </c>
      <c r="C1479" s="3" t="s">
        <v>6081</v>
      </c>
      <c r="D1479" s="3" t="s">
        <v>6082</v>
      </c>
      <c r="E1479" s="3" t="s">
        <v>1855</v>
      </c>
      <c r="F1479" s="3" t="s">
        <v>6083</v>
      </c>
    </row>
    <row r="1480" ht="36.0" customHeight="1">
      <c r="A1480" s="2" t="s">
        <v>6084</v>
      </c>
      <c r="B1480" s="2" t="s">
        <v>5654</v>
      </c>
      <c r="C1480" s="2" t="s">
        <v>6085</v>
      </c>
      <c r="D1480" s="2" t="s">
        <v>6086</v>
      </c>
      <c r="E1480" s="2" t="s">
        <v>1855</v>
      </c>
      <c r="F1480" s="2" t="s">
        <v>6087</v>
      </c>
    </row>
    <row r="1481" ht="36.0" customHeight="1">
      <c r="A1481" s="3" t="s">
        <v>6088</v>
      </c>
      <c r="B1481" s="3" t="s">
        <v>5654</v>
      </c>
      <c r="C1481" s="3" t="s">
        <v>6089</v>
      </c>
      <c r="D1481" s="3" t="s">
        <v>6090</v>
      </c>
      <c r="E1481" s="3" t="s">
        <v>2010</v>
      </c>
      <c r="F1481" s="3" t="s">
        <v>6091</v>
      </c>
    </row>
    <row r="1482" ht="36.0" customHeight="1">
      <c r="A1482" s="2" t="s">
        <v>6092</v>
      </c>
      <c r="B1482" s="2" t="s">
        <v>5654</v>
      </c>
      <c r="C1482" s="2" t="s">
        <v>6093</v>
      </c>
      <c r="D1482" s="2" t="s">
        <v>6094</v>
      </c>
      <c r="E1482" s="2" t="s">
        <v>2010</v>
      </c>
      <c r="F1482" s="2" t="s">
        <v>6095</v>
      </c>
    </row>
    <row r="1483" ht="36.0" customHeight="1">
      <c r="A1483" s="3" t="s">
        <v>6096</v>
      </c>
      <c r="B1483" s="3" t="s">
        <v>5654</v>
      </c>
      <c r="C1483" s="3" t="s">
        <v>6097</v>
      </c>
      <c r="D1483" s="3" t="s">
        <v>6098</v>
      </c>
      <c r="E1483" s="3" t="s">
        <v>2010</v>
      </c>
      <c r="F1483" s="3" t="s">
        <v>6099</v>
      </c>
    </row>
    <row r="1484" ht="36.0" customHeight="1">
      <c r="A1484" s="2" t="s">
        <v>6100</v>
      </c>
      <c r="B1484" s="2" t="s">
        <v>5654</v>
      </c>
      <c r="C1484" s="2" t="s">
        <v>6101</v>
      </c>
      <c r="D1484" s="2" t="s">
        <v>6102</v>
      </c>
      <c r="E1484" s="2" t="s">
        <v>2010</v>
      </c>
      <c r="F1484" s="2" t="s">
        <v>6103</v>
      </c>
    </row>
    <row r="1485" ht="36.0" customHeight="1">
      <c r="A1485" s="3" t="s">
        <v>6104</v>
      </c>
      <c r="B1485" s="3" t="s">
        <v>5654</v>
      </c>
      <c r="C1485" s="3" t="s">
        <v>6105</v>
      </c>
      <c r="D1485" s="3" t="s">
        <v>6106</v>
      </c>
      <c r="E1485" s="3" t="s">
        <v>2010</v>
      </c>
      <c r="F1485" s="3" t="s">
        <v>6107</v>
      </c>
    </row>
    <row r="1486" ht="36.0" customHeight="1">
      <c r="A1486" s="2" t="s">
        <v>6108</v>
      </c>
      <c r="B1486" s="2" t="s">
        <v>5654</v>
      </c>
      <c r="C1486" s="2" t="s">
        <v>6109</v>
      </c>
      <c r="D1486" s="2" t="s">
        <v>6110</v>
      </c>
      <c r="E1486" s="2" t="s">
        <v>2010</v>
      </c>
      <c r="F1486" s="2" t="s">
        <v>6111</v>
      </c>
    </row>
    <row r="1487" ht="36.0" customHeight="1">
      <c r="A1487" s="3" t="s">
        <v>6112</v>
      </c>
      <c r="B1487" s="3" t="s">
        <v>5654</v>
      </c>
      <c r="C1487" s="3" t="s">
        <v>6113</v>
      </c>
      <c r="D1487" s="3" t="s">
        <v>6114</v>
      </c>
      <c r="E1487" s="3" t="s">
        <v>2010</v>
      </c>
      <c r="F1487" s="3" t="s">
        <v>6115</v>
      </c>
    </row>
    <row r="1488" ht="36.0" customHeight="1">
      <c r="A1488" s="2" t="s">
        <v>6116</v>
      </c>
      <c r="B1488" s="2" t="s">
        <v>5654</v>
      </c>
      <c r="C1488" s="2" t="s">
        <v>6117</v>
      </c>
      <c r="D1488" s="2" t="s">
        <v>6118</v>
      </c>
      <c r="E1488" s="2" t="s">
        <v>2020</v>
      </c>
      <c r="F1488" s="2" t="s">
        <v>6119</v>
      </c>
    </row>
    <row r="1489" ht="36.0" customHeight="1">
      <c r="A1489" s="3" t="s">
        <v>6120</v>
      </c>
      <c r="B1489" s="3" t="s">
        <v>5654</v>
      </c>
      <c r="C1489" s="3" t="s">
        <v>6121</v>
      </c>
      <c r="D1489" s="3" t="s">
        <v>6122</v>
      </c>
      <c r="E1489" s="3" t="s">
        <v>1516</v>
      </c>
      <c r="F1489" s="3" t="s">
        <v>6123</v>
      </c>
    </row>
    <row r="1490" ht="36.0" customHeight="1">
      <c r="A1490" s="2" t="s">
        <v>6124</v>
      </c>
      <c r="B1490" s="2" t="s">
        <v>5654</v>
      </c>
      <c r="C1490" s="2" t="s">
        <v>6125</v>
      </c>
      <c r="D1490" s="2" t="s">
        <v>6126</v>
      </c>
      <c r="E1490" s="2" t="s">
        <v>2020</v>
      </c>
      <c r="F1490" s="2" t="s">
        <v>6127</v>
      </c>
    </row>
    <row r="1491" ht="36.0" customHeight="1">
      <c r="A1491" s="3" t="s">
        <v>6128</v>
      </c>
      <c r="B1491" s="3" t="s">
        <v>5654</v>
      </c>
      <c r="C1491" s="3" t="s">
        <v>6129</v>
      </c>
      <c r="D1491" s="3" t="s">
        <v>6130</v>
      </c>
      <c r="E1491" s="3" t="s">
        <v>267</v>
      </c>
      <c r="F1491" s="3" t="s">
        <v>6131</v>
      </c>
    </row>
    <row r="1492" ht="36.0" customHeight="1">
      <c r="A1492" s="2" t="s">
        <v>6132</v>
      </c>
      <c r="B1492" s="2" t="s">
        <v>6133</v>
      </c>
      <c r="C1492" s="2" t="s">
        <v>6134</v>
      </c>
      <c r="D1492" s="2" t="s">
        <v>6135</v>
      </c>
      <c r="E1492" s="2" t="s">
        <v>430</v>
      </c>
      <c r="F1492" s="2" t="s">
        <v>6136</v>
      </c>
    </row>
    <row r="1493" ht="36.0" customHeight="1">
      <c r="A1493" s="3" t="s">
        <v>6137</v>
      </c>
      <c r="B1493" s="3" t="s">
        <v>6133</v>
      </c>
      <c r="C1493" s="3" t="s">
        <v>6138</v>
      </c>
      <c r="D1493" s="3" t="s">
        <v>6139</v>
      </c>
      <c r="E1493" s="3" t="s">
        <v>430</v>
      </c>
      <c r="F1493" s="3" t="s">
        <v>6140</v>
      </c>
    </row>
    <row r="1494" ht="36.0" customHeight="1">
      <c r="A1494" s="2" t="s">
        <v>6141</v>
      </c>
      <c r="B1494" s="2" t="s">
        <v>6133</v>
      </c>
      <c r="C1494" s="2" t="s">
        <v>6142</v>
      </c>
      <c r="D1494" s="2" t="s">
        <v>6143</v>
      </c>
      <c r="E1494" s="2" t="s">
        <v>430</v>
      </c>
      <c r="F1494" s="2" t="s">
        <v>6144</v>
      </c>
    </row>
    <row r="1495" ht="36.0" customHeight="1">
      <c r="A1495" s="3" t="s">
        <v>6145</v>
      </c>
      <c r="B1495" s="3" t="s">
        <v>6133</v>
      </c>
      <c r="C1495" s="3" t="s">
        <v>6146</v>
      </c>
      <c r="D1495" s="3" t="s">
        <v>6147</v>
      </c>
      <c r="E1495" s="3" t="s">
        <v>430</v>
      </c>
      <c r="F1495" s="3" t="s">
        <v>6148</v>
      </c>
    </row>
    <row r="1496" ht="36.0" customHeight="1">
      <c r="A1496" s="2" t="s">
        <v>6149</v>
      </c>
      <c r="B1496" s="2" t="s">
        <v>6133</v>
      </c>
      <c r="C1496" s="2" t="s">
        <v>6150</v>
      </c>
      <c r="D1496" s="2" t="s">
        <v>6151</v>
      </c>
      <c r="E1496" s="2" t="s">
        <v>19</v>
      </c>
      <c r="F1496" s="2" t="s">
        <v>6152</v>
      </c>
    </row>
    <row r="1497" ht="36.0" customHeight="1">
      <c r="A1497" s="3" t="s">
        <v>6153</v>
      </c>
      <c r="B1497" s="3" t="s">
        <v>6133</v>
      </c>
      <c r="C1497" s="3" t="s">
        <v>6154</v>
      </c>
      <c r="D1497" s="3" t="s">
        <v>6155</v>
      </c>
      <c r="E1497" s="3" t="s">
        <v>19</v>
      </c>
      <c r="F1497" s="3" t="s">
        <v>6156</v>
      </c>
    </row>
    <row r="1498" ht="36.0" customHeight="1">
      <c r="A1498" s="2" t="s">
        <v>6157</v>
      </c>
      <c r="B1498" s="2" t="s">
        <v>6133</v>
      </c>
      <c r="C1498" s="2" t="s">
        <v>6158</v>
      </c>
      <c r="D1498" s="2" t="s">
        <v>6159</v>
      </c>
      <c r="E1498" s="2" t="s">
        <v>19</v>
      </c>
      <c r="F1498" s="2" t="s">
        <v>6160</v>
      </c>
    </row>
    <row r="1499" ht="36.0" customHeight="1">
      <c r="A1499" s="3" t="s">
        <v>6161</v>
      </c>
      <c r="B1499" s="3" t="s">
        <v>6133</v>
      </c>
      <c r="C1499" s="3" t="s">
        <v>6162</v>
      </c>
      <c r="D1499" s="3" t="s">
        <v>6163</v>
      </c>
      <c r="E1499" s="3" t="s">
        <v>19</v>
      </c>
      <c r="F1499" s="3" t="s">
        <v>6164</v>
      </c>
    </row>
    <row r="1500" ht="36.0" customHeight="1">
      <c r="A1500" s="2" t="s">
        <v>6165</v>
      </c>
      <c r="B1500" s="2" t="s">
        <v>6133</v>
      </c>
      <c r="C1500" s="2" t="s">
        <v>6166</v>
      </c>
      <c r="D1500" s="2" t="s">
        <v>6167</v>
      </c>
      <c r="E1500" s="2" t="s">
        <v>19</v>
      </c>
      <c r="F1500" s="2" t="s">
        <v>6168</v>
      </c>
    </row>
    <row r="1501" ht="36.0" customHeight="1">
      <c r="A1501" s="3" t="s">
        <v>6169</v>
      </c>
      <c r="B1501" s="3" t="s">
        <v>6133</v>
      </c>
      <c r="C1501" s="3" t="s">
        <v>6170</v>
      </c>
      <c r="D1501" s="3" t="s">
        <v>6171</v>
      </c>
      <c r="E1501" s="3" t="s">
        <v>24</v>
      </c>
      <c r="F1501" s="3" t="s">
        <v>6172</v>
      </c>
    </row>
    <row r="1502" ht="36.0" customHeight="1">
      <c r="A1502" s="2" t="s">
        <v>6173</v>
      </c>
      <c r="B1502" s="2" t="s">
        <v>6133</v>
      </c>
      <c r="C1502" s="2" t="s">
        <v>6174</v>
      </c>
      <c r="D1502" s="2" t="s">
        <v>6175</v>
      </c>
      <c r="E1502" s="2" t="s">
        <v>6176</v>
      </c>
      <c r="F1502" s="2" t="s">
        <v>6177</v>
      </c>
    </row>
    <row r="1503" ht="36.0" customHeight="1">
      <c r="A1503" s="3" t="s">
        <v>6178</v>
      </c>
      <c r="B1503" s="3" t="s">
        <v>6133</v>
      </c>
      <c r="C1503" s="3" t="s">
        <v>6179</v>
      </c>
      <c r="D1503" s="3" t="s">
        <v>6180</v>
      </c>
      <c r="E1503" s="3" t="s">
        <v>2583</v>
      </c>
      <c r="F1503" s="3" t="s">
        <v>6181</v>
      </c>
    </row>
    <row r="1504" ht="36.0" customHeight="1">
      <c r="A1504" s="2" t="s">
        <v>6182</v>
      </c>
      <c r="B1504" s="2" t="s">
        <v>6133</v>
      </c>
      <c r="C1504" s="2" t="s">
        <v>6183</v>
      </c>
      <c r="D1504" s="2" t="s">
        <v>6184</v>
      </c>
      <c r="E1504" s="2" t="s">
        <v>2583</v>
      </c>
      <c r="F1504" s="2" t="s">
        <v>6185</v>
      </c>
    </row>
    <row r="1505" ht="36.0" customHeight="1">
      <c r="A1505" s="3" t="s">
        <v>6186</v>
      </c>
      <c r="B1505" s="3" t="s">
        <v>6133</v>
      </c>
      <c r="C1505" s="3" t="s">
        <v>6187</v>
      </c>
      <c r="D1505" s="3" t="s">
        <v>6188</v>
      </c>
      <c r="E1505" s="3" t="s">
        <v>2583</v>
      </c>
      <c r="F1505" s="3" t="s">
        <v>6189</v>
      </c>
    </row>
    <row r="1506" ht="36.0" customHeight="1">
      <c r="A1506" s="2" t="s">
        <v>6190</v>
      </c>
      <c r="B1506" s="2" t="s">
        <v>6133</v>
      </c>
      <c r="C1506" s="2" t="s">
        <v>6191</v>
      </c>
      <c r="D1506" s="2" t="s">
        <v>6192</v>
      </c>
      <c r="E1506" s="2" t="s">
        <v>599</v>
      </c>
      <c r="F1506" s="2" t="s">
        <v>6193</v>
      </c>
    </row>
    <row r="1507" ht="36.0" customHeight="1">
      <c r="A1507" s="3" t="s">
        <v>6194</v>
      </c>
      <c r="B1507" s="3" t="s">
        <v>6133</v>
      </c>
      <c r="C1507" s="3" t="s">
        <v>6195</v>
      </c>
      <c r="D1507" s="3" t="s">
        <v>6196</v>
      </c>
      <c r="E1507" s="3" t="s">
        <v>599</v>
      </c>
      <c r="F1507" s="3" t="s">
        <v>6197</v>
      </c>
    </row>
    <row r="1508" ht="36.0" customHeight="1">
      <c r="A1508" s="2" t="s">
        <v>6198</v>
      </c>
      <c r="B1508" s="2" t="s">
        <v>6133</v>
      </c>
      <c r="C1508" s="2" t="s">
        <v>6199</v>
      </c>
      <c r="D1508" s="2" t="s">
        <v>6200</v>
      </c>
      <c r="E1508" s="2" t="s">
        <v>229</v>
      </c>
      <c r="F1508" s="2" t="s">
        <v>6201</v>
      </c>
    </row>
    <row r="1509" ht="36.0" customHeight="1">
      <c r="A1509" s="3" t="s">
        <v>6202</v>
      </c>
      <c r="B1509" s="3" t="s">
        <v>6133</v>
      </c>
      <c r="C1509" s="3" t="s">
        <v>6203</v>
      </c>
      <c r="D1509" s="3" t="s">
        <v>6204</v>
      </c>
      <c r="E1509" s="3" t="s">
        <v>6205</v>
      </c>
      <c r="F1509" s="3" t="s">
        <v>6206</v>
      </c>
    </row>
    <row r="1510" ht="36.0" customHeight="1">
      <c r="A1510" s="2" t="s">
        <v>6207</v>
      </c>
      <c r="B1510" s="2" t="s">
        <v>6133</v>
      </c>
      <c r="C1510" s="2" t="s">
        <v>6208</v>
      </c>
      <c r="D1510" s="2" t="s">
        <v>6209</v>
      </c>
      <c r="E1510" s="2" t="s">
        <v>5617</v>
      </c>
      <c r="F1510" s="2" t="s">
        <v>6210</v>
      </c>
    </row>
    <row r="1511" ht="36.0" customHeight="1">
      <c r="A1511" s="3" t="s">
        <v>6211</v>
      </c>
      <c r="B1511" s="3" t="s">
        <v>6133</v>
      </c>
      <c r="C1511" s="3" t="s">
        <v>6212</v>
      </c>
      <c r="D1511" s="3" t="s">
        <v>6213</v>
      </c>
      <c r="E1511" s="3" t="s">
        <v>5617</v>
      </c>
      <c r="F1511" s="3" t="s">
        <v>6214</v>
      </c>
    </row>
    <row r="1512" ht="36.0" customHeight="1">
      <c r="A1512" s="2" t="s">
        <v>6215</v>
      </c>
      <c r="B1512" s="2" t="s">
        <v>6133</v>
      </c>
      <c r="C1512" s="2" t="s">
        <v>6216</v>
      </c>
      <c r="D1512" s="2" t="s">
        <v>6217</v>
      </c>
      <c r="E1512" s="2" t="s">
        <v>5617</v>
      </c>
      <c r="F1512" s="2" t="s">
        <v>6218</v>
      </c>
    </row>
    <row r="1513" ht="36.0" customHeight="1">
      <c r="A1513" s="3" t="s">
        <v>6219</v>
      </c>
      <c r="B1513" s="3" t="s">
        <v>6133</v>
      </c>
      <c r="C1513" s="3" t="s">
        <v>6220</v>
      </c>
      <c r="D1513" s="3" t="s">
        <v>6221</v>
      </c>
      <c r="E1513" s="3" t="s">
        <v>2583</v>
      </c>
      <c r="F1513" s="3" t="s">
        <v>6222</v>
      </c>
    </row>
    <row r="1514" ht="36.0" customHeight="1">
      <c r="A1514" s="2" t="s">
        <v>6223</v>
      </c>
      <c r="B1514" s="2" t="s">
        <v>6133</v>
      </c>
      <c r="C1514" s="2" t="s">
        <v>6224</v>
      </c>
      <c r="D1514" s="2" t="s">
        <v>6225</v>
      </c>
      <c r="E1514" s="2" t="s">
        <v>2583</v>
      </c>
      <c r="F1514" s="2" t="s">
        <v>6226</v>
      </c>
    </row>
    <row r="1515" ht="36.0" customHeight="1">
      <c r="A1515" s="3" t="s">
        <v>6227</v>
      </c>
      <c r="B1515" s="3" t="s">
        <v>6133</v>
      </c>
      <c r="C1515" s="3" t="s">
        <v>6228</v>
      </c>
      <c r="D1515" s="3" t="s">
        <v>6229</v>
      </c>
      <c r="E1515" s="3" t="s">
        <v>91</v>
      </c>
      <c r="F1515" s="3" t="s">
        <v>6230</v>
      </c>
    </row>
    <row r="1516" ht="36.0" customHeight="1">
      <c r="A1516" s="2" t="s">
        <v>6231</v>
      </c>
      <c r="B1516" s="2" t="s">
        <v>6133</v>
      </c>
      <c r="C1516" s="2" t="s">
        <v>6232</v>
      </c>
      <c r="D1516" s="2" t="s">
        <v>6233</v>
      </c>
      <c r="E1516" s="2" t="s">
        <v>91</v>
      </c>
      <c r="F1516" s="2" t="s">
        <v>6234</v>
      </c>
    </row>
    <row r="1517" ht="36.0" customHeight="1">
      <c r="A1517" s="3" t="s">
        <v>6235</v>
      </c>
      <c r="B1517" s="3" t="s">
        <v>6133</v>
      </c>
      <c r="C1517" s="3" t="s">
        <v>6236</v>
      </c>
      <c r="D1517" s="3" t="s">
        <v>6237</v>
      </c>
      <c r="E1517" s="3" t="s">
        <v>91</v>
      </c>
      <c r="F1517" s="3" t="s">
        <v>6238</v>
      </c>
    </row>
    <row r="1518" ht="36.0" customHeight="1">
      <c r="A1518" s="2" t="s">
        <v>6239</v>
      </c>
      <c r="B1518" s="2" t="s">
        <v>6133</v>
      </c>
      <c r="C1518" s="2" t="s">
        <v>6240</v>
      </c>
      <c r="D1518" s="2" t="s">
        <v>6241</v>
      </c>
      <c r="E1518" s="2" t="s">
        <v>91</v>
      </c>
      <c r="F1518" s="2" t="s">
        <v>6242</v>
      </c>
    </row>
    <row r="1519" ht="36.0" customHeight="1">
      <c r="A1519" s="3" t="s">
        <v>6243</v>
      </c>
      <c r="B1519" s="3" t="s">
        <v>6133</v>
      </c>
      <c r="C1519" s="3" t="s">
        <v>6244</v>
      </c>
      <c r="D1519" s="3" t="s">
        <v>6245</v>
      </c>
      <c r="E1519" s="3" t="s">
        <v>91</v>
      </c>
      <c r="F1519" s="3" t="s">
        <v>6246</v>
      </c>
    </row>
    <row r="1520" ht="36.0" customHeight="1">
      <c r="A1520" s="2" t="s">
        <v>6247</v>
      </c>
      <c r="B1520" s="2" t="s">
        <v>6133</v>
      </c>
      <c r="C1520" s="2" t="s">
        <v>6248</v>
      </c>
      <c r="D1520" s="2" t="s">
        <v>6249</v>
      </c>
      <c r="E1520" s="2" t="s">
        <v>91</v>
      </c>
      <c r="F1520" s="2" t="s">
        <v>6250</v>
      </c>
    </row>
    <row r="1521" ht="36.0" customHeight="1">
      <c r="A1521" s="3" t="s">
        <v>6251</v>
      </c>
      <c r="B1521" s="3" t="s">
        <v>6133</v>
      </c>
      <c r="C1521" s="3" t="s">
        <v>6252</v>
      </c>
      <c r="D1521" s="3" t="s">
        <v>6253</v>
      </c>
      <c r="E1521" s="3" t="s">
        <v>91</v>
      </c>
      <c r="F1521" s="3" t="s">
        <v>6254</v>
      </c>
    </row>
    <row r="1522" ht="36.0" customHeight="1">
      <c r="A1522" s="2" t="s">
        <v>6255</v>
      </c>
      <c r="B1522" s="2" t="s">
        <v>6133</v>
      </c>
      <c r="C1522" s="2" t="s">
        <v>6256</v>
      </c>
      <c r="D1522" s="2" t="s">
        <v>6257</v>
      </c>
      <c r="E1522" s="2" t="s">
        <v>2583</v>
      </c>
      <c r="F1522" s="2" t="s">
        <v>6258</v>
      </c>
    </row>
    <row r="1523" ht="36.0" customHeight="1">
      <c r="A1523" s="3" t="s">
        <v>6259</v>
      </c>
      <c r="B1523" s="3" t="s">
        <v>6133</v>
      </c>
      <c r="C1523" s="3" t="s">
        <v>6260</v>
      </c>
      <c r="D1523" s="3" t="s">
        <v>6261</v>
      </c>
      <c r="E1523" s="3" t="s">
        <v>6262</v>
      </c>
      <c r="F1523" s="3" t="s">
        <v>6263</v>
      </c>
    </row>
    <row r="1524" ht="36.0" customHeight="1">
      <c r="A1524" s="2" t="s">
        <v>6264</v>
      </c>
      <c r="B1524" s="2" t="s">
        <v>6133</v>
      </c>
      <c r="C1524" s="2" t="s">
        <v>6265</v>
      </c>
      <c r="D1524" s="2" t="s">
        <v>6266</v>
      </c>
      <c r="E1524" s="2" t="s">
        <v>6262</v>
      </c>
      <c r="F1524" s="2" t="s">
        <v>6267</v>
      </c>
    </row>
    <row r="1525" ht="36.0" customHeight="1">
      <c r="A1525" s="3" t="s">
        <v>6268</v>
      </c>
      <c r="B1525" s="3" t="s">
        <v>6133</v>
      </c>
      <c r="C1525" s="3" t="s">
        <v>6269</v>
      </c>
      <c r="D1525" s="3" t="s">
        <v>6270</v>
      </c>
      <c r="E1525" s="3" t="s">
        <v>6262</v>
      </c>
      <c r="F1525" s="3" t="s">
        <v>6271</v>
      </c>
    </row>
    <row r="1526" ht="36.0" customHeight="1">
      <c r="A1526" s="2" t="s">
        <v>6272</v>
      </c>
      <c r="B1526" s="2" t="s">
        <v>6133</v>
      </c>
      <c r="C1526" s="2" t="s">
        <v>6273</v>
      </c>
      <c r="D1526" s="2" t="s">
        <v>6274</v>
      </c>
      <c r="E1526" s="2" t="s">
        <v>6275</v>
      </c>
      <c r="F1526" s="2" t="s">
        <v>6276</v>
      </c>
    </row>
    <row r="1527" ht="36.0" customHeight="1">
      <c r="A1527" s="3" t="s">
        <v>6277</v>
      </c>
      <c r="B1527" s="3" t="s">
        <v>6133</v>
      </c>
      <c r="C1527" s="3" t="s">
        <v>6278</v>
      </c>
      <c r="D1527" s="3" t="s">
        <v>6279</v>
      </c>
      <c r="E1527" s="3" t="s">
        <v>6275</v>
      </c>
      <c r="F1527" s="3" t="s">
        <v>6280</v>
      </c>
    </row>
    <row r="1528" ht="36.0" customHeight="1">
      <c r="A1528" s="2" t="s">
        <v>6281</v>
      </c>
      <c r="B1528" s="2" t="s">
        <v>6133</v>
      </c>
      <c r="C1528" s="2" t="s">
        <v>6282</v>
      </c>
      <c r="D1528" s="2" t="s">
        <v>6283</v>
      </c>
      <c r="E1528" s="2" t="s">
        <v>6275</v>
      </c>
      <c r="F1528" s="2" t="s">
        <v>6284</v>
      </c>
    </row>
    <row r="1529" ht="36.0" customHeight="1">
      <c r="A1529" s="3" t="s">
        <v>6285</v>
      </c>
      <c r="B1529" s="3" t="s">
        <v>6133</v>
      </c>
      <c r="C1529" s="3" t="s">
        <v>6286</v>
      </c>
      <c r="D1529" s="3" t="s">
        <v>6287</v>
      </c>
      <c r="E1529" s="3" t="s">
        <v>4837</v>
      </c>
      <c r="F1529" s="3" t="s">
        <v>6288</v>
      </c>
    </row>
    <row r="1530" ht="36.0" customHeight="1">
      <c r="A1530" s="2" t="s">
        <v>6289</v>
      </c>
      <c r="B1530" s="2" t="s">
        <v>6133</v>
      </c>
      <c r="C1530" s="2" t="s">
        <v>6290</v>
      </c>
      <c r="D1530" s="2" t="s">
        <v>6291</v>
      </c>
      <c r="E1530" s="2" t="s">
        <v>2493</v>
      </c>
      <c r="F1530" s="2" t="s">
        <v>6292</v>
      </c>
    </row>
    <row r="1531" ht="36.0" customHeight="1">
      <c r="A1531" s="3" t="s">
        <v>6293</v>
      </c>
      <c r="B1531" s="3" t="s">
        <v>6133</v>
      </c>
      <c r="C1531" s="3" t="s">
        <v>6294</v>
      </c>
      <c r="D1531" s="3" t="s">
        <v>6295</v>
      </c>
      <c r="E1531" s="3" t="s">
        <v>6296</v>
      </c>
      <c r="F1531" s="3" t="s">
        <v>6297</v>
      </c>
    </row>
    <row r="1532" ht="36.0" customHeight="1">
      <c r="A1532" s="2" t="s">
        <v>6298</v>
      </c>
      <c r="B1532" s="2" t="s">
        <v>6133</v>
      </c>
      <c r="C1532" s="2" t="s">
        <v>6299</v>
      </c>
      <c r="D1532" s="2" t="s">
        <v>6300</v>
      </c>
      <c r="E1532" s="2" t="s">
        <v>6301</v>
      </c>
      <c r="F1532" s="2" t="s">
        <v>6302</v>
      </c>
    </row>
    <row r="1533" ht="36.0" customHeight="1">
      <c r="A1533" s="3" t="s">
        <v>6303</v>
      </c>
      <c r="B1533" s="3" t="s">
        <v>6133</v>
      </c>
      <c r="C1533" s="3" t="s">
        <v>6304</v>
      </c>
      <c r="D1533" s="3" t="s">
        <v>6305</v>
      </c>
      <c r="E1533" s="3" t="s">
        <v>2982</v>
      </c>
      <c r="F1533" s="3" t="s">
        <v>6306</v>
      </c>
    </row>
    <row r="1534" ht="36.0" customHeight="1">
      <c r="A1534" s="2" t="s">
        <v>6307</v>
      </c>
      <c r="B1534" s="2" t="s">
        <v>6133</v>
      </c>
      <c r="C1534" s="2" t="s">
        <v>6308</v>
      </c>
      <c r="D1534" s="2" t="s">
        <v>6309</v>
      </c>
      <c r="E1534" s="2" t="s">
        <v>6310</v>
      </c>
      <c r="F1534" s="2" t="s">
        <v>6311</v>
      </c>
    </row>
    <row r="1535" ht="36.0" customHeight="1">
      <c r="A1535" s="3" t="s">
        <v>6312</v>
      </c>
      <c r="B1535" s="3" t="s">
        <v>6133</v>
      </c>
      <c r="C1535" s="3" t="s">
        <v>6313</v>
      </c>
      <c r="D1535" s="3" t="s">
        <v>6314</v>
      </c>
      <c r="E1535" s="3" t="s">
        <v>430</v>
      </c>
      <c r="F1535" s="3" t="s">
        <v>6315</v>
      </c>
    </row>
    <row r="1536" ht="36.0" customHeight="1">
      <c r="A1536" s="2" t="s">
        <v>6316</v>
      </c>
      <c r="B1536" s="2" t="s">
        <v>6133</v>
      </c>
      <c r="C1536" s="2" t="s">
        <v>6317</v>
      </c>
      <c r="D1536" s="2" t="s">
        <v>6318</v>
      </c>
      <c r="E1536" s="2" t="s">
        <v>430</v>
      </c>
      <c r="F1536" s="2" t="s">
        <v>6319</v>
      </c>
    </row>
    <row r="1537" ht="36.0" customHeight="1">
      <c r="A1537" s="3" t="s">
        <v>6320</v>
      </c>
      <c r="B1537" s="3" t="s">
        <v>6133</v>
      </c>
      <c r="C1537" s="3" t="s">
        <v>6321</v>
      </c>
      <c r="D1537" s="3" t="s">
        <v>6322</v>
      </c>
      <c r="E1537" s="3" t="s">
        <v>430</v>
      </c>
      <c r="F1537" s="3" t="s">
        <v>6323</v>
      </c>
    </row>
    <row r="1538" ht="36.0" customHeight="1">
      <c r="A1538" s="2" t="s">
        <v>6324</v>
      </c>
      <c r="B1538" s="2" t="s">
        <v>6133</v>
      </c>
      <c r="C1538" s="2" t="s">
        <v>6325</v>
      </c>
      <c r="D1538" s="2" t="s">
        <v>6326</v>
      </c>
      <c r="E1538" s="2" t="s">
        <v>430</v>
      </c>
      <c r="F1538" s="2" t="s">
        <v>6327</v>
      </c>
    </row>
    <row r="1539" ht="36.0" customHeight="1">
      <c r="A1539" s="3" t="s">
        <v>6328</v>
      </c>
      <c r="B1539" s="3" t="s">
        <v>6133</v>
      </c>
      <c r="C1539" s="3" t="s">
        <v>6329</v>
      </c>
      <c r="D1539" s="3" t="s">
        <v>6330</v>
      </c>
      <c r="E1539" s="3" t="s">
        <v>19</v>
      </c>
      <c r="F1539" s="3" t="s">
        <v>6331</v>
      </c>
    </row>
    <row r="1540" ht="36.0" customHeight="1">
      <c r="A1540" s="2" t="s">
        <v>6332</v>
      </c>
      <c r="B1540" s="2" t="s">
        <v>6133</v>
      </c>
      <c r="C1540" s="2" t="s">
        <v>6333</v>
      </c>
      <c r="D1540" s="2" t="s">
        <v>6334</v>
      </c>
      <c r="E1540" s="2" t="s">
        <v>19</v>
      </c>
      <c r="F1540" s="2" t="s">
        <v>6335</v>
      </c>
    </row>
    <row r="1541" ht="36.0" customHeight="1">
      <c r="A1541" s="3" t="s">
        <v>6336</v>
      </c>
      <c r="B1541" s="3" t="s">
        <v>6133</v>
      </c>
      <c r="C1541" s="3" t="s">
        <v>6337</v>
      </c>
      <c r="D1541" s="3" t="s">
        <v>6338</v>
      </c>
      <c r="E1541" s="3" t="s">
        <v>19</v>
      </c>
      <c r="F1541" s="3" t="s">
        <v>6339</v>
      </c>
    </row>
    <row r="1542" ht="36.0" customHeight="1">
      <c r="A1542" s="2" t="s">
        <v>6340</v>
      </c>
      <c r="B1542" s="2" t="s">
        <v>6133</v>
      </c>
      <c r="C1542" s="2" t="s">
        <v>6341</v>
      </c>
      <c r="D1542" s="2" t="s">
        <v>6342</v>
      </c>
      <c r="E1542" s="2" t="s">
        <v>207</v>
      </c>
      <c r="F1542" s="2" t="s">
        <v>6343</v>
      </c>
    </row>
    <row r="1543" ht="36.0" customHeight="1">
      <c r="A1543" s="3" t="s">
        <v>6344</v>
      </c>
      <c r="B1543" s="3" t="s">
        <v>6133</v>
      </c>
      <c r="C1543" s="3" t="s">
        <v>6345</v>
      </c>
      <c r="D1543" s="3" t="s">
        <v>6346</v>
      </c>
      <c r="E1543" s="3" t="s">
        <v>207</v>
      </c>
      <c r="F1543" s="3" t="s">
        <v>6347</v>
      </c>
    </row>
    <row r="1544" ht="36.0" customHeight="1">
      <c r="A1544" s="2" t="s">
        <v>6348</v>
      </c>
      <c r="B1544" s="2" t="s">
        <v>6133</v>
      </c>
      <c r="C1544" s="2" t="s">
        <v>6349</v>
      </c>
      <c r="D1544" s="2" t="s">
        <v>6350</v>
      </c>
      <c r="E1544" s="2" t="s">
        <v>62</v>
      </c>
      <c r="F1544" s="2" t="s">
        <v>6351</v>
      </c>
    </row>
    <row r="1545" ht="36.0" customHeight="1">
      <c r="A1545" s="3" t="s">
        <v>6352</v>
      </c>
      <c r="B1545" s="3" t="s">
        <v>6133</v>
      </c>
      <c r="C1545" s="3" t="s">
        <v>6353</v>
      </c>
      <c r="D1545" s="3" t="s">
        <v>6354</v>
      </c>
      <c r="E1545" s="3" t="s">
        <v>62</v>
      </c>
      <c r="F1545" s="3" t="s">
        <v>6355</v>
      </c>
    </row>
    <row r="1546" ht="36.0" customHeight="1">
      <c r="A1546" s="2" t="s">
        <v>6356</v>
      </c>
      <c r="B1546" s="2" t="s">
        <v>6133</v>
      </c>
      <c r="C1546" s="2" t="s">
        <v>6357</v>
      </c>
      <c r="D1546" s="2" t="s">
        <v>6358</v>
      </c>
      <c r="E1546" s="2" t="s">
        <v>2977</v>
      </c>
      <c r="F1546" s="2" t="s">
        <v>6359</v>
      </c>
    </row>
    <row r="1547" ht="36.0" customHeight="1">
      <c r="A1547" s="3" t="s">
        <v>6360</v>
      </c>
      <c r="B1547" s="3" t="s">
        <v>6133</v>
      </c>
      <c r="C1547" s="3" t="s">
        <v>6361</v>
      </c>
      <c r="D1547" s="3" t="s">
        <v>6362</v>
      </c>
      <c r="E1547" s="3" t="s">
        <v>224</v>
      </c>
      <c r="F1547" s="3" t="s">
        <v>6363</v>
      </c>
    </row>
    <row r="1548" ht="36.0" customHeight="1">
      <c r="A1548" s="2" t="s">
        <v>6364</v>
      </c>
      <c r="B1548" s="2" t="s">
        <v>6133</v>
      </c>
      <c r="C1548" s="2" t="s">
        <v>6365</v>
      </c>
      <c r="D1548" s="2" t="s">
        <v>6366</v>
      </c>
      <c r="E1548" s="2" t="s">
        <v>229</v>
      </c>
      <c r="F1548" s="2" t="s">
        <v>6367</v>
      </c>
    </row>
    <row r="1549" ht="36.0" customHeight="1">
      <c r="A1549" s="3" t="s">
        <v>6368</v>
      </c>
      <c r="B1549" s="3" t="s">
        <v>6133</v>
      </c>
      <c r="C1549" s="3" t="s">
        <v>6369</v>
      </c>
      <c r="D1549" s="3" t="s">
        <v>6370</v>
      </c>
      <c r="E1549" s="3" t="s">
        <v>229</v>
      </c>
      <c r="F1549" s="3" t="s">
        <v>6371</v>
      </c>
    </row>
    <row r="1550" ht="36.0" customHeight="1">
      <c r="A1550" s="2" t="s">
        <v>6372</v>
      </c>
      <c r="B1550" s="2" t="s">
        <v>6133</v>
      </c>
      <c r="C1550" s="2" t="s">
        <v>6373</v>
      </c>
      <c r="D1550" s="2" t="s">
        <v>6374</v>
      </c>
      <c r="E1550" s="2" t="s">
        <v>91</v>
      </c>
      <c r="F1550" s="2" t="s">
        <v>6375</v>
      </c>
    </row>
    <row r="1551" ht="36.0" customHeight="1">
      <c r="A1551" s="3" t="s">
        <v>6376</v>
      </c>
      <c r="B1551" s="3" t="s">
        <v>6133</v>
      </c>
      <c r="C1551" s="3" t="s">
        <v>6377</v>
      </c>
      <c r="D1551" s="3" t="s">
        <v>6378</v>
      </c>
      <c r="E1551" s="3" t="s">
        <v>6275</v>
      </c>
      <c r="F1551" s="3" t="s">
        <v>6379</v>
      </c>
    </row>
    <row r="1552" ht="36.0" customHeight="1">
      <c r="A1552" s="2" t="s">
        <v>6380</v>
      </c>
      <c r="B1552" s="2" t="s">
        <v>6133</v>
      </c>
      <c r="C1552" s="2" t="s">
        <v>6381</v>
      </c>
      <c r="D1552" s="2" t="s">
        <v>6382</v>
      </c>
      <c r="E1552" s="2" t="s">
        <v>6262</v>
      </c>
      <c r="F1552" s="2" t="s">
        <v>6383</v>
      </c>
    </row>
    <row r="1553" ht="36.0" customHeight="1">
      <c r="A1553" s="3" t="s">
        <v>6384</v>
      </c>
      <c r="B1553" s="3" t="s">
        <v>6133</v>
      </c>
      <c r="C1553" s="3" t="s">
        <v>6385</v>
      </c>
      <c r="D1553" s="3" t="s">
        <v>6386</v>
      </c>
      <c r="E1553" s="3" t="s">
        <v>1855</v>
      </c>
      <c r="F1553" s="3" t="s">
        <v>6387</v>
      </c>
    </row>
    <row r="1554" ht="36.0" customHeight="1">
      <c r="A1554" s="2" t="s">
        <v>6388</v>
      </c>
      <c r="B1554" s="2" t="s">
        <v>6133</v>
      </c>
      <c r="C1554" s="2" t="s">
        <v>6389</v>
      </c>
      <c r="D1554" s="2" t="s">
        <v>6390</v>
      </c>
      <c r="E1554" s="2" t="s">
        <v>6310</v>
      </c>
      <c r="F1554" s="2" t="s">
        <v>6391</v>
      </c>
    </row>
    <row r="1555" ht="36.0" customHeight="1">
      <c r="A1555" s="3" t="s">
        <v>6392</v>
      </c>
      <c r="B1555" s="3" t="s">
        <v>6133</v>
      </c>
      <c r="C1555" s="3" t="s">
        <v>6393</v>
      </c>
      <c r="D1555" s="3" t="s">
        <v>6394</v>
      </c>
      <c r="E1555" s="3" t="s">
        <v>24</v>
      </c>
      <c r="F1555" s="3" t="s">
        <v>6395</v>
      </c>
    </row>
    <row r="1556" ht="36.0" customHeight="1">
      <c r="A1556" s="2" t="s">
        <v>6396</v>
      </c>
      <c r="B1556" s="2" t="s">
        <v>6133</v>
      </c>
      <c r="C1556" s="2" t="s">
        <v>6397</v>
      </c>
      <c r="D1556" s="2" t="s">
        <v>6398</v>
      </c>
      <c r="E1556" s="2" t="s">
        <v>3353</v>
      </c>
      <c r="F1556" s="2" t="s">
        <v>6399</v>
      </c>
    </row>
    <row r="1557" ht="36.0" customHeight="1">
      <c r="A1557" s="3" t="s">
        <v>6400</v>
      </c>
      <c r="B1557" s="3" t="s">
        <v>6133</v>
      </c>
      <c r="C1557" s="3" t="s">
        <v>6401</v>
      </c>
      <c r="D1557" s="3" t="s">
        <v>6402</v>
      </c>
      <c r="E1557" s="3" t="s">
        <v>229</v>
      </c>
      <c r="F1557" s="3" t="s">
        <v>6403</v>
      </c>
    </row>
    <row r="1558" ht="36.0" customHeight="1">
      <c r="A1558" s="2" t="s">
        <v>6404</v>
      </c>
      <c r="B1558" s="2" t="s">
        <v>6133</v>
      </c>
      <c r="C1558" s="2" t="s">
        <v>6405</v>
      </c>
      <c r="D1558" s="2" t="s">
        <v>6406</v>
      </c>
      <c r="E1558" s="2" t="s">
        <v>229</v>
      </c>
      <c r="F1558" s="2" t="s">
        <v>6407</v>
      </c>
    </row>
    <row r="1559" ht="36.0" customHeight="1">
      <c r="A1559" s="3" t="s">
        <v>6408</v>
      </c>
      <c r="B1559" s="3" t="s">
        <v>6133</v>
      </c>
      <c r="C1559" s="3" t="s">
        <v>6409</v>
      </c>
      <c r="D1559" s="3" t="s">
        <v>6410</v>
      </c>
      <c r="E1559" s="3" t="s">
        <v>6275</v>
      </c>
      <c r="F1559" s="3" t="s">
        <v>6411</v>
      </c>
    </row>
    <row r="1560" ht="36.0" customHeight="1">
      <c r="A1560" s="2" t="s">
        <v>6412</v>
      </c>
      <c r="B1560" s="2" t="s">
        <v>6133</v>
      </c>
      <c r="C1560" s="2" t="s">
        <v>6413</v>
      </c>
      <c r="D1560" s="2" t="s">
        <v>6414</v>
      </c>
      <c r="E1560" s="2" t="s">
        <v>19</v>
      </c>
      <c r="F1560" s="2" t="s">
        <v>6415</v>
      </c>
    </row>
    <row r="1561" ht="36.0" customHeight="1">
      <c r="A1561" s="3" t="s">
        <v>6416</v>
      </c>
      <c r="B1561" s="3" t="s">
        <v>6133</v>
      </c>
      <c r="C1561" s="3" t="s">
        <v>6417</v>
      </c>
      <c r="D1561" s="3" t="s">
        <v>6418</v>
      </c>
      <c r="E1561" s="3" t="s">
        <v>425</v>
      </c>
      <c r="F1561" s="3" t="s">
        <v>6419</v>
      </c>
    </row>
    <row r="1562" ht="36.0" customHeight="1">
      <c r="A1562" s="2" t="s">
        <v>6420</v>
      </c>
      <c r="B1562" s="2" t="s">
        <v>6133</v>
      </c>
      <c r="C1562" s="2" t="s">
        <v>6421</v>
      </c>
      <c r="D1562" s="2" t="s">
        <v>6422</v>
      </c>
      <c r="E1562" s="2" t="s">
        <v>425</v>
      </c>
      <c r="F1562" s="2" t="s">
        <v>6423</v>
      </c>
    </row>
    <row r="1563" ht="36.0" customHeight="1">
      <c r="A1563" s="3" t="s">
        <v>6424</v>
      </c>
      <c r="B1563" s="3" t="s">
        <v>6133</v>
      </c>
      <c r="C1563" s="3" t="s">
        <v>6425</v>
      </c>
      <c r="D1563" s="3" t="s">
        <v>6426</v>
      </c>
      <c r="E1563" s="3" t="s">
        <v>24</v>
      </c>
      <c r="F1563" s="3" t="s">
        <v>6427</v>
      </c>
    </row>
    <row r="1564" ht="36.0" customHeight="1">
      <c r="A1564" s="2" t="s">
        <v>6428</v>
      </c>
      <c r="B1564" s="2" t="s">
        <v>6133</v>
      </c>
      <c r="C1564" s="2" t="s">
        <v>6429</v>
      </c>
      <c r="D1564" s="2" t="s">
        <v>6430</v>
      </c>
      <c r="E1564" s="2" t="s">
        <v>37</v>
      </c>
      <c r="F1564" s="2" t="s">
        <v>6431</v>
      </c>
    </row>
    <row r="1565" ht="36.0" customHeight="1">
      <c r="A1565" s="3" t="s">
        <v>6432</v>
      </c>
      <c r="B1565" s="3" t="s">
        <v>6133</v>
      </c>
      <c r="C1565" s="3" t="s">
        <v>6433</v>
      </c>
      <c r="D1565" s="3" t="s">
        <v>6434</v>
      </c>
      <c r="E1565" s="3" t="s">
        <v>2982</v>
      </c>
      <c r="F1565" s="3" t="s">
        <v>6435</v>
      </c>
    </row>
    <row r="1566" ht="36.0" customHeight="1">
      <c r="A1566" s="2" t="s">
        <v>6436</v>
      </c>
      <c r="B1566" s="2" t="s">
        <v>6133</v>
      </c>
      <c r="C1566" s="2" t="s">
        <v>6437</v>
      </c>
      <c r="D1566" s="2" t="s">
        <v>6438</v>
      </c>
      <c r="E1566" s="2" t="s">
        <v>91</v>
      </c>
      <c r="F1566" s="2" t="s">
        <v>6439</v>
      </c>
    </row>
    <row r="1567" ht="36.0" customHeight="1">
      <c r="A1567" s="3" t="s">
        <v>6440</v>
      </c>
      <c r="B1567" s="3" t="s">
        <v>6133</v>
      </c>
      <c r="C1567" s="3" t="s">
        <v>6441</v>
      </c>
      <c r="D1567" s="3" t="s">
        <v>6442</v>
      </c>
      <c r="E1567" s="3" t="s">
        <v>91</v>
      </c>
      <c r="F1567" s="3" t="s">
        <v>6443</v>
      </c>
    </row>
    <row r="1568" ht="36.0" customHeight="1">
      <c r="A1568" s="2" t="s">
        <v>6444</v>
      </c>
      <c r="B1568" s="2" t="s">
        <v>6133</v>
      </c>
      <c r="C1568" s="2" t="s">
        <v>6445</v>
      </c>
      <c r="D1568" s="2" t="s">
        <v>6446</v>
      </c>
      <c r="E1568" s="2" t="s">
        <v>3353</v>
      </c>
      <c r="F1568" s="2" t="s">
        <v>6447</v>
      </c>
    </row>
    <row r="1569" ht="36.0" customHeight="1">
      <c r="A1569" s="3" t="s">
        <v>6448</v>
      </c>
      <c r="B1569" s="3" t="s">
        <v>6133</v>
      </c>
      <c r="C1569" s="3" t="s">
        <v>6449</v>
      </c>
      <c r="D1569" s="3" t="s">
        <v>6450</v>
      </c>
      <c r="E1569" s="3" t="s">
        <v>91</v>
      </c>
      <c r="F1569" s="3" t="s">
        <v>6451</v>
      </c>
    </row>
    <row r="1570" ht="36.0" customHeight="1">
      <c r="A1570" s="2" t="s">
        <v>6452</v>
      </c>
      <c r="B1570" s="2" t="s">
        <v>6133</v>
      </c>
      <c r="C1570" s="2" t="s">
        <v>6453</v>
      </c>
      <c r="D1570" s="2" t="s">
        <v>6454</v>
      </c>
      <c r="E1570" s="2" t="s">
        <v>2982</v>
      </c>
      <c r="F1570" s="2" t="s">
        <v>6455</v>
      </c>
    </row>
    <row r="1571" ht="36.0" customHeight="1">
      <c r="A1571" s="3" t="s">
        <v>6456</v>
      </c>
      <c r="B1571" s="3" t="s">
        <v>6133</v>
      </c>
      <c r="C1571" s="3" t="s">
        <v>6457</v>
      </c>
      <c r="D1571" s="3" t="s">
        <v>6458</v>
      </c>
      <c r="E1571" s="3" t="s">
        <v>2583</v>
      </c>
      <c r="F1571" s="3" t="s">
        <v>6459</v>
      </c>
    </row>
    <row r="1572" ht="36.0" customHeight="1">
      <c r="A1572" s="2" t="s">
        <v>6460</v>
      </c>
      <c r="B1572" s="2" t="s">
        <v>6133</v>
      </c>
      <c r="C1572" s="2" t="s">
        <v>6461</v>
      </c>
      <c r="D1572" s="2" t="s">
        <v>6462</v>
      </c>
      <c r="E1572" s="2" t="s">
        <v>5617</v>
      </c>
      <c r="F1572" s="2" t="s">
        <v>6463</v>
      </c>
    </row>
    <row r="1573" ht="36.0" customHeight="1">
      <c r="A1573" s="3" t="s">
        <v>6464</v>
      </c>
      <c r="B1573" s="3" t="s">
        <v>6133</v>
      </c>
      <c r="C1573" s="3" t="s">
        <v>6465</v>
      </c>
      <c r="D1573" s="3" t="s">
        <v>6466</v>
      </c>
      <c r="E1573" s="3" t="s">
        <v>2583</v>
      </c>
      <c r="F1573" s="3" t="s">
        <v>6467</v>
      </c>
    </row>
    <row r="1574" ht="36.0" customHeight="1">
      <c r="A1574" s="2" t="s">
        <v>6468</v>
      </c>
      <c r="B1574" s="2" t="s">
        <v>6133</v>
      </c>
      <c r="C1574" s="2" t="s">
        <v>6469</v>
      </c>
      <c r="D1574" s="2" t="s">
        <v>6470</v>
      </c>
      <c r="E1574" s="2" t="s">
        <v>2583</v>
      </c>
      <c r="F1574" s="2" t="s">
        <v>6471</v>
      </c>
    </row>
    <row r="1575" ht="36.0" customHeight="1">
      <c r="A1575" s="3" t="s">
        <v>6472</v>
      </c>
      <c r="B1575" s="3" t="s">
        <v>6133</v>
      </c>
      <c r="C1575" s="3" t="s">
        <v>6473</v>
      </c>
      <c r="D1575" s="3" t="s">
        <v>6474</v>
      </c>
      <c r="E1575" s="3" t="s">
        <v>2583</v>
      </c>
      <c r="F1575" s="3" t="s">
        <v>6475</v>
      </c>
    </row>
    <row r="1576" ht="36.0" customHeight="1">
      <c r="A1576" s="2" t="s">
        <v>6476</v>
      </c>
      <c r="B1576" s="2" t="s">
        <v>6133</v>
      </c>
      <c r="C1576" s="2" t="s">
        <v>6477</v>
      </c>
      <c r="D1576" s="2" t="s">
        <v>6478</v>
      </c>
      <c r="E1576" s="2" t="s">
        <v>6262</v>
      </c>
      <c r="F1576" s="2" t="s">
        <v>6479</v>
      </c>
    </row>
    <row r="1577" ht="36.0" customHeight="1">
      <c r="A1577" s="3" t="s">
        <v>6480</v>
      </c>
      <c r="B1577" s="3" t="s">
        <v>6133</v>
      </c>
      <c r="C1577" s="3" t="s">
        <v>6481</v>
      </c>
      <c r="D1577" s="3" t="s">
        <v>6482</v>
      </c>
      <c r="E1577" s="3" t="s">
        <v>6275</v>
      </c>
      <c r="F1577" s="3" t="s">
        <v>6483</v>
      </c>
    </row>
    <row r="1578" ht="36.0" customHeight="1">
      <c r="A1578" s="2" t="s">
        <v>6484</v>
      </c>
      <c r="B1578" s="2" t="s">
        <v>6133</v>
      </c>
      <c r="C1578" s="2" t="s">
        <v>6485</v>
      </c>
      <c r="D1578" s="2" t="s">
        <v>6486</v>
      </c>
      <c r="E1578" s="2" t="s">
        <v>6275</v>
      </c>
      <c r="F1578" s="2" t="s">
        <v>6487</v>
      </c>
    </row>
    <row r="1579" ht="36.0" customHeight="1">
      <c r="A1579" s="3" t="s">
        <v>6488</v>
      </c>
      <c r="B1579" s="3" t="s">
        <v>6133</v>
      </c>
      <c r="C1579" s="3" t="s">
        <v>6489</v>
      </c>
      <c r="D1579" s="3" t="s">
        <v>6490</v>
      </c>
      <c r="E1579" s="3" t="s">
        <v>6275</v>
      </c>
      <c r="F1579" s="3" t="s">
        <v>6491</v>
      </c>
    </row>
    <row r="1580" ht="36.0" customHeight="1">
      <c r="A1580" s="2" t="s">
        <v>6492</v>
      </c>
      <c r="B1580" s="2" t="s">
        <v>6133</v>
      </c>
      <c r="C1580" s="2" t="s">
        <v>6493</v>
      </c>
      <c r="D1580" s="2" t="s">
        <v>6494</v>
      </c>
      <c r="E1580" s="2" t="s">
        <v>6275</v>
      </c>
      <c r="F1580" s="2" t="s">
        <v>6495</v>
      </c>
    </row>
    <row r="1581" ht="36.0" customHeight="1">
      <c r="A1581" s="3" t="s">
        <v>6496</v>
      </c>
      <c r="B1581" s="3" t="s">
        <v>6133</v>
      </c>
      <c r="C1581" s="3" t="s">
        <v>6497</v>
      </c>
      <c r="D1581" s="3" t="s">
        <v>6498</v>
      </c>
      <c r="E1581" s="3" t="s">
        <v>6275</v>
      </c>
      <c r="F1581" s="3" t="s">
        <v>6499</v>
      </c>
    </row>
    <row r="1582" ht="36.0" customHeight="1">
      <c r="A1582" s="2" t="s">
        <v>6500</v>
      </c>
      <c r="B1582" s="2" t="s">
        <v>6133</v>
      </c>
      <c r="C1582" s="2" t="s">
        <v>6501</v>
      </c>
      <c r="D1582" s="2" t="s">
        <v>6502</v>
      </c>
      <c r="E1582" s="2" t="s">
        <v>6262</v>
      </c>
      <c r="F1582" s="2" t="s">
        <v>6503</v>
      </c>
    </row>
    <row r="1583" ht="36.0" customHeight="1">
      <c r="A1583" s="3" t="s">
        <v>6504</v>
      </c>
      <c r="B1583" s="3" t="s">
        <v>6133</v>
      </c>
      <c r="C1583" s="3" t="s">
        <v>6505</v>
      </c>
      <c r="D1583" s="3" t="s">
        <v>6506</v>
      </c>
      <c r="E1583" s="3" t="s">
        <v>5617</v>
      </c>
      <c r="F1583" s="3" t="s">
        <v>6507</v>
      </c>
    </row>
    <row r="1584" ht="36.0" customHeight="1">
      <c r="A1584" s="2" t="s">
        <v>6508</v>
      </c>
      <c r="B1584" s="2" t="s">
        <v>6133</v>
      </c>
      <c r="C1584" s="2" t="s">
        <v>6509</v>
      </c>
      <c r="D1584" s="2" t="s">
        <v>6510</v>
      </c>
      <c r="E1584" s="2" t="s">
        <v>5617</v>
      </c>
      <c r="F1584" s="2" t="s">
        <v>6511</v>
      </c>
    </row>
    <row r="1585" ht="36.0" customHeight="1">
      <c r="A1585" s="3" t="s">
        <v>6512</v>
      </c>
      <c r="B1585" s="3" t="s">
        <v>6133</v>
      </c>
      <c r="C1585" s="3" t="s">
        <v>6513</v>
      </c>
      <c r="D1585" s="3" t="s">
        <v>6514</v>
      </c>
      <c r="E1585" s="3" t="s">
        <v>5617</v>
      </c>
      <c r="F1585" s="3" t="s">
        <v>6515</v>
      </c>
    </row>
    <row r="1586" ht="36.0" customHeight="1">
      <c r="A1586" s="2" t="s">
        <v>6516</v>
      </c>
      <c r="B1586" s="2" t="s">
        <v>6133</v>
      </c>
      <c r="C1586" s="2" t="s">
        <v>6517</v>
      </c>
      <c r="D1586" s="2" t="s">
        <v>6518</v>
      </c>
      <c r="E1586" s="2" t="s">
        <v>6301</v>
      </c>
      <c r="F1586" s="2" t="s">
        <v>6519</v>
      </c>
    </row>
    <row r="1587" ht="36.0" customHeight="1">
      <c r="A1587" s="3" t="s">
        <v>6520</v>
      </c>
      <c r="B1587" s="3" t="s">
        <v>6133</v>
      </c>
      <c r="C1587" s="3" t="s">
        <v>6521</v>
      </c>
      <c r="D1587" s="3" t="s">
        <v>6522</v>
      </c>
      <c r="E1587" s="3" t="s">
        <v>538</v>
      </c>
      <c r="F1587" s="3" t="s">
        <v>6523</v>
      </c>
    </row>
    <row r="1588" ht="36.0" customHeight="1">
      <c r="A1588" s="2" t="s">
        <v>6524</v>
      </c>
      <c r="B1588" s="2" t="s">
        <v>6133</v>
      </c>
      <c r="C1588" s="2" t="s">
        <v>6525</v>
      </c>
      <c r="D1588" s="2" t="s">
        <v>6526</v>
      </c>
      <c r="E1588" s="2" t="s">
        <v>1583</v>
      </c>
      <c r="F1588" s="2" t="s">
        <v>6527</v>
      </c>
    </row>
    <row r="1589" ht="36.0" customHeight="1">
      <c r="A1589" s="3" t="s">
        <v>6528</v>
      </c>
      <c r="B1589" s="3" t="s">
        <v>6133</v>
      </c>
      <c r="C1589" s="3" t="s">
        <v>6529</v>
      </c>
      <c r="D1589" s="3" t="s">
        <v>6530</v>
      </c>
      <c r="E1589" s="3" t="s">
        <v>62</v>
      </c>
      <c r="F1589" s="3" t="s">
        <v>6531</v>
      </c>
    </row>
    <row r="1590" ht="36.0" customHeight="1">
      <c r="A1590" s="2" t="s">
        <v>6532</v>
      </c>
      <c r="B1590" s="2" t="s">
        <v>6133</v>
      </c>
      <c r="C1590" s="2" t="s">
        <v>6533</v>
      </c>
      <c r="D1590" s="2" t="s">
        <v>6534</v>
      </c>
      <c r="E1590" s="2" t="s">
        <v>5617</v>
      </c>
      <c r="F1590" s="2" t="s">
        <v>6535</v>
      </c>
    </row>
    <row r="1591" ht="36.0" customHeight="1">
      <c r="A1591" s="3" t="s">
        <v>6536</v>
      </c>
      <c r="B1591" s="3" t="s">
        <v>6133</v>
      </c>
      <c r="C1591" s="3" t="s">
        <v>6537</v>
      </c>
      <c r="D1591" s="3" t="s">
        <v>6538</v>
      </c>
      <c r="E1591" s="3" t="s">
        <v>6539</v>
      </c>
      <c r="F1591" s="3" t="s">
        <v>6540</v>
      </c>
    </row>
    <row r="1592" ht="36.0" customHeight="1">
      <c r="A1592" s="2" t="s">
        <v>6541</v>
      </c>
      <c r="B1592" s="2" t="s">
        <v>6133</v>
      </c>
      <c r="C1592" s="2" t="s">
        <v>6542</v>
      </c>
      <c r="D1592" s="2" t="s">
        <v>6543</v>
      </c>
      <c r="E1592" s="2" t="s">
        <v>2855</v>
      </c>
      <c r="F1592" s="2" t="s">
        <v>6544</v>
      </c>
    </row>
    <row r="1593" ht="36.0" customHeight="1">
      <c r="A1593" s="3" t="s">
        <v>6545</v>
      </c>
      <c r="B1593" s="3" t="s">
        <v>6133</v>
      </c>
      <c r="C1593" s="3" t="s">
        <v>6546</v>
      </c>
      <c r="D1593" s="3" t="s">
        <v>6547</v>
      </c>
      <c r="E1593" s="3" t="s">
        <v>2855</v>
      </c>
      <c r="F1593" s="3" t="s">
        <v>6548</v>
      </c>
    </row>
    <row r="1594" ht="36.0" customHeight="1">
      <c r="A1594" s="2" t="s">
        <v>6549</v>
      </c>
      <c r="B1594" s="2" t="s">
        <v>6133</v>
      </c>
      <c r="C1594" s="2" t="s">
        <v>6550</v>
      </c>
      <c r="D1594" s="2" t="s">
        <v>6551</v>
      </c>
      <c r="E1594" s="2" t="s">
        <v>6552</v>
      </c>
      <c r="F1594" s="2" t="s">
        <v>6553</v>
      </c>
    </row>
    <row r="1595" ht="36.0" customHeight="1">
      <c r="A1595" s="3" t="s">
        <v>6554</v>
      </c>
      <c r="B1595" s="3" t="s">
        <v>6133</v>
      </c>
      <c r="C1595" s="3" t="s">
        <v>6555</v>
      </c>
      <c r="D1595" s="3" t="s">
        <v>6556</v>
      </c>
      <c r="E1595" s="3" t="s">
        <v>6552</v>
      </c>
      <c r="F1595" s="3" t="s">
        <v>6557</v>
      </c>
    </row>
    <row r="1596" ht="36.0" customHeight="1">
      <c r="A1596" s="2" t="s">
        <v>6558</v>
      </c>
      <c r="B1596" s="2" t="s">
        <v>6133</v>
      </c>
      <c r="C1596" s="2" t="s">
        <v>6559</v>
      </c>
      <c r="D1596" s="2" t="s">
        <v>6560</v>
      </c>
      <c r="E1596" s="2" t="s">
        <v>19</v>
      </c>
      <c r="F1596" s="2" t="s">
        <v>6561</v>
      </c>
    </row>
    <row r="1597" ht="36.0" customHeight="1">
      <c r="A1597" s="3" t="s">
        <v>6562</v>
      </c>
      <c r="B1597" s="3" t="s">
        <v>6133</v>
      </c>
      <c r="C1597" s="3" t="s">
        <v>6563</v>
      </c>
      <c r="D1597" s="3" t="s">
        <v>6560</v>
      </c>
      <c r="E1597" s="3" t="s">
        <v>19</v>
      </c>
      <c r="F1597" s="3" t="s">
        <v>6564</v>
      </c>
    </row>
    <row r="1598" ht="36.0" customHeight="1">
      <c r="A1598" s="2" t="s">
        <v>6565</v>
      </c>
      <c r="B1598" s="2" t="s">
        <v>6133</v>
      </c>
      <c r="C1598" s="2" t="s">
        <v>6566</v>
      </c>
      <c r="D1598" s="2" t="s">
        <v>6567</v>
      </c>
      <c r="E1598" s="2" t="s">
        <v>1756</v>
      </c>
      <c r="F1598" s="2" t="s">
        <v>6568</v>
      </c>
    </row>
    <row r="1599" ht="36.0" customHeight="1">
      <c r="A1599" s="3" t="s">
        <v>6569</v>
      </c>
      <c r="B1599" s="3" t="s">
        <v>6133</v>
      </c>
      <c r="C1599" s="3" t="s">
        <v>6570</v>
      </c>
      <c r="D1599" s="3" t="s">
        <v>6571</v>
      </c>
      <c r="E1599" s="3" t="s">
        <v>24</v>
      </c>
      <c r="F1599" s="3" t="s">
        <v>6572</v>
      </c>
    </row>
    <row r="1600" ht="36.0" customHeight="1">
      <c r="A1600" s="2" t="s">
        <v>6573</v>
      </c>
      <c r="B1600" s="2" t="s">
        <v>6133</v>
      </c>
      <c r="C1600" s="2" t="s">
        <v>6574</v>
      </c>
      <c r="D1600" s="2" t="s">
        <v>6575</v>
      </c>
      <c r="E1600" s="2" t="s">
        <v>24</v>
      </c>
      <c r="F1600" s="2" t="s">
        <v>6576</v>
      </c>
    </row>
    <row r="1601" ht="36.0" customHeight="1">
      <c r="A1601" s="3" t="s">
        <v>6577</v>
      </c>
      <c r="B1601" s="3" t="s">
        <v>6133</v>
      </c>
      <c r="C1601" s="3" t="s">
        <v>6578</v>
      </c>
      <c r="D1601" s="3" t="s">
        <v>6579</v>
      </c>
      <c r="E1601" s="3" t="s">
        <v>24</v>
      </c>
      <c r="F1601" s="3" t="s">
        <v>6580</v>
      </c>
    </row>
    <row r="1602" ht="36.0" customHeight="1">
      <c r="A1602" s="2" t="s">
        <v>6581</v>
      </c>
      <c r="B1602" s="2" t="s">
        <v>6133</v>
      </c>
      <c r="C1602" s="2" t="s">
        <v>6582</v>
      </c>
      <c r="D1602" s="2" t="s">
        <v>6583</v>
      </c>
      <c r="E1602" s="2" t="s">
        <v>229</v>
      </c>
      <c r="F1602" s="2" t="s">
        <v>6584</v>
      </c>
    </row>
    <row r="1603" ht="36.0" customHeight="1">
      <c r="A1603" s="3" t="s">
        <v>6585</v>
      </c>
      <c r="B1603" s="3" t="s">
        <v>6133</v>
      </c>
      <c r="C1603" s="3" t="s">
        <v>6586</v>
      </c>
      <c r="D1603" s="3" t="s">
        <v>6587</v>
      </c>
      <c r="E1603" s="3" t="s">
        <v>3353</v>
      </c>
      <c r="F1603" s="3" t="s">
        <v>6588</v>
      </c>
    </row>
    <row r="1604" ht="36.0" customHeight="1">
      <c r="A1604" s="2" t="s">
        <v>6589</v>
      </c>
      <c r="B1604" s="2" t="s">
        <v>6133</v>
      </c>
      <c r="C1604" s="2" t="s">
        <v>6590</v>
      </c>
      <c r="D1604" s="2" t="s">
        <v>6591</v>
      </c>
      <c r="E1604" s="2" t="s">
        <v>3353</v>
      </c>
      <c r="F1604" s="2" t="s">
        <v>6592</v>
      </c>
    </row>
    <row r="1605" ht="36.0" customHeight="1">
      <c r="A1605" s="3" t="s">
        <v>6593</v>
      </c>
      <c r="B1605" s="3" t="s">
        <v>6133</v>
      </c>
      <c r="C1605" s="3" t="s">
        <v>6594</v>
      </c>
      <c r="D1605" s="3" t="s">
        <v>6595</v>
      </c>
      <c r="E1605" s="3" t="s">
        <v>6539</v>
      </c>
      <c r="F1605" s="3" t="s">
        <v>6596</v>
      </c>
    </row>
    <row r="1606" ht="36.0" customHeight="1">
      <c r="A1606" s="2" t="s">
        <v>6597</v>
      </c>
      <c r="B1606" s="2" t="s">
        <v>6133</v>
      </c>
      <c r="C1606" s="2" t="s">
        <v>6598</v>
      </c>
      <c r="D1606" s="2" t="s">
        <v>6599</v>
      </c>
      <c r="E1606" s="2" t="s">
        <v>5617</v>
      </c>
      <c r="F1606" s="2" t="s">
        <v>6600</v>
      </c>
    </row>
    <row r="1607" ht="36.0" customHeight="1">
      <c r="A1607" s="3" t="s">
        <v>6601</v>
      </c>
      <c r="B1607" s="3" t="s">
        <v>6133</v>
      </c>
      <c r="C1607" s="3" t="s">
        <v>6602</v>
      </c>
      <c r="D1607" s="3" t="s">
        <v>6603</v>
      </c>
      <c r="E1607" s="3" t="s">
        <v>6539</v>
      </c>
      <c r="F1607" s="3" t="s">
        <v>6604</v>
      </c>
    </row>
    <row r="1608" ht="36.0" customHeight="1">
      <c r="A1608" s="2" t="s">
        <v>6605</v>
      </c>
      <c r="B1608" s="2" t="s">
        <v>6133</v>
      </c>
      <c r="C1608" s="2" t="s">
        <v>6606</v>
      </c>
      <c r="D1608" s="2" t="s">
        <v>6607</v>
      </c>
      <c r="E1608" s="2" t="s">
        <v>6301</v>
      </c>
      <c r="F1608" s="2" t="s">
        <v>6608</v>
      </c>
    </row>
    <row r="1609" ht="36.0" customHeight="1">
      <c r="A1609" s="3" t="s">
        <v>6609</v>
      </c>
      <c r="B1609" s="3" t="s">
        <v>6610</v>
      </c>
      <c r="C1609" s="3" t="s">
        <v>6611</v>
      </c>
      <c r="D1609" s="3" t="s">
        <v>6612</v>
      </c>
      <c r="E1609" s="3" t="s">
        <v>430</v>
      </c>
      <c r="F1609" s="3" t="s">
        <v>6613</v>
      </c>
    </row>
    <row r="1610" ht="36.0" customHeight="1">
      <c r="A1610" s="2" t="s">
        <v>6614</v>
      </c>
      <c r="B1610" s="2" t="s">
        <v>6610</v>
      </c>
      <c r="C1610" s="2" t="s">
        <v>6615</v>
      </c>
      <c r="D1610" s="2" t="s">
        <v>2024</v>
      </c>
      <c r="E1610" s="2" t="s">
        <v>229</v>
      </c>
      <c r="F1610" s="2" t="s">
        <v>6616</v>
      </c>
    </row>
    <row r="1611" ht="36.0" customHeight="1">
      <c r="A1611" s="3" t="s">
        <v>6617</v>
      </c>
      <c r="B1611" s="3" t="s">
        <v>6610</v>
      </c>
      <c r="C1611" s="3" t="s">
        <v>6618</v>
      </c>
      <c r="D1611" s="3" t="s">
        <v>6619</v>
      </c>
      <c r="E1611" s="3" t="s">
        <v>5909</v>
      </c>
      <c r="F1611" s="3" t="s">
        <v>6620</v>
      </c>
    </row>
    <row r="1612" ht="36.0" customHeight="1">
      <c r="A1612" s="2" t="s">
        <v>6621</v>
      </c>
      <c r="B1612" s="2" t="s">
        <v>6610</v>
      </c>
      <c r="C1612" s="2" t="s">
        <v>6622</v>
      </c>
      <c r="D1612" s="2" t="s">
        <v>6623</v>
      </c>
      <c r="E1612" s="2" t="s">
        <v>110</v>
      </c>
      <c r="F1612" s="2" t="s">
        <v>6624</v>
      </c>
    </row>
    <row r="1613" ht="36.0" customHeight="1">
      <c r="A1613" s="3" t="s">
        <v>6625</v>
      </c>
      <c r="B1613" s="3" t="s">
        <v>6610</v>
      </c>
      <c r="C1613" s="3" t="s">
        <v>6626</v>
      </c>
      <c r="D1613" s="3" t="s">
        <v>6627</v>
      </c>
      <c r="E1613" s="3" t="s">
        <v>2982</v>
      </c>
      <c r="F1613" s="3" t="s">
        <v>6628</v>
      </c>
    </row>
    <row r="1614" ht="36.0" customHeight="1">
      <c r="A1614" s="2" t="s">
        <v>6629</v>
      </c>
      <c r="B1614" s="2" t="s">
        <v>6610</v>
      </c>
      <c r="C1614" s="2" t="s">
        <v>6630</v>
      </c>
      <c r="D1614" s="2" t="s">
        <v>6631</v>
      </c>
      <c r="E1614" s="2" t="s">
        <v>1855</v>
      </c>
      <c r="F1614" s="2" t="s">
        <v>6632</v>
      </c>
    </row>
    <row r="1615" ht="36.0" customHeight="1">
      <c r="A1615" s="3" t="s">
        <v>6633</v>
      </c>
      <c r="B1615" s="3" t="s">
        <v>6610</v>
      </c>
      <c r="C1615" s="3" t="s">
        <v>6634</v>
      </c>
      <c r="D1615" s="3" t="s">
        <v>6635</v>
      </c>
      <c r="E1615" s="3" t="s">
        <v>2982</v>
      </c>
      <c r="F1615" s="3" t="s">
        <v>6636</v>
      </c>
    </row>
    <row r="1616" ht="36.0" customHeight="1">
      <c r="A1616" s="2" t="s">
        <v>6637</v>
      </c>
      <c r="B1616" s="2" t="s">
        <v>6610</v>
      </c>
      <c r="C1616" s="2" t="s">
        <v>6638</v>
      </c>
      <c r="D1616" s="2" t="s">
        <v>6639</v>
      </c>
      <c r="E1616" s="2" t="s">
        <v>1855</v>
      </c>
      <c r="F1616" s="2" t="s">
        <v>6640</v>
      </c>
    </row>
    <row r="1617" ht="36.0" customHeight="1">
      <c r="A1617" s="3" t="s">
        <v>6641</v>
      </c>
      <c r="B1617" s="3" t="s">
        <v>6610</v>
      </c>
      <c r="C1617" s="3" t="s">
        <v>6642</v>
      </c>
      <c r="D1617" s="3" t="s">
        <v>6643</v>
      </c>
      <c r="E1617" s="3" t="s">
        <v>19</v>
      </c>
      <c r="F1617" s="3" t="s">
        <v>6644</v>
      </c>
    </row>
    <row r="1618" ht="36.0" customHeight="1">
      <c r="A1618" s="2" t="s">
        <v>6645</v>
      </c>
      <c r="B1618" s="2" t="s">
        <v>6610</v>
      </c>
      <c r="C1618" s="2" t="s">
        <v>6646</v>
      </c>
      <c r="D1618" s="2" t="s">
        <v>6647</v>
      </c>
      <c r="E1618" s="2" t="s">
        <v>6648</v>
      </c>
      <c r="F1618" s="2" t="s">
        <v>6649</v>
      </c>
    </row>
    <row r="1619" ht="36.0" customHeight="1">
      <c r="A1619" s="3" t="s">
        <v>6650</v>
      </c>
      <c r="B1619" s="3" t="s">
        <v>6610</v>
      </c>
      <c r="C1619" s="3" t="s">
        <v>6651</v>
      </c>
      <c r="D1619" s="3" t="s">
        <v>6652</v>
      </c>
      <c r="E1619" s="3" t="s">
        <v>19</v>
      </c>
      <c r="F1619" s="3" t="s">
        <v>6653</v>
      </c>
    </row>
    <row r="1620" ht="36.0" customHeight="1">
      <c r="A1620" s="2" t="s">
        <v>6654</v>
      </c>
      <c r="B1620" s="2" t="s">
        <v>6610</v>
      </c>
      <c r="C1620" s="2" t="s">
        <v>6655</v>
      </c>
      <c r="D1620" s="2" t="s">
        <v>6656</v>
      </c>
      <c r="E1620" s="2" t="s">
        <v>19</v>
      </c>
      <c r="F1620" s="2" t="s">
        <v>6657</v>
      </c>
    </row>
    <row r="1621" ht="36.0" customHeight="1">
      <c r="A1621" s="3" t="s">
        <v>6658</v>
      </c>
      <c r="B1621" s="3" t="s">
        <v>6610</v>
      </c>
      <c r="C1621" s="3" t="s">
        <v>6659</v>
      </c>
      <c r="D1621" s="3" t="s">
        <v>6660</v>
      </c>
      <c r="E1621" s="3" t="s">
        <v>430</v>
      </c>
      <c r="F1621" s="3" t="s">
        <v>6661</v>
      </c>
    </row>
    <row r="1622" ht="36.0" customHeight="1">
      <c r="A1622" s="2" t="s">
        <v>6662</v>
      </c>
      <c r="B1622" s="2" t="s">
        <v>6610</v>
      </c>
      <c r="C1622" s="2" t="s">
        <v>6663</v>
      </c>
      <c r="D1622" s="2" t="s">
        <v>6664</v>
      </c>
      <c r="E1622" s="2" t="s">
        <v>430</v>
      </c>
      <c r="F1622" s="2" t="s">
        <v>6665</v>
      </c>
    </row>
    <row r="1623" ht="36.0" customHeight="1">
      <c r="A1623" s="3" t="s">
        <v>6666</v>
      </c>
      <c r="B1623" s="3" t="s">
        <v>6610</v>
      </c>
      <c r="C1623" s="3" t="s">
        <v>6667</v>
      </c>
      <c r="D1623" s="3" t="s">
        <v>6668</v>
      </c>
      <c r="E1623" s="3" t="s">
        <v>52</v>
      </c>
      <c r="F1623" s="3" t="s">
        <v>6669</v>
      </c>
    </row>
    <row r="1624" ht="36.0" customHeight="1">
      <c r="A1624" s="2" t="s">
        <v>6670</v>
      </c>
      <c r="B1624" s="2" t="s">
        <v>6610</v>
      </c>
      <c r="C1624" s="2" t="s">
        <v>6671</v>
      </c>
      <c r="D1624" s="2" t="s">
        <v>6672</v>
      </c>
      <c r="E1624" s="2" t="s">
        <v>5909</v>
      </c>
      <c r="F1624" s="2" t="s">
        <v>6673</v>
      </c>
    </row>
    <row r="1625" ht="36.0" customHeight="1">
      <c r="A1625" s="3" t="s">
        <v>6674</v>
      </c>
      <c r="B1625" s="3" t="s">
        <v>6610</v>
      </c>
      <c r="C1625" s="3" t="s">
        <v>6675</v>
      </c>
      <c r="D1625" s="3" t="s">
        <v>6676</v>
      </c>
      <c r="E1625" s="3" t="s">
        <v>62</v>
      </c>
      <c r="F1625" s="3" t="s">
        <v>6677</v>
      </c>
    </row>
    <row r="1626" ht="36.0" customHeight="1">
      <c r="A1626" s="2" t="s">
        <v>6678</v>
      </c>
      <c r="B1626" s="2" t="s">
        <v>6610</v>
      </c>
      <c r="C1626" s="2" t="s">
        <v>6679</v>
      </c>
      <c r="D1626" s="2" t="s">
        <v>6680</v>
      </c>
      <c r="E1626" s="2" t="s">
        <v>62</v>
      </c>
      <c r="F1626" s="2" t="s">
        <v>6681</v>
      </c>
    </row>
    <row r="1627" ht="36.0" customHeight="1">
      <c r="A1627" s="3" t="s">
        <v>6682</v>
      </c>
      <c r="B1627" s="3" t="s">
        <v>6610</v>
      </c>
      <c r="C1627" s="3" t="s">
        <v>6683</v>
      </c>
      <c r="D1627" s="3" t="s">
        <v>6684</v>
      </c>
      <c r="E1627" s="3" t="s">
        <v>695</v>
      </c>
      <c r="F1627" s="3" t="s">
        <v>6685</v>
      </c>
    </row>
    <row r="1628" ht="36.0" customHeight="1">
      <c r="A1628" s="2" t="s">
        <v>6686</v>
      </c>
      <c r="B1628" s="2" t="s">
        <v>6610</v>
      </c>
      <c r="C1628" s="2" t="s">
        <v>6687</v>
      </c>
      <c r="D1628" s="2" t="s">
        <v>6688</v>
      </c>
      <c r="E1628" s="2" t="s">
        <v>695</v>
      </c>
      <c r="F1628" s="2" t="s">
        <v>6689</v>
      </c>
    </row>
    <row r="1629" ht="36.0" customHeight="1">
      <c r="A1629" s="3" t="s">
        <v>6690</v>
      </c>
      <c r="B1629" s="3" t="s">
        <v>6610</v>
      </c>
      <c r="C1629" s="3" t="s">
        <v>6691</v>
      </c>
      <c r="D1629" s="3" t="s">
        <v>6692</v>
      </c>
      <c r="E1629" s="3" t="s">
        <v>2824</v>
      </c>
      <c r="F1629" s="3" t="s">
        <v>6693</v>
      </c>
    </row>
    <row r="1630" ht="36.0" customHeight="1">
      <c r="A1630" s="2" t="s">
        <v>6694</v>
      </c>
      <c r="B1630" s="2" t="s">
        <v>6610</v>
      </c>
      <c r="C1630" s="2" t="s">
        <v>6695</v>
      </c>
      <c r="D1630" s="2" t="s">
        <v>6696</v>
      </c>
      <c r="E1630" s="2" t="s">
        <v>2982</v>
      </c>
      <c r="F1630" s="2" t="s">
        <v>6697</v>
      </c>
    </row>
    <row r="1631" ht="36.0" customHeight="1">
      <c r="A1631" s="3" t="s">
        <v>6698</v>
      </c>
      <c r="B1631" s="3" t="s">
        <v>6610</v>
      </c>
      <c r="C1631" s="3" t="s">
        <v>6699</v>
      </c>
      <c r="D1631" s="3" t="s">
        <v>6700</v>
      </c>
      <c r="E1631" s="3" t="s">
        <v>96</v>
      </c>
      <c r="F1631" s="3" t="s">
        <v>6701</v>
      </c>
    </row>
    <row r="1632" ht="36.0" customHeight="1">
      <c r="A1632" s="2" t="s">
        <v>6702</v>
      </c>
      <c r="B1632" s="2" t="s">
        <v>6610</v>
      </c>
      <c r="C1632" s="2" t="s">
        <v>6703</v>
      </c>
      <c r="D1632" s="2" t="s">
        <v>6704</v>
      </c>
      <c r="E1632" s="2" t="s">
        <v>2982</v>
      </c>
      <c r="F1632" s="2" t="s">
        <v>6705</v>
      </c>
    </row>
    <row r="1633" ht="36.0" customHeight="1">
      <c r="A1633" s="3" t="s">
        <v>6706</v>
      </c>
      <c r="B1633" s="3" t="s">
        <v>6610</v>
      </c>
      <c r="C1633" s="3" t="s">
        <v>6707</v>
      </c>
      <c r="D1633" s="3" t="s">
        <v>6708</v>
      </c>
      <c r="E1633" s="3" t="s">
        <v>1855</v>
      </c>
      <c r="F1633" s="3" t="s">
        <v>6709</v>
      </c>
    </row>
    <row r="1634" ht="36.0" customHeight="1">
      <c r="A1634" s="2" t="s">
        <v>6710</v>
      </c>
      <c r="B1634" s="2" t="s">
        <v>6610</v>
      </c>
      <c r="C1634" s="2" t="s">
        <v>6711</v>
      </c>
      <c r="D1634" s="2" t="s">
        <v>6712</v>
      </c>
      <c r="E1634" s="2" t="s">
        <v>2855</v>
      </c>
      <c r="F1634" s="2" t="s">
        <v>6713</v>
      </c>
    </row>
    <row r="1635" ht="36.0" customHeight="1">
      <c r="A1635" s="3" t="s">
        <v>6714</v>
      </c>
      <c r="B1635" s="3" t="s">
        <v>6610</v>
      </c>
      <c r="C1635" s="3" t="s">
        <v>6715</v>
      </c>
      <c r="D1635" s="3" t="s">
        <v>6716</v>
      </c>
      <c r="E1635" s="3" t="s">
        <v>2855</v>
      </c>
      <c r="F1635" s="3" t="s">
        <v>6717</v>
      </c>
    </row>
    <row r="1636" ht="36.0" customHeight="1">
      <c r="A1636" s="2" t="s">
        <v>6718</v>
      </c>
      <c r="B1636" s="2" t="s">
        <v>6610</v>
      </c>
      <c r="C1636" s="2" t="s">
        <v>6719</v>
      </c>
      <c r="D1636" s="2" t="s">
        <v>6720</v>
      </c>
      <c r="E1636" s="2" t="s">
        <v>2855</v>
      </c>
      <c r="F1636" s="2" t="s">
        <v>6721</v>
      </c>
    </row>
    <row r="1637" ht="36.0" customHeight="1">
      <c r="A1637" s="3" t="s">
        <v>6722</v>
      </c>
      <c r="B1637" s="3" t="s">
        <v>6610</v>
      </c>
      <c r="C1637" s="3" t="s">
        <v>6723</v>
      </c>
      <c r="D1637" s="3" t="s">
        <v>6724</v>
      </c>
      <c r="E1637" s="3" t="s">
        <v>2855</v>
      </c>
      <c r="F1637" s="3" t="s">
        <v>6725</v>
      </c>
    </row>
    <row r="1638" ht="36.0" customHeight="1">
      <c r="A1638" s="2" t="s">
        <v>6726</v>
      </c>
      <c r="B1638" s="2" t="s">
        <v>6610</v>
      </c>
      <c r="C1638" s="2" t="s">
        <v>6727</v>
      </c>
      <c r="D1638" s="2" t="s">
        <v>6728</v>
      </c>
      <c r="E1638" s="2" t="s">
        <v>2982</v>
      </c>
      <c r="F1638" s="2" t="s">
        <v>6729</v>
      </c>
    </row>
    <row r="1639" ht="36.0" customHeight="1">
      <c r="A1639" s="3" t="s">
        <v>6730</v>
      </c>
      <c r="B1639" s="3" t="s">
        <v>6610</v>
      </c>
      <c r="C1639" s="3" t="s">
        <v>6731</v>
      </c>
      <c r="D1639" s="3" t="s">
        <v>6732</v>
      </c>
      <c r="E1639" s="3" t="s">
        <v>2982</v>
      </c>
      <c r="F1639" s="3" t="s">
        <v>6733</v>
      </c>
    </row>
    <row r="1640" ht="36.0" customHeight="1">
      <c r="A1640" s="2" t="s">
        <v>6734</v>
      </c>
      <c r="B1640" s="2" t="s">
        <v>6610</v>
      </c>
      <c r="C1640" s="2" t="s">
        <v>6735</v>
      </c>
      <c r="D1640" s="2" t="s">
        <v>6736</v>
      </c>
      <c r="E1640" s="2" t="s">
        <v>6737</v>
      </c>
      <c r="F1640" s="2" t="s">
        <v>6738</v>
      </c>
    </row>
    <row r="1641" ht="36.0" customHeight="1">
      <c r="A1641" s="3" t="s">
        <v>6739</v>
      </c>
      <c r="B1641" s="3" t="s">
        <v>6610</v>
      </c>
      <c r="C1641" s="3" t="s">
        <v>6740</v>
      </c>
      <c r="D1641" s="3" t="s">
        <v>6741</v>
      </c>
      <c r="E1641" s="3" t="s">
        <v>2982</v>
      </c>
      <c r="F1641" s="3" t="s">
        <v>6742</v>
      </c>
    </row>
    <row r="1642" ht="36.0" customHeight="1">
      <c r="A1642" s="2" t="s">
        <v>6743</v>
      </c>
      <c r="B1642" s="2" t="s">
        <v>6610</v>
      </c>
      <c r="C1642" s="2" t="s">
        <v>6744</v>
      </c>
      <c r="D1642" s="2" t="s">
        <v>6745</v>
      </c>
      <c r="E1642" s="2" t="s">
        <v>1855</v>
      </c>
      <c r="F1642" s="2" t="s">
        <v>6746</v>
      </c>
    </row>
    <row r="1643" ht="36.0" customHeight="1">
      <c r="A1643" s="3" t="s">
        <v>6747</v>
      </c>
      <c r="B1643" s="3" t="s">
        <v>6610</v>
      </c>
      <c r="C1643" s="3" t="s">
        <v>6748</v>
      </c>
      <c r="D1643" s="3" t="s">
        <v>6749</v>
      </c>
      <c r="E1643" s="3" t="s">
        <v>2010</v>
      </c>
      <c r="F1643" s="3" t="s">
        <v>6750</v>
      </c>
    </row>
    <row r="1644" ht="36.0" customHeight="1">
      <c r="A1644" s="2" t="s">
        <v>6751</v>
      </c>
      <c r="B1644" s="2" t="s">
        <v>6610</v>
      </c>
      <c r="C1644" s="2" t="s">
        <v>6752</v>
      </c>
      <c r="D1644" s="2" t="s">
        <v>6753</v>
      </c>
      <c r="E1644" s="2" t="s">
        <v>2824</v>
      </c>
      <c r="F1644" s="2" t="s">
        <v>6754</v>
      </c>
    </row>
    <row r="1645" ht="36.0" customHeight="1">
      <c r="A1645" s="3" t="s">
        <v>6755</v>
      </c>
      <c r="B1645" s="3" t="s">
        <v>6610</v>
      </c>
      <c r="C1645" s="3" t="s">
        <v>6756</v>
      </c>
      <c r="D1645" s="3" t="s">
        <v>6757</v>
      </c>
      <c r="E1645" s="3" t="s">
        <v>2982</v>
      </c>
      <c r="F1645" s="3" t="s">
        <v>6758</v>
      </c>
    </row>
    <row r="1646" ht="36.0" customHeight="1">
      <c r="A1646" s="2" t="s">
        <v>6759</v>
      </c>
      <c r="B1646" s="2" t="s">
        <v>6610</v>
      </c>
      <c r="C1646" s="2" t="s">
        <v>6760</v>
      </c>
      <c r="D1646" s="2" t="s">
        <v>6761</v>
      </c>
      <c r="E1646" s="2" t="s">
        <v>2855</v>
      </c>
      <c r="F1646" s="2" t="s">
        <v>6762</v>
      </c>
    </row>
    <row r="1647" ht="36.0" customHeight="1">
      <c r="A1647" s="3" t="s">
        <v>6763</v>
      </c>
      <c r="B1647" s="3" t="s">
        <v>6610</v>
      </c>
      <c r="C1647" s="3" t="s">
        <v>6764</v>
      </c>
      <c r="D1647" s="3" t="s">
        <v>6765</v>
      </c>
      <c r="E1647" s="3" t="s">
        <v>1756</v>
      </c>
      <c r="F1647" s="3" t="s">
        <v>6766</v>
      </c>
    </row>
    <row r="1648" ht="36.0" customHeight="1">
      <c r="A1648" s="2" t="s">
        <v>6767</v>
      </c>
      <c r="B1648" s="2" t="s">
        <v>6610</v>
      </c>
      <c r="C1648" s="2" t="s">
        <v>6768</v>
      </c>
      <c r="D1648" s="2" t="s">
        <v>6769</v>
      </c>
      <c r="E1648" s="2" t="s">
        <v>430</v>
      </c>
      <c r="F1648" s="2" t="s">
        <v>6770</v>
      </c>
    </row>
    <row r="1649" ht="36.0" customHeight="1">
      <c r="A1649" s="3" t="s">
        <v>6771</v>
      </c>
      <c r="B1649" s="3" t="s">
        <v>6610</v>
      </c>
      <c r="C1649" s="3" t="s">
        <v>6772</v>
      </c>
      <c r="D1649" s="3" t="s">
        <v>6773</v>
      </c>
      <c r="E1649" s="3" t="s">
        <v>24</v>
      </c>
      <c r="F1649" s="3" t="s">
        <v>6774</v>
      </c>
    </row>
    <row r="1650" ht="36.0" customHeight="1">
      <c r="A1650" s="2" t="s">
        <v>6775</v>
      </c>
      <c r="B1650" s="2" t="s">
        <v>6610</v>
      </c>
      <c r="C1650" s="2" t="s">
        <v>6776</v>
      </c>
      <c r="D1650" s="2" t="s">
        <v>6777</v>
      </c>
      <c r="E1650" s="2" t="s">
        <v>24</v>
      </c>
      <c r="F1650" s="2" t="s">
        <v>6778</v>
      </c>
    </row>
    <row r="1651" ht="36.0" customHeight="1">
      <c r="A1651" s="3" t="s">
        <v>6779</v>
      </c>
      <c r="B1651" s="3" t="s">
        <v>6610</v>
      </c>
      <c r="C1651" s="3" t="s">
        <v>6780</v>
      </c>
      <c r="D1651" s="3" t="s">
        <v>6781</v>
      </c>
      <c r="E1651" s="3" t="s">
        <v>5909</v>
      </c>
      <c r="F1651" s="3" t="s">
        <v>6782</v>
      </c>
    </row>
    <row r="1652" ht="36.0" customHeight="1">
      <c r="A1652" s="2" t="s">
        <v>6783</v>
      </c>
      <c r="B1652" s="2" t="s">
        <v>6610</v>
      </c>
      <c r="C1652" s="2" t="s">
        <v>6784</v>
      </c>
      <c r="D1652" s="2" t="s">
        <v>6785</v>
      </c>
      <c r="E1652" s="2" t="s">
        <v>91</v>
      </c>
      <c r="F1652" s="2" t="s">
        <v>6786</v>
      </c>
    </row>
    <row r="1653" ht="36.0" customHeight="1">
      <c r="A1653" s="3" t="s">
        <v>6787</v>
      </c>
      <c r="B1653" s="3" t="s">
        <v>6610</v>
      </c>
      <c r="C1653" s="3" t="s">
        <v>6788</v>
      </c>
      <c r="D1653" s="3" t="s">
        <v>6789</v>
      </c>
      <c r="E1653" s="3" t="s">
        <v>2824</v>
      </c>
      <c r="F1653" s="3" t="s">
        <v>6790</v>
      </c>
    </row>
    <row r="1654" ht="36.0" customHeight="1">
      <c r="A1654" s="2" t="s">
        <v>6791</v>
      </c>
      <c r="B1654" s="2" t="s">
        <v>6610</v>
      </c>
      <c r="C1654" s="2" t="s">
        <v>6792</v>
      </c>
      <c r="D1654" s="2" t="s">
        <v>6793</v>
      </c>
      <c r="E1654" s="2" t="s">
        <v>1250</v>
      </c>
      <c r="F1654" s="2" t="s">
        <v>6794</v>
      </c>
    </row>
    <row r="1655" ht="36.0" customHeight="1">
      <c r="A1655" s="3" t="s">
        <v>6795</v>
      </c>
      <c r="B1655" s="3" t="s">
        <v>6610</v>
      </c>
      <c r="C1655" s="3" t="s">
        <v>6796</v>
      </c>
      <c r="D1655" s="3" t="s">
        <v>6797</v>
      </c>
      <c r="E1655" s="3" t="s">
        <v>2855</v>
      </c>
      <c r="F1655" s="3" t="s">
        <v>6798</v>
      </c>
    </row>
    <row r="1656" ht="36.0" customHeight="1">
      <c r="A1656" s="2" t="s">
        <v>6799</v>
      </c>
      <c r="B1656" s="2" t="s">
        <v>6610</v>
      </c>
      <c r="C1656" s="2" t="s">
        <v>6800</v>
      </c>
      <c r="D1656" s="2" t="s">
        <v>6801</v>
      </c>
      <c r="E1656" s="2" t="s">
        <v>2855</v>
      </c>
      <c r="F1656" s="2" t="s">
        <v>6802</v>
      </c>
    </row>
    <row r="1657" ht="36.0" customHeight="1">
      <c r="A1657" s="3" t="s">
        <v>6803</v>
      </c>
      <c r="B1657" s="3" t="s">
        <v>6610</v>
      </c>
      <c r="C1657" s="3" t="s">
        <v>6804</v>
      </c>
      <c r="D1657" s="3" t="s">
        <v>6805</v>
      </c>
      <c r="E1657" s="3" t="s">
        <v>19</v>
      </c>
      <c r="F1657" s="3" t="s">
        <v>6806</v>
      </c>
    </row>
    <row r="1658" ht="36.0" customHeight="1">
      <c r="A1658" s="2" t="s">
        <v>6807</v>
      </c>
      <c r="B1658" s="2" t="s">
        <v>6610</v>
      </c>
      <c r="C1658" s="2" t="s">
        <v>6808</v>
      </c>
      <c r="D1658" s="2" t="s">
        <v>6809</v>
      </c>
      <c r="E1658" s="2" t="s">
        <v>430</v>
      </c>
      <c r="F1658" s="2" t="s">
        <v>6810</v>
      </c>
    </row>
    <row r="1659" ht="36.0" customHeight="1">
      <c r="A1659" s="3" t="s">
        <v>6811</v>
      </c>
      <c r="B1659" s="3" t="s">
        <v>6610</v>
      </c>
      <c r="C1659" s="3" t="s">
        <v>6812</v>
      </c>
      <c r="D1659" s="3" t="s">
        <v>6813</v>
      </c>
      <c r="E1659" s="3" t="s">
        <v>430</v>
      </c>
      <c r="F1659" s="3" t="s">
        <v>6814</v>
      </c>
    </row>
    <row r="1660" ht="36.0" customHeight="1">
      <c r="A1660" s="2" t="s">
        <v>6815</v>
      </c>
      <c r="B1660" s="2" t="s">
        <v>6610</v>
      </c>
      <c r="C1660" s="2" t="s">
        <v>6816</v>
      </c>
      <c r="D1660" s="2" t="s">
        <v>6817</v>
      </c>
      <c r="E1660" s="2" t="s">
        <v>430</v>
      </c>
      <c r="F1660" s="2" t="s">
        <v>6818</v>
      </c>
    </row>
    <row r="1661" ht="36.0" customHeight="1">
      <c r="A1661" s="3" t="s">
        <v>6819</v>
      </c>
      <c r="B1661" s="3" t="s">
        <v>6610</v>
      </c>
      <c r="C1661" s="3" t="s">
        <v>6820</v>
      </c>
      <c r="D1661" s="3" t="s">
        <v>6821</v>
      </c>
      <c r="E1661" s="3" t="s">
        <v>1641</v>
      </c>
      <c r="F1661" s="3" t="s">
        <v>6822</v>
      </c>
    </row>
    <row r="1662" ht="36.0" customHeight="1">
      <c r="A1662" s="2" t="s">
        <v>6823</v>
      </c>
      <c r="B1662" s="2" t="s">
        <v>6610</v>
      </c>
      <c r="C1662" s="2" t="s">
        <v>6824</v>
      </c>
      <c r="D1662" s="2" t="s">
        <v>6825</v>
      </c>
      <c r="E1662" s="2" t="s">
        <v>52</v>
      </c>
      <c r="F1662" s="2" t="s">
        <v>6826</v>
      </c>
    </row>
    <row r="1663" ht="36.0" customHeight="1">
      <c r="A1663" s="3" t="s">
        <v>6827</v>
      </c>
      <c r="B1663" s="3" t="s">
        <v>6610</v>
      </c>
      <c r="C1663" s="3" t="s">
        <v>6828</v>
      </c>
      <c r="D1663" s="3" t="s">
        <v>6829</v>
      </c>
      <c r="E1663" s="3" t="s">
        <v>52</v>
      </c>
      <c r="F1663" s="3" t="s">
        <v>6830</v>
      </c>
    </row>
    <row r="1664" ht="36.0" customHeight="1">
      <c r="A1664" s="2" t="s">
        <v>6831</v>
      </c>
      <c r="B1664" s="2" t="s">
        <v>6610</v>
      </c>
      <c r="C1664" s="2" t="s">
        <v>6832</v>
      </c>
      <c r="D1664" s="2" t="s">
        <v>6833</v>
      </c>
      <c r="E1664" s="2" t="s">
        <v>57</v>
      </c>
      <c r="F1664" s="2" t="s">
        <v>6834</v>
      </c>
    </row>
    <row r="1665" ht="36.0" customHeight="1">
      <c r="A1665" s="3" t="s">
        <v>6835</v>
      </c>
      <c r="B1665" s="3" t="s">
        <v>6610</v>
      </c>
      <c r="C1665" s="3" t="s">
        <v>6836</v>
      </c>
      <c r="D1665" s="3" t="s">
        <v>6837</v>
      </c>
      <c r="E1665" s="3" t="s">
        <v>1655</v>
      </c>
      <c r="F1665" s="3" t="s">
        <v>6838</v>
      </c>
    </row>
    <row r="1666" ht="36.0" customHeight="1">
      <c r="A1666" s="2" t="s">
        <v>6839</v>
      </c>
      <c r="B1666" s="2" t="s">
        <v>6610</v>
      </c>
      <c r="C1666" s="2" t="s">
        <v>6840</v>
      </c>
      <c r="D1666" s="2" t="s">
        <v>6841</v>
      </c>
      <c r="E1666" s="2" t="s">
        <v>5909</v>
      </c>
      <c r="F1666" s="2" t="s">
        <v>6842</v>
      </c>
    </row>
    <row r="1667" ht="36.0" customHeight="1">
      <c r="A1667" s="3" t="s">
        <v>6843</v>
      </c>
      <c r="B1667" s="3" t="s">
        <v>6610</v>
      </c>
      <c r="C1667" s="3" t="s">
        <v>6844</v>
      </c>
      <c r="D1667" s="3" t="s">
        <v>6845</v>
      </c>
      <c r="E1667" s="3" t="s">
        <v>62</v>
      </c>
      <c r="F1667" s="3" t="s">
        <v>6846</v>
      </c>
    </row>
    <row r="1668" ht="36.0" customHeight="1">
      <c r="A1668" s="2" t="s">
        <v>6847</v>
      </c>
      <c r="B1668" s="2" t="s">
        <v>6610</v>
      </c>
      <c r="C1668" s="2" t="s">
        <v>6848</v>
      </c>
      <c r="D1668" s="2" t="s">
        <v>6849</v>
      </c>
      <c r="E1668" s="2" t="s">
        <v>62</v>
      </c>
      <c r="F1668" s="2" t="s">
        <v>6850</v>
      </c>
    </row>
    <row r="1669" ht="36.0" customHeight="1">
      <c r="A1669" s="3" t="s">
        <v>6851</v>
      </c>
      <c r="B1669" s="3" t="s">
        <v>6610</v>
      </c>
      <c r="C1669" s="3" t="s">
        <v>6852</v>
      </c>
      <c r="D1669" s="3" t="s">
        <v>6853</v>
      </c>
      <c r="E1669" s="3" t="s">
        <v>267</v>
      </c>
      <c r="F1669" s="3" t="s">
        <v>6854</v>
      </c>
    </row>
    <row r="1670" ht="36.0" customHeight="1">
      <c r="A1670" s="2" t="s">
        <v>6855</v>
      </c>
      <c r="B1670" s="2" t="s">
        <v>6610</v>
      </c>
      <c r="C1670" s="2" t="s">
        <v>6856</v>
      </c>
      <c r="D1670" s="2" t="s">
        <v>6857</v>
      </c>
      <c r="E1670" s="2" t="s">
        <v>1846</v>
      </c>
      <c r="F1670" s="2" t="s">
        <v>6858</v>
      </c>
    </row>
    <row r="1671" ht="36.0" customHeight="1">
      <c r="A1671" s="3" t="s">
        <v>6859</v>
      </c>
      <c r="B1671" s="3" t="s">
        <v>6610</v>
      </c>
      <c r="C1671" s="3" t="s">
        <v>6860</v>
      </c>
      <c r="D1671" s="3" t="s">
        <v>6861</v>
      </c>
      <c r="E1671" s="3" t="s">
        <v>2596</v>
      </c>
      <c r="F1671" s="3" t="s">
        <v>6862</v>
      </c>
    </row>
    <row r="1672" ht="36.0" customHeight="1">
      <c r="A1672" s="2" t="s">
        <v>6863</v>
      </c>
      <c r="B1672" s="2" t="s">
        <v>6610</v>
      </c>
      <c r="C1672" s="2" t="s">
        <v>6864</v>
      </c>
      <c r="D1672" s="2" t="s">
        <v>6865</v>
      </c>
      <c r="E1672" s="2" t="s">
        <v>6866</v>
      </c>
      <c r="F1672" s="2" t="s">
        <v>6867</v>
      </c>
    </row>
    <row r="1673" ht="36.0" customHeight="1">
      <c r="A1673" s="3" t="s">
        <v>6868</v>
      </c>
      <c r="B1673" s="3" t="s">
        <v>6610</v>
      </c>
      <c r="C1673" s="3" t="s">
        <v>6869</v>
      </c>
      <c r="D1673" s="3" t="s">
        <v>6870</v>
      </c>
      <c r="E1673" s="3" t="s">
        <v>2824</v>
      </c>
      <c r="F1673" s="3" t="s">
        <v>6871</v>
      </c>
    </row>
    <row r="1674" ht="36.0" customHeight="1">
      <c r="A1674" s="2" t="s">
        <v>6872</v>
      </c>
      <c r="B1674" s="2" t="s">
        <v>6610</v>
      </c>
      <c r="C1674" s="2" t="s">
        <v>6873</v>
      </c>
      <c r="D1674" s="2" t="s">
        <v>6874</v>
      </c>
      <c r="E1674" s="2" t="s">
        <v>2596</v>
      </c>
      <c r="F1674" s="2" t="s">
        <v>6875</v>
      </c>
    </row>
    <row r="1675" ht="36.0" customHeight="1">
      <c r="A1675" s="3" t="s">
        <v>6876</v>
      </c>
      <c r="B1675" s="3" t="s">
        <v>6610</v>
      </c>
      <c r="C1675" s="3" t="s">
        <v>6877</v>
      </c>
      <c r="D1675" s="3" t="s">
        <v>6878</v>
      </c>
      <c r="E1675" s="3" t="s">
        <v>3473</v>
      </c>
      <c r="F1675" s="3" t="s">
        <v>6879</v>
      </c>
    </row>
    <row r="1676" ht="36.0" customHeight="1">
      <c r="A1676" s="2" t="s">
        <v>6880</v>
      </c>
      <c r="B1676" s="2" t="s">
        <v>6610</v>
      </c>
      <c r="C1676" s="2" t="s">
        <v>6881</v>
      </c>
      <c r="D1676" s="2" t="s">
        <v>6882</v>
      </c>
      <c r="E1676" s="2" t="s">
        <v>2824</v>
      </c>
      <c r="F1676" s="2" t="s">
        <v>6883</v>
      </c>
    </row>
    <row r="1677" ht="36.0" customHeight="1">
      <c r="A1677" s="3" t="s">
        <v>6884</v>
      </c>
      <c r="B1677" s="3" t="s">
        <v>6610</v>
      </c>
      <c r="C1677" s="3" t="s">
        <v>6885</v>
      </c>
      <c r="D1677" s="3" t="s">
        <v>6886</v>
      </c>
      <c r="E1677" s="3" t="s">
        <v>2982</v>
      </c>
      <c r="F1677" s="3" t="s">
        <v>6887</v>
      </c>
    </row>
    <row r="1678" ht="36.0" customHeight="1">
      <c r="A1678" s="2" t="s">
        <v>6888</v>
      </c>
      <c r="B1678" s="2" t="s">
        <v>6610</v>
      </c>
      <c r="C1678" s="2" t="s">
        <v>6889</v>
      </c>
      <c r="D1678" s="2" t="s">
        <v>6890</v>
      </c>
      <c r="E1678" s="2" t="s">
        <v>1855</v>
      </c>
      <c r="F1678" s="2" t="s">
        <v>6891</v>
      </c>
    </row>
    <row r="1679" ht="36.0" customHeight="1">
      <c r="A1679" s="3" t="s">
        <v>6892</v>
      </c>
      <c r="B1679" s="3" t="s">
        <v>6610</v>
      </c>
      <c r="C1679" s="3" t="s">
        <v>6893</v>
      </c>
      <c r="D1679" s="3" t="s">
        <v>6894</v>
      </c>
      <c r="E1679" s="3" t="s">
        <v>1855</v>
      </c>
      <c r="F1679" s="3" t="s">
        <v>6895</v>
      </c>
    </row>
    <row r="1680" ht="36.0" customHeight="1">
      <c r="A1680" s="2" t="s">
        <v>6896</v>
      </c>
      <c r="B1680" s="2" t="s">
        <v>6610</v>
      </c>
      <c r="C1680" s="2" t="s">
        <v>6897</v>
      </c>
      <c r="D1680" s="2" t="s">
        <v>6898</v>
      </c>
      <c r="E1680" s="2" t="s">
        <v>345</v>
      </c>
      <c r="F1680" s="2" t="s">
        <v>6899</v>
      </c>
    </row>
    <row r="1681" ht="36.0" customHeight="1">
      <c r="A1681" s="3" t="s">
        <v>6900</v>
      </c>
      <c r="B1681" s="3" t="s">
        <v>6610</v>
      </c>
      <c r="C1681" s="3" t="s">
        <v>6901</v>
      </c>
      <c r="D1681" s="3" t="s">
        <v>6902</v>
      </c>
      <c r="E1681" s="3" t="s">
        <v>345</v>
      </c>
      <c r="F1681" s="3" t="s">
        <v>6903</v>
      </c>
    </row>
    <row r="1682" ht="36.0" customHeight="1">
      <c r="A1682" s="2" t="s">
        <v>6904</v>
      </c>
      <c r="B1682" s="2" t="s">
        <v>6610</v>
      </c>
      <c r="C1682" s="2" t="s">
        <v>6905</v>
      </c>
      <c r="D1682" s="2" t="s">
        <v>6906</v>
      </c>
      <c r="E1682" s="2" t="s">
        <v>345</v>
      </c>
      <c r="F1682" s="2" t="s">
        <v>6907</v>
      </c>
    </row>
    <row r="1683" ht="36.0" customHeight="1">
      <c r="A1683" s="3" t="s">
        <v>6908</v>
      </c>
      <c r="B1683" s="3" t="s">
        <v>6610</v>
      </c>
      <c r="C1683" s="3" t="s">
        <v>6909</v>
      </c>
      <c r="D1683" s="3" t="s">
        <v>6910</v>
      </c>
      <c r="E1683" s="3" t="s">
        <v>345</v>
      </c>
      <c r="F1683" s="3" t="s">
        <v>6911</v>
      </c>
    </row>
    <row r="1684" ht="36.0" customHeight="1">
      <c r="A1684" s="2" t="s">
        <v>6912</v>
      </c>
      <c r="B1684" s="2" t="s">
        <v>6610</v>
      </c>
      <c r="C1684" s="2" t="s">
        <v>6913</v>
      </c>
      <c r="D1684" s="2" t="s">
        <v>6914</v>
      </c>
      <c r="E1684" s="2" t="s">
        <v>345</v>
      </c>
      <c r="F1684" s="2" t="s">
        <v>6915</v>
      </c>
    </row>
    <row r="1685" ht="36.0" customHeight="1">
      <c r="A1685" s="3" t="s">
        <v>6916</v>
      </c>
      <c r="B1685" s="3" t="s">
        <v>6610</v>
      </c>
      <c r="C1685" s="3" t="s">
        <v>6917</v>
      </c>
      <c r="D1685" s="3" t="s">
        <v>6918</v>
      </c>
      <c r="E1685" s="3" t="s">
        <v>848</v>
      </c>
      <c r="F1685" s="3" t="s">
        <v>6919</v>
      </c>
    </row>
    <row r="1686" ht="36.0" customHeight="1">
      <c r="A1686" s="2" t="s">
        <v>6920</v>
      </c>
      <c r="B1686" s="2" t="s">
        <v>6610</v>
      </c>
      <c r="C1686" s="2" t="s">
        <v>6921</v>
      </c>
      <c r="D1686" s="2" t="s">
        <v>6922</v>
      </c>
      <c r="E1686" s="2" t="s">
        <v>2982</v>
      </c>
      <c r="F1686" s="2" t="s">
        <v>6923</v>
      </c>
    </row>
    <row r="1687" ht="36.0" customHeight="1">
      <c r="A1687" s="3" t="s">
        <v>6924</v>
      </c>
      <c r="B1687" s="3" t="s">
        <v>6610</v>
      </c>
      <c r="C1687" s="3" t="s">
        <v>6925</v>
      </c>
      <c r="D1687" s="3" t="s">
        <v>6926</v>
      </c>
      <c r="E1687" s="3" t="s">
        <v>2855</v>
      </c>
      <c r="F1687" s="3" t="s">
        <v>6927</v>
      </c>
    </row>
    <row r="1688" ht="36.0" customHeight="1">
      <c r="A1688" s="2" t="s">
        <v>6928</v>
      </c>
      <c r="B1688" s="2" t="s">
        <v>6610</v>
      </c>
      <c r="C1688" s="2" t="s">
        <v>6929</v>
      </c>
      <c r="D1688" s="2" t="s">
        <v>6930</v>
      </c>
      <c r="E1688" s="2" t="s">
        <v>6931</v>
      </c>
      <c r="F1688" s="2" t="s">
        <v>6932</v>
      </c>
    </row>
    <row r="1689" ht="36.0" customHeight="1">
      <c r="A1689" s="3" t="s">
        <v>6933</v>
      </c>
      <c r="B1689" s="3" t="s">
        <v>6610</v>
      </c>
      <c r="C1689" s="3" t="s">
        <v>6934</v>
      </c>
      <c r="D1689" s="3" t="s">
        <v>6935</v>
      </c>
      <c r="E1689" s="3" t="s">
        <v>19</v>
      </c>
      <c r="F1689" s="3" t="s">
        <v>6936</v>
      </c>
    </row>
    <row r="1690" ht="36.0" customHeight="1">
      <c r="A1690" s="2" t="s">
        <v>6937</v>
      </c>
      <c r="B1690" s="2" t="s">
        <v>6610</v>
      </c>
      <c r="C1690" s="2" t="s">
        <v>6938</v>
      </c>
      <c r="D1690" s="2" t="s">
        <v>6939</v>
      </c>
      <c r="E1690" s="2" t="s">
        <v>19</v>
      </c>
      <c r="F1690" s="2" t="s">
        <v>6940</v>
      </c>
    </row>
    <row r="1691" ht="36.0" customHeight="1">
      <c r="A1691" s="3" t="s">
        <v>6941</v>
      </c>
      <c r="B1691" s="3" t="s">
        <v>6610</v>
      </c>
      <c r="C1691" s="3" t="s">
        <v>6942</v>
      </c>
      <c r="D1691" s="3" t="s">
        <v>6943</v>
      </c>
      <c r="E1691" s="3" t="s">
        <v>19</v>
      </c>
      <c r="F1691" s="3" t="s">
        <v>6944</v>
      </c>
    </row>
    <row r="1692" ht="36.0" customHeight="1">
      <c r="A1692" s="2" t="s">
        <v>6945</v>
      </c>
      <c r="B1692" s="2" t="s">
        <v>6610</v>
      </c>
      <c r="C1692" s="2" t="s">
        <v>6946</v>
      </c>
      <c r="D1692" s="2" t="s">
        <v>6947</v>
      </c>
      <c r="E1692" s="2" t="s">
        <v>86</v>
      </c>
      <c r="F1692" s="2" t="s">
        <v>6948</v>
      </c>
    </row>
    <row r="1693" ht="36.0" customHeight="1">
      <c r="A1693" s="3" t="s">
        <v>6949</v>
      </c>
      <c r="B1693" s="3" t="s">
        <v>6610</v>
      </c>
      <c r="C1693" s="3" t="s">
        <v>6950</v>
      </c>
      <c r="D1693" s="3" t="s">
        <v>6951</v>
      </c>
      <c r="E1693" s="3" t="s">
        <v>267</v>
      </c>
      <c r="F1693" s="3" t="s">
        <v>6952</v>
      </c>
    </row>
    <row r="1694" ht="36.0" customHeight="1">
      <c r="A1694" s="2" t="s">
        <v>6953</v>
      </c>
      <c r="B1694" s="2" t="s">
        <v>6610</v>
      </c>
      <c r="C1694" s="2" t="s">
        <v>6954</v>
      </c>
      <c r="D1694" s="2" t="s">
        <v>6955</v>
      </c>
      <c r="E1694" s="2" t="s">
        <v>267</v>
      </c>
      <c r="F1694" s="2" t="s">
        <v>6956</v>
      </c>
    </row>
    <row r="1695" ht="36.0" customHeight="1">
      <c r="A1695" s="3" t="s">
        <v>6957</v>
      </c>
      <c r="B1695" s="3" t="s">
        <v>6610</v>
      </c>
      <c r="C1695" s="3" t="s">
        <v>6958</v>
      </c>
      <c r="D1695" s="3" t="s">
        <v>6959</v>
      </c>
      <c r="E1695" s="3" t="s">
        <v>2493</v>
      </c>
      <c r="F1695" s="3" t="s">
        <v>6960</v>
      </c>
    </row>
    <row r="1696" ht="36.0" customHeight="1">
      <c r="A1696" s="2" t="s">
        <v>6961</v>
      </c>
      <c r="B1696" s="2" t="s">
        <v>6610</v>
      </c>
      <c r="C1696" s="2" t="s">
        <v>6962</v>
      </c>
      <c r="D1696" s="2" t="s">
        <v>6963</v>
      </c>
      <c r="E1696" s="2" t="s">
        <v>2982</v>
      </c>
      <c r="F1696" s="2" t="s">
        <v>6964</v>
      </c>
    </row>
    <row r="1697" ht="36.0" customHeight="1">
      <c r="A1697" s="3" t="s">
        <v>6965</v>
      </c>
      <c r="B1697" s="3" t="s">
        <v>6610</v>
      </c>
      <c r="C1697" s="3" t="s">
        <v>6966</v>
      </c>
      <c r="D1697" s="3" t="s">
        <v>6967</v>
      </c>
      <c r="E1697" s="3" t="s">
        <v>96</v>
      </c>
      <c r="F1697" s="3" t="s">
        <v>6968</v>
      </c>
    </row>
    <row r="1698" ht="36.0" customHeight="1">
      <c r="A1698" s="2" t="s">
        <v>6969</v>
      </c>
      <c r="B1698" s="2" t="s">
        <v>6610</v>
      </c>
      <c r="C1698" s="2" t="s">
        <v>6970</v>
      </c>
      <c r="D1698" s="2" t="s">
        <v>6971</v>
      </c>
      <c r="E1698" s="2" t="s">
        <v>2010</v>
      </c>
      <c r="F1698" s="2" t="s">
        <v>6972</v>
      </c>
    </row>
    <row r="1699" ht="36.0" customHeight="1">
      <c r="A1699" s="3" t="s">
        <v>6973</v>
      </c>
      <c r="B1699" s="3" t="s">
        <v>6610</v>
      </c>
      <c r="C1699" s="3" t="s">
        <v>6974</v>
      </c>
      <c r="D1699" s="3" t="s">
        <v>6975</v>
      </c>
      <c r="E1699" s="3" t="s">
        <v>2010</v>
      </c>
      <c r="F1699" s="3" t="s">
        <v>6976</v>
      </c>
    </row>
    <row r="1700" ht="36.0" customHeight="1">
      <c r="A1700" s="2" t="s">
        <v>6977</v>
      </c>
      <c r="B1700" s="2" t="s">
        <v>6610</v>
      </c>
      <c r="C1700" s="2" t="s">
        <v>6978</v>
      </c>
      <c r="D1700" s="2" t="s">
        <v>6979</v>
      </c>
      <c r="E1700" s="2" t="s">
        <v>19</v>
      </c>
      <c r="F1700" s="2" t="s">
        <v>6980</v>
      </c>
    </row>
    <row r="1701" ht="36.0" customHeight="1">
      <c r="A1701" s="3" t="s">
        <v>6981</v>
      </c>
      <c r="B1701" s="3" t="s">
        <v>6610</v>
      </c>
      <c r="C1701" s="3" t="s">
        <v>6982</v>
      </c>
      <c r="D1701" s="3" t="s">
        <v>6983</v>
      </c>
      <c r="E1701" s="3" t="s">
        <v>5909</v>
      </c>
      <c r="F1701" s="3" t="s">
        <v>6984</v>
      </c>
    </row>
    <row r="1702" ht="36.0" customHeight="1">
      <c r="A1702" s="2" t="s">
        <v>6985</v>
      </c>
      <c r="B1702" s="2" t="s">
        <v>6610</v>
      </c>
      <c r="C1702" s="2" t="s">
        <v>6986</v>
      </c>
      <c r="D1702" s="2" t="s">
        <v>6987</v>
      </c>
      <c r="E1702" s="2" t="s">
        <v>695</v>
      </c>
      <c r="F1702" s="2" t="s">
        <v>6988</v>
      </c>
    </row>
    <row r="1703" ht="36.0" customHeight="1">
      <c r="A1703" s="3" t="s">
        <v>6989</v>
      </c>
      <c r="B1703" s="3" t="s">
        <v>6610</v>
      </c>
      <c r="C1703" s="3" t="s">
        <v>6990</v>
      </c>
      <c r="D1703" s="3" t="s">
        <v>6991</v>
      </c>
      <c r="E1703" s="3" t="s">
        <v>5909</v>
      </c>
      <c r="F1703" s="3" t="s">
        <v>6992</v>
      </c>
    </row>
    <row r="1704" ht="36.0" customHeight="1">
      <c r="A1704" s="2" t="s">
        <v>6993</v>
      </c>
      <c r="B1704" s="2" t="s">
        <v>6610</v>
      </c>
      <c r="C1704" s="2" t="s">
        <v>6994</v>
      </c>
      <c r="D1704" s="2" t="s">
        <v>6995</v>
      </c>
      <c r="E1704" s="2" t="s">
        <v>5909</v>
      </c>
      <c r="F1704" s="2" t="s">
        <v>6996</v>
      </c>
    </row>
    <row r="1705" ht="36.0" customHeight="1">
      <c r="A1705" s="3" t="s">
        <v>6997</v>
      </c>
      <c r="B1705" s="3" t="s">
        <v>6610</v>
      </c>
      <c r="C1705" s="3" t="s">
        <v>6998</v>
      </c>
      <c r="D1705" s="3" t="s">
        <v>6999</v>
      </c>
      <c r="E1705" s="3" t="s">
        <v>695</v>
      </c>
      <c r="F1705" s="3" t="s">
        <v>7000</v>
      </c>
    </row>
    <row r="1706" ht="36.0" customHeight="1">
      <c r="A1706" s="2" t="s">
        <v>7001</v>
      </c>
      <c r="B1706" s="2" t="s">
        <v>6610</v>
      </c>
      <c r="C1706" s="2" t="s">
        <v>7002</v>
      </c>
      <c r="D1706" s="2" t="s">
        <v>396</v>
      </c>
      <c r="E1706" s="2" t="s">
        <v>267</v>
      </c>
      <c r="F1706" s="2" t="s">
        <v>7003</v>
      </c>
    </row>
    <row r="1707" ht="36.0" customHeight="1">
      <c r="A1707" s="3" t="s">
        <v>7004</v>
      </c>
      <c r="B1707" s="3" t="s">
        <v>6610</v>
      </c>
      <c r="C1707" s="3" t="s">
        <v>7005</v>
      </c>
      <c r="D1707" s="3" t="s">
        <v>7006</v>
      </c>
      <c r="E1707" s="3" t="s">
        <v>110</v>
      </c>
      <c r="F1707" s="3" t="s">
        <v>7007</v>
      </c>
    </row>
    <row r="1708" ht="36.0" customHeight="1">
      <c r="A1708" s="2" t="s">
        <v>7008</v>
      </c>
      <c r="B1708" s="2" t="s">
        <v>6610</v>
      </c>
      <c r="C1708" s="2" t="s">
        <v>7009</v>
      </c>
      <c r="D1708" s="2" t="s">
        <v>7010</v>
      </c>
      <c r="E1708" s="2" t="s">
        <v>96</v>
      </c>
      <c r="F1708" s="2" t="s">
        <v>7011</v>
      </c>
    </row>
    <row r="1709" ht="36.0" customHeight="1">
      <c r="A1709" s="3" t="s">
        <v>7012</v>
      </c>
      <c r="B1709" s="3" t="s">
        <v>6610</v>
      </c>
      <c r="C1709" s="3" t="s">
        <v>7013</v>
      </c>
      <c r="D1709" s="3" t="s">
        <v>7014</v>
      </c>
      <c r="E1709" s="3" t="s">
        <v>1401</v>
      </c>
      <c r="F1709" s="3" t="s">
        <v>7015</v>
      </c>
    </row>
    <row r="1710" ht="36.0" customHeight="1">
      <c r="A1710" s="2" t="s">
        <v>7016</v>
      </c>
      <c r="B1710" s="2" t="s">
        <v>6610</v>
      </c>
      <c r="C1710" s="2" t="s">
        <v>7017</v>
      </c>
      <c r="D1710" s="2" t="s">
        <v>7018</v>
      </c>
      <c r="E1710" s="2" t="s">
        <v>1401</v>
      </c>
      <c r="F1710" s="2" t="s">
        <v>7019</v>
      </c>
    </row>
    <row r="1711" ht="36.0" customHeight="1">
      <c r="A1711" s="3" t="s">
        <v>7020</v>
      </c>
      <c r="B1711" s="3" t="s">
        <v>6610</v>
      </c>
      <c r="C1711" s="3" t="s">
        <v>7021</v>
      </c>
      <c r="D1711" s="3" t="s">
        <v>7022</v>
      </c>
      <c r="E1711" s="3" t="s">
        <v>1401</v>
      </c>
      <c r="F1711" s="3" t="s">
        <v>7023</v>
      </c>
    </row>
    <row r="1712" ht="36.0" customHeight="1">
      <c r="A1712" s="2" t="s">
        <v>7024</v>
      </c>
      <c r="B1712" s="2" t="s">
        <v>6610</v>
      </c>
      <c r="C1712" s="2" t="s">
        <v>7025</v>
      </c>
      <c r="D1712" s="2" t="s">
        <v>7026</v>
      </c>
      <c r="E1712" s="2" t="s">
        <v>1401</v>
      </c>
      <c r="F1712" s="2" t="s">
        <v>7027</v>
      </c>
    </row>
    <row r="1713" ht="36.0" customHeight="1">
      <c r="A1713" s="3" t="s">
        <v>7028</v>
      </c>
      <c r="B1713" s="3" t="s">
        <v>6610</v>
      </c>
      <c r="C1713" s="3" t="s">
        <v>7029</v>
      </c>
      <c r="D1713" s="3" t="s">
        <v>7030</v>
      </c>
      <c r="E1713" s="3" t="s">
        <v>1855</v>
      </c>
      <c r="F1713" s="3" t="s">
        <v>7031</v>
      </c>
    </row>
    <row r="1714" ht="36.0" customHeight="1">
      <c r="A1714" s="2" t="s">
        <v>7032</v>
      </c>
      <c r="B1714" s="2" t="s">
        <v>6610</v>
      </c>
      <c r="C1714" s="2" t="s">
        <v>7033</v>
      </c>
      <c r="D1714" s="2" t="s">
        <v>7034</v>
      </c>
      <c r="E1714" s="2" t="s">
        <v>1855</v>
      </c>
      <c r="F1714" s="2" t="s">
        <v>7035</v>
      </c>
    </row>
    <row r="1715" ht="36.0" customHeight="1">
      <c r="A1715" s="3" t="s">
        <v>7036</v>
      </c>
      <c r="B1715" s="3" t="s">
        <v>6610</v>
      </c>
      <c r="C1715" s="3" t="s">
        <v>7037</v>
      </c>
      <c r="D1715" s="3" t="s">
        <v>7038</v>
      </c>
      <c r="E1715" s="3" t="s">
        <v>2982</v>
      </c>
      <c r="F1715" s="3" t="s">
        <v>7039</v>
      </c>
    </row>
    <row r="1716" ht="36.0" customHeight="1">
      <c r="A1716" s="2" t="s">
        <v>7040</v>
      </c>
      <c r="B1716" s="2" t="s">
        <v>6610</v>
      </c>
      <c r="C1716" s="2" t="s">
        <v>7041</v>
      </c>
      <c r="D1716" s="2" t="s">
        <v>7042</v>
      </c>
      <c r="E1716" s="2" t="s">
        <v>1855</v>
      </c>
      <c r="F1716" s="2" t="s">
        <v>7043</v>
      </c>
    </row>
    <row r="1717" ht="36.0" customHeight="1">
      <c r="A1717" s="3" t="s">
        <v>7044</v>
      </c>
      <c r="B1717" s="3" t="s">
        <v>6610</v>
      </c>
      <c r="C1717" s="3" t="s">
        <v>7045</v>
      </c>
      <c r="D1717" s="3" t="s">
        <v>7046</v>
      </c>
      <c r="E1717" s="3" t="s">
        <v>1855</v>
      </c>
      <c r="F1717" s="3" t="s">
        <v>7047</v>
      </c>
    </row>
    <row r="1718" ht="36.0" customHeight="1">
      <c r="A1718" s="2" t="s">
        <v>7048</v>
      </c>
      <c r="B1718" s="2" t="s">
        <v>6610</v>
      </c>
      <c r="C1718" s="2" t="s">
        <v>7049</v>
      </c>
      <c r="D1718" s="2" t="s">
        <v>7050</v>
      </c>
      <c r="E1718" s="2" t="s">
        <v>345</v>
      </c>
      <c r="F1718" s="2" t="s">
        <v>7051</v>
      </c>
    </row>
    <row r="1719" ht="36.0" customHeight="1">
      <c r="A1719" s="3" t="s">
        <v>7052</v>
      </c>
      <c r="B1719" s="3" t="s">
        <v>6610</v>
      </c>
      <c r="C1719" s="3" t="s">
        <v>7053</v>
      </c>
      <c r="D1719" s="3" t="s">
        <v>7054</v>
      </c>
      <c r="E1719" s="3" t="s">
        <v>345</v>
      </c>
      <c r="F1719" s="3" t="s">
        <v>7055</v>
      </c>
    </row>
    <row r="1720" ht="36.0" customHeight="1">
      <c r="A1720" s="2" t="s">
        <v>7056</v>
      </c>
      <c r="B1720" s="2" t="s">
        <v>6610</v>
      </c>
      <c r="C1720" s="2" t="s">
        <v>7057</v>
      </c>
      <c r="D1720" s="2" t="s">
        <v>7058</v>
      </c>
      <c r="E1720" s="2" t="s">
        <v>7059</v>
      </c>
      <c r="F1720" s="2" t="s">
        <v>7060</v>
      </c>
    </row>
    <row r="1721" ht="36.0" customHeight="1">
      <c r="A1721" s="3" t="s">
        <v>7061</v>
      </c>
      <c r="B1721" s="3" t="s">
        <v>6610</v>
      </c>
      <c r="C1721" s="3" t="s">
        <v>7062</v>
      </c>
      <c r="D1721" s="3" t="s">
        <v>7063</v>
      </c>
      <c r="E1721" s="3" t="s">
        <v>7064</v>
      </c>
      <c r="F1721" s="3" t="s">
        <v>7065</v>
      </c>
    </row>
    <row r="1722" ht="36.0" customHeight="1">
      <c r="A1722" s="2" t="s">
        <v>7066</v>
      </c>
      <c r="B1722" s="2" t="s">
        <v>6610</v>
      </c>
      <c r="C1722" s="2" t="s">
        <v>7067</v>
      </c>
      <c r="D1722" s="2" t="s">
        <v>7068</v>
      </c>
      <c r="E1722" s="2" t="s">
        <v>2855</v>
      </c>
      <c r="F1722" s="2" t="s">
        <v>7069</v>
      </c>
    </row>
    <row r="1723" ht="36.0" customHeight="1">
      <c r="A1723" s="3" t="s">
        <v>7070</v>
      </c>
      <c r="B1723" s="3" t="s">
        <v>6610</v>
      </c>
      <c r="C1723" s="3" t="s">
        <v>7071</v>
      </c>
      <c r="D1723" s="3" t="s">
        <v>7072</v>
      </c>
      <c r="E1723" s="3" t="s">
        <v>2855</v>
      </c>
      <c r="F1723" s="3" t="s">
        <v>7073</v>
      </c>
    </row>
    <row r="1724" ht="36.0" customHeight="1">
      <c r="A1724" s="2" t="s">
        <v>7074</v>
      </c>
      <c r="B1724" s="2" t="s">
        <v>7075</v>
      </c>
      <c r="C1724" s="2" t="s">
        <v>7076</v>
      </c>
      <c r="D1724" s="2" t="s">
        <v>7077</v>
      </c>
      <c r="E1724" s="2" t="s">
        <v>91</v>
      </c>
      <c r="F1724" s="2" t="s">
        <v>7078</v>
      </c>
    </row>
    <row r="1725" ht="36.0" customHeight="1">
      <c r="A1725" s="3" t="s">
        <v>7079</v>
      </c>
      <c r="B1725" s="3" t="s">
        <v>7075</v>
      </c>
      <c r="C1725" s="3" t="s">
        <v>7080</v>
      </c>
      <c r="D1725" s="3" t="s">
        <v>7081</v>
      </c>
      <c r="E1725" s="3" t="s">
        <v>91</v>
      </c>
      <c r="F1725" s="3" t="s">
        <v>7082</v>
      </c>
    </row>
    <row r="1726" ht="36.0" customHeight="1">
      <c r="A1726" s="2" t="s">
        <v>7083</v>
      </c>
      <c r="B1726" s="2" t="s">
        <v>7075</v>
      </c>
      <c r="C1726" s="2" t="s">
        <v>7084</v>
      </c>
      <c r="D1726" s="2" t="s">
        <v>7085</v>
      </c>
      <c r="E1726" s="2" t="s">
        <v>91</v>
      </c>
      <c r="F1726" s="2" t="s">
        <v>7086</v>
      </c>
    </row>
    <row r="1727" ht="36.0" customHeight="1">
      <c r="A1727" s="3" t="s">
        <v>7087</v>
      </c>
      <c r="B1727" s="3" t="s">
        <v>7075</v>
      </c>
      <c r="C1727" s="3" t="s">
        <v>7088</v>
      </c>
      <c r="D1727" s="3" t="s">
        <v>7089</v>
      </c>
      <c r="E1727" s="3" t="s">
        <v>19</v>
      </c>
      <c r="F1727" s="3" t="s">
        <v>7090</v>
      </c>
    </row>
    <row r="1728" ht="36.0" customHeight="1">
      <c r="A1728" s="2" t="s">
        <v>7091</v>
      </c>
      <c r="B1728" s="2" t="s">
        <v>7075</v>
      </c>
      <c r="C1728" s="2" t="s">
        <v>7092</v>
      </c>
      <c r="D1728" s="2" t="s">
        <v>7093</v>
      </c>
      <c r="E1728" s="2" t="s">
        <v>19</v>
      </c>
      <c r="F1728" s="2" t="s">
        <v>7094</v>
      </c>
    </row>
    <row r="1729" ht="36.0" customHeight="1">
      <c r="A1729" s="3" t="s">
        <v>7095</v>
      </c>
      <c r="B1729" s="3" t="s">
        <v>7075</v>
      </c>
      <c r="C1729" s="3" t="s">
        <v>7096</v>
      </c>
      <c r="D1729" s="3" t="s">
        <v>7097</v>
      </c>
      <c r="E1729" s="3" t="s">
        <v>19</v>
      </c>
      <c r="F1729" s="3" t="s">
        <v>7098</v>
      </c>
    </row>
    <row r="1730" ht="36.0" customHeight="1">
      <c r="A1730" s="2" t="s">
        <v>7099</v>
      </c>
      <c r="B1730" s="2" t="s">
        <v>7075</v>
      </c>
      <c r="C1730" s="2" t="s">
        <v>7100</v>
      </c>
      <c r="D1730" s="2" t="s">
        <v>7101</v>
      </c>
      <c r="E1730" s="2" t="s">
        <v>430</v>
      </c>
      <c r="F1730" s="2" t="s">
        <v>7102</v>
      </c>
    </row>
    <row r="1731" ht="36.0" customHeight="1">
      <c r="A1731" s="3" t="s">
        <v>7103</v>
      </c>
      <c r="B1731" s="3" t="s">
        <v>7075</v>
      </c>
      <c r="C1731" s="3" t="s">
        <v>7104</v>
      </c>
      <c r="D1731" s="3" t="s">
        <v>7105</v>
      </c>
      <c r="E1731" s="3" t="s">
        <v>430</v>
      </c>
      <c r="F1731" s="3" t="s">
        <v>7106</v>
      </c>
    </row>
    <row r="1732" ht="36.0" customHeight="1">
      <c r="A1732" s="2" t="s">
        <v>7107</v>
      </c>
      <c r="B1732" s="2" t="s">
        <v>7075</v>
      </c>
      <c r="C1732" s="2" t="s">
        <v>7108</v>
      </c>
      <c r="D1732" s="2" t="s">
        <v>7109</v>
      </c>
      <c r="E1732" s="2" t="s">
        <v>430</v>
      </c>
      <c r="F1732" s="2" t="s">
        <v>7110</v>
      </c>
    </row>
    <row r="1733" ht="36.0" customHeight="1">
      <c r="A1733" s="3" t="s">
        <v>7111</v>
      </c>
      <c r="B1733" s="3" t="s">
        <v>7075</v>
      </c>
      <c r="C1733" s="3" t="s">
        <v>7112</v>
      </c>
      <c r="D1733" s="3" t="s">
        <v>7113</v>
      </c>
      <c r="E1733" s="3" t="s">
        <v>430</v>
      </c>
      <c r="F1733" s="3" t="s">
        <v>7114</v>
      </c>
    </row>
    <row r="1734" ht="36.0" customHeight="1">
      <c r="A1734" s="2" t="s">
        <v>7115</v>
      </c>
      <c r="B1734" s="2" t="s">
        <v>7075</v>
      </c>
      <c r="C1734" s="2" t="s">
        <v>7116</v>
      </c>
      <c r="D1734" s="2" t="s">
        <v>7117</v>
      </c>
      <c r="E1734" s="2" t="s">
        <v>430</v>
      </c>
      <c r="F1734" s="2" t="s">
        <v>7118</v>
      </c>
    </row>
    <row r="1735" ht="36.0" customHeight="1">
      <c r="A1735" s="3" t="s">
        <v>7119</v>
      </c>
      <c r="B1735" s="3" t="s">
        <v>7075</v>
      </c>
      <c r="C1735" s="3" t="s">
        <v>7120</v>
      </c>
      <c r="D1735" s="3" t="s">
        <v>7121</v>
      </c>
      <c r="E1735" s="3" t="s">
        <v>435</v>
      </c>
      <c r="F1735" s="3" t="s">
        <v>7122</v>
      </c>
    </row>
    <row r="1736" ht="36.0" customHeight="1">
      <c r="A1736" s="2" t="s">
        <v>7123</v>
      </c>
      <c r="B1736" s="2" t="s">
        <v>7075</v>
      </c>
      <c r="C1736" s="2" t="s">
        <v>7124</v>
      </c>
      <c r="D1736" s="2" t="s">
        <v>7125</v>
      </c>
      <c r="E1736" s="2" t="s">
        <v>52</v>
      </c>
      <c r="F1736" s="2" t="s">
        <v>7126</v>
      </c>
    </row>
    <row r="1737" ht="36.0" customHeight="1">
      <c r="A1737" s="3" t="s">
        <v>7127</v>
      </c>
      <c r="B1737" s="3" t="s">
        <v>7075</v>
      </c>
      <c r="C1737" s="3" t="s">
        <v>7128</v>
      </c>
      <c r="D1737" s="3" t="s">
        <v>7129</v>
      </c>
      <c r="E1737" s="3" t="s">
        <v>52</v>
      </c>
      <c r="F1737" s="3" t="s">
        <v>7130</v>
      </c>
    </row>
    <row r="1738" ht="36.0" customHeight="1">
      <c r="A1738" s="2" t="s">
        <v>7131</v>
      </c>
      <c r="B1738" s="2" t="s">
        <v>7075</v>
      </c>
      <c r="C1738" s="2" t="s">
        <v>7132</v>
      </c>
      <c r="D1738" s="2" t="s">
        <v>7133</v>
      </c>
      <c r="E1738" s="2" t="s">
        <v>52</v>
      </c>
      <c r="F1738" s="2" t="s">
        <v>7134</v>
      </c>
    </row>
    <row r="1739" ht="36.0" customHeight="1">
      <c r="A1739" s="3" t="s">
        <v>7135</v>
      </c>
      <c r="B1739" s="3" t="s">
        <v>7075</v>
      </c>
      <c r="C1739" s="3" t="s">
        <v>7136</v>
      </c>
      <c r="D1739" s="3" t="s">
        <v>7137</v>
      </c>
      <c r="E1739" s="3" t="s">
        <v>52</v>
      </c>
      <c r="F1739" s="3" t="s">
        <v>7138</v>
      </c>
    </row>
    <row r="1740" ht="36.0" customHeight="1">
      <c r="A1740" s="2" t="s">
        <v>7139</v>
      </c>
      <c r="B1740" s="2" t="s">
        <v>7075</v>
      </c>
      <c r="C1740" s="2" t="s">
        <v>7140</v>
      </c>
      <c r="D1740" s="2" t="s">
        <v>7141</v>
      </c>
      <c r="E1740" s="2" t="s">
        <v>52</v>
      </c>
      <c r="F1740" s="2" t="s">
        <v>7142</v>
      </c>
    </row>
    <row r="1741" ht="36.0" customHeight="1">
      <c r="A1741" s="3" t="s">
        <v>7143</v>
      </c>
      <c r="B1741" s="3" t="s">
        <v>7075</v>
      </c>
      <c r="C1741" s="3" t="s">
        <v>7144</v>
      </c>
      <c r="D1741" s="3" t="s">
        <v>7145</v>
      </c>
      <c r="E1741" s="3" t="s">
        <v>224</v>
      </c>
      <c r="F1741" s="3" t="s">
        <v>7146</v>
      </c>
    </row>
    <row r="1742" ht="36.0" customHeight="1">
      <c r="A1742" s="2" t="s">
        <v>7147</v>
      </c>
      <c r="B1742" s="2" t="s">
        <v>7075</v>
      </c>
      <c r="C1742" s="2" t="s">
        <v>7148</v>
      </c>
      <c r="D1742" s="2" t="s">
        <v>7149</v>
      </c>
      <c r="E1742" s="2" t="s">
        <v>224</v>
      </c>
      <c r="F1742" s="2" t="s">
        <v>7150</v>
      </c>
    </row>
    <row r="1743" ht="36.0" customHeight="1">
      <c r="A1743" s="3" t="s">
        <v>7151</v>
      </c>
      <c r="B1743" s="3" t="s">
        <v>7075</v>
      </c>
      <c r="C1743" s="3" t="s">
        <v>7152</v>
      </c>
      <c r="D1743" s="3" t="s">
        <v>7153</v>
      </c>
      <c r="E1743" s="3" t="s">
        <v>2982</v>
      </c>
      <c r="F1743" s="3" t="s">
        <v>7154</v>
      </c>
    </row>
    <row r="1744" ht="36.0" customHeight="1">
      <c r="A1744" s="2" t="s">
        <v>7155</v>
      </c>
      <c r="B1744" s="2" t="s">
        <v>7075</v>
      </c>
      <c r="C1744" s="2" t="s">
        <v>7156</v>
      </c>
      <c r="D1744" s="2" t="s">
        <v>7157</v>
      </c>
      <c r="E1744" s="2" t="s">
        <v>2982</v>
      </c>
      <c r="F1744" s="2" t="s">
        <v>7158</v>
      </c>
    </row>
    <row r="1745" ht="36.0" customHeight="1">
      <c r="A1745" s="3" t="s">
        <v>7159</v>
      </c>
      <c r="B1745" s="3" t="s">
        <v>7075</v>
      </c>
      <c r="C1745" s="3" t="s">
        <v>7160</v>
      </c>
      <c r="D1745" s="3" t="s">
        <v>7161</v>
      </c>
      <c r="E1745" s="3" t="s">
        <v>224</v>
      </c>
      <c r="F1745" s="3" t="s">
        <v>7162</v>
      </c>
    </row>
    <row r="1746" ht="36.0" customHeight="1">
      <c r="A1746" s="2" t="s">
        <v>7163</v>
      </c>
      <c r="B1746" s="2" t="s">
        <v>7075</v>
      </c>
      <c r="C1746" s="2" t="s">
        <v>7164</v>
      </c>
      <c r="D1746" s="2" t="s">
        <v>7165</v>
      </c>
      <c r="E1746" s="2" t="s">
        <v>62</v>
      </c>
      <c r="F1746" s="2" t="s">
        <v>7166</v>
      </c>
    </row>
    <row r="1747" ht="36.0" customHeight="1">
      <c r="A1747" s="3" t="s">
        <v>7167</v>
      </c>
      <c r="B1747" s="3" t="s">
        <v>7075</v>
      </c>
      <c r="C1747" s="3" t="s">
        <v>7168</v>
      </c>
      <c r="D1747" s="3" t="s">
        <v>7169</v>
      </c>
      <c r="E1747" s="3" t="s">
        <v>695</v>
      </c>
      <c r="F1747" s="3" t="s">
        <v>7170</v>
      </c>
    </row>
    <row r="1748" ht="36.0" customHeight="1">
      <c r="A1748" s="2" t="s">
        <v>7171</v>
      </c>
      <c r="B1748" s="2" t="s">
        <v>7075</v>
      </c>
      <c r="C1748" s="2" t="s">
        <v>7172</v>
      </c>
      <c r="D1748" s="2" t="s">
        <v>7173</v>
      </c>
      <c r="E1748" s="2" t="s">
        <v>224</v>
      </c>
      <c r="F1748" s="2" t="s">
        <v>7174</v>
      </c>
    </row>
    <row r="1749" ht="36.0" customHeight="1">
      <c r="A1749" s="3" t="s">
        <v>7175</v>
      </c>
      <c r="B1749" s="3" t="s">
        <v>7075</v>
      </c>
      <c r="C1749" s="3" t="s">
        <v>7176</v>
      </c>
      <c r="D1749" s="3" t="s">
        <v>7177</v>
      </c>
      <c r="E1749" s="3" t="s">
        <v>224</v>
      </c>
      <c r="F1749" s="3" t="s">
        <v>7178</v>
      </c>
    </row>
    <row r="1750" ht="36.0" customHeight="1">
      <c r="A1750" s="2" t="s">
        <v>7179</v>
      </c>
      <c r="B1750" s="2" t="s">
        <v>7075</v>
      </c>
      <c r="C1750" s="2" t="s">
        <v>7180</v>
      </c>
      <c r="D1750" s="2" t="s">
        <v>7181</v>
      </c>
      <c r="E1750" s="2" t="s">
        <v>695</v>
      </c>
      <c r="F1750" s="2" t="s">
        <v>7182</v>
      </c>
    </row>
    <row r="1751" ht="36.0" customHeight="1">
      <c r="A1751" s="3" t="s">
        <v>7183</v>
      </c>
      <c r="B1751" s="3" t="s">
        <v>7075</v>
      </c>
      <c r="C1751" s="3" t="s">
        <v>7184</v>
      </c>
      <c r="D1751" s="3" t="s">
        <v>7185</v>
      </c>
      <c r="E1751" s="3" t="s">
        <v>3895</v>
      </c>
      <c r="F1751" s="3" t="s">
        <v>7186</v>
      </c>
    </row>
    <row r="1752" ht="36.0" customHeight="1">
      <c r="A1752" s="2" t="s">
        <v>7187</v>
      </c>
      <c r="B1752" s="2" t="s">
        <v>7075</v>
      </c>
      <c r="C1752" s="2" t="s">
        <v>7188</v>
      </c>
      <c r="D1752" s="2" t="s">
        <v>7189</v>
      </c>
      <c r="E1752" s="2" t="s">
        <v>3895</v>
      </c>
      <c r="F1752" s="2" t="s">
        <v>7190</v>
      </c>
    </row>
    <row r="1753" ht="36.0" customHeight="1">
      <c r="A1753" s="3" t="s">
        <v>7191</v>
      </c>
      <c r="B1753" s="3" t="s">
        <v>7075</v>
      </c>
      <c r="C1753" s="3" t="s">
        <v>7192</v>
      </c>
      <c r="D1753" s="3" t="s">
        <v>7193</v>
      </c>
      <c r="E1753" s="3" t="s">
        <v>91</v>
      </c>
      <c r="F1753" s="3" t="s">
        <v>7194</v>
      </c>
    </row>
    <row r="1754" ht="36.0" customHeight="1">
      <c r="A1754" s="2" t="s">
        <v>7195</v>
      </c>
      <c r="B1754" s="2" t="s">
        <v>7075</v>
      </c>
      <c r="C1754" s="2" t="s">
        <v>7196</v>
      </c>
      <c r="D1754" s="2" t="s">
        <v>7197</v>
      </c>
      <c r="E1754" s="2" t="s">
        <v>2583</v>
      </c>
      <c r="F1754" s="2" t="s">
        <v>7198</v>
      </c>
    </row>
    <row r="1755" ht="36.0" customHeight="1">
      <c r="A1755" s="3" t="s">
        <v>7199</v>
      </c>
      <c r="B1755" s="3" t="s">
        <v>7075</v>
      </c>
      <c r="C1755" s="3" t="s">
        <v>7200</v>
      </c>
      <c r="D1755" s="3" t="s">
        <v>7201</v>
      </c>
      <c r="E1755" s="3" t="s">
        <v>2583</v>
      </c>
      <c r="F1755" s="3" t="s">
        <v>7202</v>
      </c>
    </row>
    <row r="1756" ht="36.0" customHeight="1">
      <c r="A1756" s="2" t="s">
        <v>7203</v>
      </c>
      <c r="B1756" s="2" t="s">
        <v>7075</v>
      </c>
      <c r="C1756" s="2" t="s">
        <v>7204</v>
      </c>
      <c r="D1756" s="2" t="s">
        <v>7205</v>
      </c>
      <c r="E1756" s="2" t="s">
        <v>6275</v>
      </c>
      <c r="F1756" s="2" t="s">
        <v>7206</v>
      </c>
    </row>
    <row r="1757" ht="36.0" customHeight="1">
      <c r="A1757" s="3" t="s">
        <v>7207</v>
      </c>
      <c r="B1757" s="3" t="s">
        <v>7075</v>
      </c>
      <c r="C1757" s="3" t="s">
        <v>7208</v>
      </c>
      <c r="D1757" s="3" t="s">
        <v>7209</v>
      </c>
      <c r="E1757" s="3" t="s">
        <v>1250</v>
      </c>
      <c r="F1757" s="3" t="s">
        <v>7210</v>
      </c>
    </row>
    <row r="1758" ht="36.0" customHeight="1">
      <c r="A1758" s="2" t="s">
        <v>7211</v>
      </c>
      <c r="B1758" s="2" t="s">
        <v>7075</v>
      </c>
      <c r="C1758" s="2" t="s">
        <v>7212</v>
      </c>
      <c r="D1758" s="2" t="s">
        <v>7213</v>
      </c>
      <c r="E1758" s="2" t="s">
        <v>3473</v>
      </c>
      <c r="F1758" s="2" t="s">
        <v>7214</v>
      </c>
    </row>
    <row r="1759" ht="36.0" customHeight="1">
      <c r="A1759" s="3" t="s">
        <v>7215</v>
      </c>
      <c r="B1759" s="3" t="s">
        <v>7075</v>
      </c>
      <c r="C1759" s="3" t="s">
        <v>7216</v>
      </c>
      <c r="D1759" s="3" t="s">
        <v>7217</v>
      </c>
      <c r="E1759" s="3" t="s">
        <v>3473</v>
      </c>
      <c r="F1759" s="3" t="s">
        <v>7218</v>
      </c>
    </row>
    <row r="1760" ht="36.0" customHeight="1">
      <c r="A1760" s="2" t="s">
        <v>7219</v>
      </c>
      <c r="B1760" s="2" t="s">
        <v>7075</v>
      </c>
      <c r="C1760" s="2" t="s">
        <v>7220</v>
      </c>
      <c r="D1760" s="2" t="s">
        <v>7221</v>
      </c>
      <c r="E1760" s="2" t="s">
        <v>3473</v>
      </c>
      <c r="F1760" s="2" t="s">
        <v>7222</v>
      </c>
    </row>
    <row r="1761" ht="36.0" customHeight="1">
      <c r="A1761" s="3" t="s">
        <v>7223</v>
      </c>
      <c r="B1761" s="3" t="s">
        <v>7075</v>
      </c>
      <c r="C1761" s="3" t="s">
        <v>7224</v>
      </c>
      <c r="D1761" s="3" t="s">
        <v>7225</v>
      </c>
      <c r="E1761" s="3" t="s">
        <v>2514</v>
      </c>
      <c r="F1761" s="3" t="s">
        <v>7226</v>
      </c>
    </row>
    <row r="1762" ht="36.0" customHeight="1">
      <c r="A1762" s="2" t="s">
        <v>7227</v>
      </c>
      <c r="B1762" s="2" t="s">
        <v>7075</v>
      </c>
      <c r="C1762" s="2" t="s">
        <v>7228</v>
      </c>
      <c r="D1762" s="2" t="s">
        <v>7229</v>
      </c>
      <c r="E1762" s="2" t="s">
        <v>2514</v>
      </c>
      <c r="F1762" s="2" t="s">
        <v>7230</v>
      </c>
    </row>
    <row r="1763" ht="36.0" customHeight="1">
      <c r="A1763" s="3" t="s">
        <v>7231</v>
      </c>
      <c r="B1763" s="3" t="s">
        <v>7075</v>
      </c>
      <c r="C1763" s="3" t="s">
        <v>7232</v>
      </c>
      <c r="D1763" s="3" t="s">
        <v>7233</v>
      </c>
      <c r="E1763" s="3" t="s">
        <v>2514</v>
      </c>
      <c r="F1763" s="3" t="s">
        <v>7234</v>
      </c>
    </row>
    <row r="1764" ht="36.0" customHeight="1">
      <c r="A1764" s="2" t="s">
        <v>7235</v>
      </c>
      <c r="B1764" s="2" t="s">
        <v>7075</v>
      </c>
      <c r="C1764" s="2" t="s">
        <v>7236</v>
      </c>
      <c r="D1764" s="2" t="s">
        <v>7237</v>
      </c>
      <c r="E1764" s="2" t="s">
        <v>2583</v>
      </c>
      <c r="F1764" s="2" t="s">
        <v>7238</v>
      </c>
    </row>
    <row r="1765" ht="36.0" customHeight="1">
      <c r="A1765" s="3" t="s">
        <v>7239</v>
      </c>
      <c r="B1765" s="3" t="s">
        <v>7075</v>
      </c>
      <c r="C1765" s="3" t="s">
        <v>7240</v>
      </c>
      <c r="D1765" s="3" t="s">
        <v>7241</v>
      </c>
      <c r="E1765" s="3" t="s">
        <v>2583</v>
      </c>
      <c r="F1765" s="3" t="s">
        <v>7242</v>
      </c>
    </row>
    <row r="1766" ht="36.0" customHeight="1">
      <c r="A1766" s="2" t="s">
        <v>7243</v>
      </c>
      <c r="B1766" s="2" t="s">
        <v>7075</v>
      </c>
      <c r="C1766" s="2" t="s">
        <v>7244</v>
      </c>
      <c r="D1766" s="2" t="s">
        <v>7245</v>
      </c>
      <c r="E1766" s="2" t="s">
        <v>2855</v>
      </c>
      <c r="F1766" s="2" t="s">
        <v>7246</v>
      </c>
    </row>
    <row r="1767" ht="36.0" customHeight="1">
      <c r="A1767" s="3" t="s">
        <v>7247</v>
      </c>
      <c r="B1767" s="3" t="s">
        <v>7075</v>
      </c>
      <c r="C1767" s="3" t="s">
        <v>7248</v>
      </c>
      <c r="D1767" s="3" t="s">
        <v>7249</v>
      </c>
      <c r="E1767" s="3" t="s">
        <v>2855</v>
      </c>
      <c r="F1767" s="3" t="s">
        <v>7250</v>
      </c>
    </row>
    <row r="1768" ht="36.0" customHeight="1">
      <c r="A1768" s="2" t="s">
        <v>7251</v>
      </c>
      <c r="B1768" s="2" t="s">
        <v>7075</v>
      </c>
      <c r="C1768" s="2" t="s">
        <v>7252</v>
      </c>
      <c r="D1768" s="2" t="s">
        <v>7253</v>
      </c>
      <c r="E1768" s="2" t="s">
        <v>2855</v>
      </c>
      <c r="F1768" s="2" t="s">
        <v>7254</v>
      </c>
    </row>
    <row r="1769" ht="36.0" customHeight="1">
      <c r="A1769" s="3" t="s">
        <v>7255</v>
      </c>
      <c r="B1769" s="3" t="s">
        <v>7075</v>
      </c>
      <c r="C1769" s="3" t="s">
        <v>7256</v>
      </c>
      <c r="D1769" s="3" t="s">
        <v>7257</v>
      </c>
      <c r="E1769" s="3" t="s">
        <v>2982</v>
      </c>
      <c r="F1769" s="3" t="s">
        <v>7258</v>
      </c>
    </row>
    <row r="1770" ht="36.0" customHeight="1">
      <c r="A1770" s="2" t="s">
        <v>7259</v>
      </c>
      <c r="B1770" s="2" t="s">
        <v>7075</v>
      </c>
      <c r="C1770" s="2" t="s">
        <v>7260</v>
      </c>
      <c r="D1770" s="2" t="s">
        <v>7261</v>
      </c>
      <c r="E1770" s="2" t="s">
        <v>2982</v>
      </c>
      <c r="F1770" s="2" t="s">
        <v>7262</v>
      </c>
    </row>
    <row r="1771" ht="36.0" customHeight="1">
      <c r="A1771" s="3" t="s">
        <v>7263</v>
      </c>
      <c r="B1771" s="3" t="s">
        <v>7075</v>
      </c>
      <c r="C1771" s="3" t="s">
        <v>7264</v>
      </c>
      <c r="D1771" s="3" t="s">
        <v>7265</v>
      </c>
      <c r="E1771" s="3" t="s">
        <v>2982</v>
      </c>
      <c r="F1771" s="3" t="s">
        <v>7266</v>
      </c>
    </row>
    <row r="1772" ht="36.0" customHeight="1">
      <c r="A1772" s="2" t="s">
        <v>7267</v>
      </c>
      <c r="B1772" s="2" t="s">
        <v>7075</v>
      </c>
      <c r="C1772" s="2" t="s">
        <v>7268</v>
      </c>
      <c r="D1772" s="2" t="s">
        <v>7269</v>
      </c>
      <c r="E1772" s="2" t="s">
        <v>430</v>
      </c>
      <c r="F1772" s="2" t="s">
        <v>7270</v>
      </c>
    </row>
    <row r="1773" ht="36.0" customHeight="1">
      <c r="A1773" s="3" t="s">
        <v>7271</v>
      </c>
      <c r="B1773" s="3" t="s">
        <v>7075</v>
      </c>
      <c r="C1773" s="3" t="s">
        <v>7272</v>
      </c>
      <c r="D1773" s="3" t="s">
        <v>7273</v>
      </c>
      <c r="E1773" s="3" t="s">
        <v>1401</v>
      </c>
      <c r="F1773" s="3" t="s">
        <v>7274</v>
      </c>
    </row>
    <row r="1774" ht="36.0" customHeight="1">
      <c r="A1774" s="2" t="s">
        <v>7275</v>
      </c>
      <c r="B1774" s="2" t="s">
        <v>7075</v>
      </c>
      <c r="C1774" s="2" t="s">
        <v>7276</v>
      </c>
      <c r="D1774" s="2" t="s">
        <v>7277</v>
      </c>
      <c r="E1774" s="2" t="s">
        <v>2855</v>
      </c>
      <c r="F1774" s="2" t="s">
        <v>7278</v>
      </c>
    </row>
    <row r="1775" ht="36.0" customHeight="1">
      <c r="A1775" s="3" t="s">
        <v>7279</v>
      </c>
      <c r="B1775" s="3" t="s">
        <v>7075</v>
      </c>
      <c r="C1775" s="3" t="s">
        <v>7280</v>
      </c>
      <c r="D1775" s="3" t="s">
        <v>7281</v>
      </c>
      <c r="E1775" s="3" t="s">
        <v>1655</v>
      </c>
      <c r="F1775" s="3" t="s">
        <v>7282</v>
      </c>
    </row>
    <row r="1776" ht="36.0" customHeight="1">
      <c r="A1776" s="2" t="s">
        <v>7283</v>
      </c>
      <c r="B1776" s="2" t="s">
        <v>7075</v>
      </c>
      <c r="C1776" s="2" t="s">
        <v>7284</v>
      </c>
      <c r="D1776" s="2" t="s">
        <v>7285</v>
      </c>
      <c r="E1776" s="2" t="s">
        <v>340</v>
      </c>
      <c r="F1776" s="2" t="s">
        <v>7286</v>
      </c>
    </row>
    <row r="1777" ht="36.0" customHeight="1">
      <c r="A1777" s="3" t="s">
        <v>7287</v>
      </c>
      <c r="B1777" s="3" t="s">
        <v>7075</v>
      </c>
      <c r="C1777" s="3" t="s">
        <v>7288</v>
      </c>
      <c r="D1777" s="3" t="s">
        <v>7289</v>
      </c>
      <c r="E1777" s="3" t="s">
        <v>2010</v>
      </c>
      <c r="F1777" s="3" t="s">
        <v>7290</v>
      </c>
    </row>
    <row r="1778" ht="36.0" customHeight="1">
      <c r="A1778" s="2" t="s">
        <v>7291</v>
      </c>
      <c r="B1778" s="2" t="s">
        <v>7075</v>
      </c>
      <c r="C1778" s="2" t="s">
        <v>7292</v>
      </c>
      <c r="D1778" s="2" t="s">
        <v>7293</v>
      </c>
      <c r="E1778" s="2" t="s">
        <v>430</v>
      </c>
      <c r="F1778" s="2" t="s">
        <v>7294</v>
      </c>
    </row>
    <row r="1779" ht="36.0" customHeight="1">
      <c r="A1779" s="3" t="s">
        <v>7295</v>
      </c>
      <c r="B1779" s="3" t="s">
        <v>7075</v>
      </c>
      <c r="C1779" s="3" t="s">
        <v>7296</v>
      </c>
      <c r="D1779" s="3" t="s">
        <v>7297</v>
      </c>
      <c r="E1779" s="3" t="s">
        <v>430</v>
      </c>
      <c r="F1779" s="3" t="s">
        <v>7298</v>
      </c>
    </row>
    <row r="1780" ht="36.0" customHeight="1">
      <c r="A1780" s="2" t="s">
        <v>7299</v>
      </c>
      <c r="B1780" s="2" t="s">
        <v>7075</v>
      </c>
      <c r="C1780" s="2" t="s">
        <v>7300</v>
      </c>
      <c r="D1780" s="2" t="s">
        <v>7301</v>
      </c>
      <c r="E1780" s="2" t="s">
        <v>937</v>
      </c>
      <c r="F1780" s="2" t="s">
        <v>7302</v>
      </c>
    </row>
    <row r="1781" ht="36.0" customHeight="1">
      <c r="A1781" s="3" t="s">
        <v>7303</v>
      </c>
      <c r="B1781" s="3" t="s">
        <v>7075</v>
      </c>
      <c r="C1781" s="3" t="s">
        <v>7304</v>
      </c>
      <c r="D1781" s="3" t="s">
        <v>7305</v>
      </c>
      <c r="E1781" s="3" t="s">
        <v>1655</v>
      </c>
      <c r="F1781" s="3" t="s">
        <v>7306</v>
      </c>
    </row>
    <row r="1782" ht="36.0" customHeight="1">
      <c r="A1782" s="2" t="s">
        <v>7307</v>
      </c>
      <c r="B1782" s="2" t="s">
        <v>7075</v>
      </c>
      <c r="C1782" s="2" t="s">
        <v>7308</v>
      </c>
      <c r="D1782" s="2" t="s">
        <v>7309</v>
      </c>
      <c r="E1782" s="2" t="s">
        <v>2982</v>
      </c>
      <c r="F1782" s="2" t="s">
        <v>7310</v>
      </c>
    </row>
    <row r="1783" ht="36.0" customHeight="1">
      <c r="A1783" s="3" t="s">
        <v>7311</v>
      </c>
      <c r="B1783" s="3" t="s">
        <v>7075</v>
      </c>
      <c r="C1783" s="3" t="s">
        <v>7312</v>
      </c>
      <c r="D1783" s="3" t="s">
        <v>7313</v>
      </c>
      <c r="E1783" s="3" t="s">
        <v>2583</v>
      </c>
      <c r="F1783" s="3" t="s">
        <v>7314</v>
      </c>
    </row>
    <row r="1784" ht="36.0" customHeight="1">
      <c r="A1784" s="2" t="s">
        <v>7315</v>
      </c>
      <c r="B1784" s="2" t="s">
        <v>7075</v>
      </c>
      <c r="C1784" s="2" t="s">
        <v>7316</v>
      </c>
      <c r="D1784" s="2" t="s">
        <v>7317</v>
      </c>
      <c r="E1784" s="2" t="s">
        <v>2514</v>
      </c>
      <c r="F1784" s="2" t="s">
        <v>7318</v>
      </c>
    </row>
    <row r="1785" ht="36.0" customHeight="1">
      <c r="A1785" s="3" t="s">
        <v>7319</v>
      </c>
      <c r="B1785" s="3" t="s">
        <v>7075</v>
      </c>
      <c r="C1785" s="3" t="s">
        <v>7320</v>
      </c>
      <c r="D1785" s="3" t="s">
        <v>7321</v>
      </c>
      <c r="E1785" s="3" t="s">
        <v>2855</v>
      </c>
      <c r="F1785" s="3" t="s">
        <v>7322</v>
      </c>
    </row>
    <row r="1786" ht="36.0" customHeight="1">
      <c r="A1786" s="2" t="s">
        <v>7323</v>
      </c>
      <c r="B1786" s="2" t="s">
        <v>7075</v>
      </c>
      <c r="C1786" s="2" t="s">
        <v>7324</v>
      </c>
      <c r="D1786" s="2" t="s">
        <v>7325</v>
      </c>
      <c r="E1786" s="2" t="s">
        <v>2855</v>
      </c>
      <c r="F1786" s="2" t="s">
        <v>7326</v>
      </c>
    </row>
    <row r="1787" ht="36.0" customHeight="1">
      <c r="A1787" s="3" t="s">
        <v>7327</v>
      </c>
      <c r="B1787" s="3" t="s">
        <v>7075</v>
      </c>
      <c r="C1787" s="3" t="s">
        <v>7328</v>
      </c>
      <c r="D1787" s="3" t="s">
        <v>7329</v>
      </c>
      <c r="E1787" s="3" t="s">
        <v>91</v>
      </c>
      <c r="F1787" s="3" t="s">
        <v>7330</v>
      </c>
    </row>
    <row r="1788" ht="36.0" customHeight="1">
      <c r="A1788" s="2" t="s">
        <v>7331</v>
      </c>
      <c r="B1788" s="2" t="s">
        <v>7075</v>
      </c>
      <c r="C1788" s="2" t="s">
        <v>7332</v>
      </c>
      <c r="D1788" s="2" t="s">
        <v>7333</v>
      </c>
      <c r="E1788" s="2" t="s">
        <v>91</v>
      </c>
      <c r="F1788" s="2" t="s">
        <v>7334</v>
      </c>
    </row>
    <row r="1789" ht="36.0" customHeight="1">
      <c r="A1789" s="3" t="s">
        <v>7335</v>
      </c>
      <c r="B1789" s="3" t="s">
        <v>7075</v>
      </c>
      <c r="C1789" s="3" t="s">
        <v>7336</v>
      </c>
      <c r="D1789" s="3" t="s">
        <v>7337</v>
      </c>
      <c r="E1789" s="3" t="s">
        <v>91</v>
      </c>
      <c r="F1789" s="3" t="s">
        <v>7338</v>
      </c>
    </row>
    <row r="1790" ht="36.0" customHeight="1">
      <c r="A1790" s="2" t="s">
        <v>7339</v>
      </c>
      <c r="B1790" s="2" t="s">
        <v>7075</v>
      </c>
      <c r="C1790" s="2" t="s">
        <v>7340</v>
      </c>
      <c r="D1790" s="2" t="s">
        <v>7341</v>
      </c>
      <c r="E1790" s="2" t="s">
        <v>91</v>
      </c>
      <c r="F1790" s="2" t="s">
        <v>7342</v>
      </c>
    </row>
    <row r="1791" ht="36.0" customHeight="1">
      <c r="A1791" s="3" t="s">
        <v>7343</v>
      </c>
      <c r="B1791" s="3" t="s">
        <v>7075</v>
      </c>
      <c r="C1791" s="3" t="s">
        <v>7344</v>
      </c>
      <c r="D1791" s="3" t="s">
        <v>7345</v>
      </c>
      <c r="E1791" s="3" t="s">
        <v>91</v>
      </c>
      <c r="F1791" s="3" t="s">
        <v>7346</v>
      </c>
    </row>
    <row r="1792" ht="36.0" customHeight="1">
      <c r="A1792" s="2" t="s">
        <v>7347</v>
      </c>
      <c r="B1792" s="2" t="s">
        <v>7075</v>
      </c>
      <c r="C1792" s="2" t="s">
        <v>7348</v>
      </c>
      <c r="D1792" s="2" t="s">
        <v>7349</v>
      </c>
      <c r="E1792" s="2" t="s">
        <v>91</v>
      </c>
      <c r="F1792" s="2" t="s">
        <v>7350</v>
      </c>
    </row>
    <row r="1793" ht="36.0" customHeight="1">
      <c r="A1793" s="3" t="s">
        <v>7351</v>
      </c>
      <c r="B1793" s="3" t="s">
        <v>7075</v>
      </c>
      <c r="C1793" s="3" t="s">
        <v>7352</v>
      </c>
      <c r="D1793" s="3" t="s">
        <v>7353</v>
      </c>
      <c r="E1793" s="3" t="s">
        <v>91</v>
      </c>
      <c r="F1793" s="3" t="s">
        <v>7354</v>
      </c>
    </row>
    <row r="1794" ht="36.0" customHeight="1">
      <c r="A1794" s="2" t="s">
        <v>7355</v>
      </c>
      <c r="B1794" s="2" t="s">
        <v>7075</v>
      </c>
      <c r="C1794" s="2" t="s">
        <v>7356</v>
      </c>
      <c r="D1794" s="2" t="s">
        <v>7357</v>
      </c>
      <c r="E1794" s="2" t="s">
        <v>91</v>
      </c>
      <c r="F1794" s="2" t="s">
        <v>7358</v>
      </c>
    </row>
    <row r="1795" ht="36.0" customHeight="1">
      <c r="A1795" s="3" t="s">
        <v>7359</v>
      </c>
      <c r="B1795" s="3" t="s">
        <v>7075</v>
      </c>
      <c r="C1795" s="3" t="s">
        <v>7360</v>
      </c>
      <c r="D1795" s="3" t="s">
        <v>7361</v>
      </c>
      <c r="E1795" s="3" t="s">
        <v>2583</v>
      </c>
      <c r="F1795" s="3" t="s">
        <v>7362</v>
      </c>
    </row>
    <row r="1796" ht="36.0" customHeight="1">
      <c r="A1796" s="2" t="s">
        <v>7363</v>
      </c>
      <c r="B1796" s="2" t="s">
        <v>7075</v>
      </c>
      <c r="C1796" s="2" t="s">
        <v>7364</v>
      </c>
      <c r="D1796" s="2" t="s">
        <v>7365</v>
      </c>
      <c r="E1796" s="2" t="s">
        <v>2920</v>
      </c>
      <c r="F1796" s="2" t="s">
        <v>7366</v>
      </c>
    </row>
    <row r="1797" ht="36.0" customHeight="1">
      <c r="A1797" s="3" t="s">
        <v>7367</v>
      </c>
      <c r="B1797" s="3" t="s">
        <v>7075</v>
      </c>
      <c r="C1797" s="3" t="s">
        <v>7368</v>
      </c>
      <c r="D1797" s="3" t="s">
        <v>7369</v>
      </c>
      <c r="E1797" s="3" t="s">
        <v>2920</v>
      </c>
      <c r="F1797" s="3" t="s">
        <v>7370</v>
      </c>
    </row>
    <row r="1798" ht="36.0" customHeight="1">
      <c r="A1798" s="2" t="s">
        <v>7371</v>
      </c>
      <c r="B1798" s="2" t="s">
        <v>7075</v>
      </c>
      <c r="C1798" s="2" t="s">
        <v>7372</v>
      </c>
      <c r="D1798" s="2" t="s">
        <v>7373</v>
      </c>
      <c r="E1798" s="2" t="s">
        <v>2514</v>
      </c>
      <c r="F1798" s="2" t="s">
        <v>7374</v>
      </c>
    </row>
    <row r="1799" ht="36.0" customHeight="1">
      <c r="A1799" s="3" t="s">
        <v>7375</v>
      </c>
      <c r="B1799" s="3" t="s">
        <v>7075</v>
      </c>
      <c r="C1799" s="3" t="s">
        <v>7376</v>
      </c>
      <c r="D1799" s="3" t="s">
        <v>7377</v>
      </c>
      <c r="E1799" s="3" t="s">
        <v>19</v>
      </c>
      <c r="F1799" s="3" t="s">
        <v>7378</v>
      </c>
    </row>
    <row r="1800" ht="36.0" customHeight="1">
      <c r="A1800" s="2" t="s">
        <v>7379</v>
      </c>
      <c r="B1800" s="2" t="s">
        <v>7075</v>
      </c>
      <c r="C1800" s="2" t="s">
        <v>7380</v>
      </c>
      <c r="D1800" s="2" t="s">
        <v>7381</v>
      </c>
      <c r="E1800" s="2" t="s">
        <v>6275</v>
      </c>
      <c r="F1800" s="2" t="s">
        <v>7382</v>
      </c>
    </row>
    <row r="1801" ht="36.0" customHeight="1">
      <c r="A1801" s="3" t="s">
        <v>7383</v>
      </c>
      <c r="B1801" s="3" t="s">
        <v>7075</v>
      </c>
      <c r="C1801" s="3" t="s">
        <v>7384</v>
      </c>
      <c r="D1801" s="3" t="s">
        <v>7385</v>
      </c>
      <c r="E1801" s="3" t="s">
        <v>2982</v>
      </c>
      <c r="F1801" s="3" t="s">
        <v>7386</v>
      </c>
    </row>
    <row r="1802" ht="36.0" customHeight="1">
      <c r="A1802" s="2" t="s">
        <v>7387</v>
      </c>
      <c r="B1802" s="2" t="s">
        <v>7075</v>
      </c>
      <c r="C1802" s="2" t="s">
        <v>7388</v>
      </c>
      <c r="D1802" s="2" t="s">
        <v>7389</v>
      </c>
      <c r="E1802" s="2" t="s">
        <v>695</v>
      </c>
      <c r="F1802" s="2" t="s">
        <v>7390</v>
      </c>
    </row>
    <row r="1803" ht="36.0" customHeight="1">
      <c r="A1803" s="3" t="s">
        <v>7391</v>
      </c>
      <c r="B1803" s="3" t="s">
        <v>7075</v>
      </c>
      <c r="C1803" s="3" t="s">
        <v>7392</v>
      </c>
      <c r="D1803" s="3" t="s">
        <v>7393</v>
      </c>
      <c r="E1803" s="3" t="s">
        <v>2982</v>
      </c>
      <c r="F1803" s="3" t="s">
        <v>7394</v>
      </c>
    </row>
    <row r="1804" ht="36.0" customHeight="1">
      <c r="A1804" s="2" t="s">
        <v>7395</v>
      </c>
      <c r="B1804" s="2" t="s">
        <v>7075</v>
      </c>
      <c r="C1804" s="2" t="s">
        <v>7396</v>
      </c>
      <c r="D1804" s="2" t="s">
        <v>7397</v>
      </c>
      <c r="E1804" s="2" t="s">
        <v>2982</v>
      </c>
      <c r="F1804" s="2" t="s">
        <v>7398</v>
      </c>
    </row>
    <row r="1805" ht="36.0" customHeight="1">
      <c r="A1805" s="3" t="s">
        <v>7399</v>
      </c>
      <c r="B1805" s="3" t="s">
        <v>7075</v>
      </c>
      <c r="C1805" s="3" t="s">
        <v>7400</v>
      </c>
      <c r="D1805" s="3" t="s">
        <v>7401</v>
      </c>
      <c r="E1805" s="3" t="s">
        <v>1655</v>
      </c>
      <c r="F1805" s="3" t="s">
        <v>7402</v>
      </c>
    </row>
    <row r="1806" ht="36.0" customHeight="1">
      <c r="A1806" s="2" t="s">
        <v>7403</v>
      </c>
      <c r="B1806" s="2" t="s">
        <v>7075</v>
      </c>
      <c r="C1806" s="2" t="s">
        <v>7404</v>
      </c>
      <c r="D1806" s="2" t="s">
        <v>7405</v>
      </c>
      <c r="E1806" s="2" t="s">
        <v>2010</v>
      </c>
      <c r="F1806" s="2" t="s">
        <v>7406</v>
      </c>
    </row>
    <row r="1807" ht="36.0" customHeight="1">
      <c r="A1807" s="3" t="s">
        <v>7407</v>
      </c>
      <c r="B1807" s="3" t="s">
        <v>7075</v>
      </c>
      <c r="C1807" s="3" t="s">
        <v>7408</v>
      </c>
      <c r="D1807" s="3" t="s">
        <v>7409</v>
      </c>
      <c r="E1807" s="3" t="s">
        <v>2811</v>
      </c>
      <c r="F1807" s="3" t="s">
        <v>7410</v>
      </c>
    </row>
    <row r="1808" ht="36.0" customHeight="1">
      <c r="A1808" s="2" t="s">
        <v>7411</v>
      </c>
      <c r="B1808" s="2" t="s">
        <v>7075</v>
      </c>
      <c r="C1808" s="2" t="s">
        <v>7412</v>
      </c>
      <c r="D1808" s="2" t="s">
        <v>7413</v>
      </c>
      <c r="E1808" s="2" t="s">
        <v>2982</v>
      </c>
      <c r="F1808" s="2" t="s">
        <v>7414</v>
      </c>
    </row>
    <row r="1809" ht="36.0" customHeight="1">
      <c r="A1809" s="3" t="s">
        <v>7415</v>
      </c>
      <c r="B1809" s="3" t="s">
        <v>7075</v>
      </c>
      <c r="C1809" s="3" t="s">
        <v>7416</v>
      </c>
      <c r="D1809" s="3" t="s">
        <v>7417</v>
      </c>
      <c r="E1809" s="3" t="s">
        <v>2583</v>
      </c>
      <c r="F1809" s="3" t="s">
        <v>7418</v>
      </c>
    </row>
    <row r="1810" ht="36.0" customHeight="1">
      <c r="A1810" s="2" t="s">
        <v>7419</v>
      </c>
      <c r="B1810" s="2" t="s">
        <v>7075</v>
      </c>
      <c r="C1810" s="2" t="s">
        <v>7420</v>
      </c>
      <c r="D1810" s="2" t="s">
        <v>7421</v>
      </c>
      <c r="E1810" s="2" t="s">
        <v>19</v>
      </c>
      <c r="F1810" s="2" t="s">
        <v>7422</v>
      </c>
    </row>
    <row r="1811" ht="36.0" customHeight="1">
      <c r="A1811" s="3" t="s">
        <v>7423</v>
      </c>
      <c r="B1811" s="3" t="s">
        <v>7075</v>
      </c>
      <c r="C1811" s="3" t="s">
        <v>7424</v>
      </c>
      <c r="D1811" s="3" t="s">
        <v>7425</v>
      </c>
      <c r="E1811" s="3" t="s">
        <v>19</v>
      </c>
      <c r="F1811" s="3" t="s">
        <v>7426</v>
      </c>
    </row>
    <row r="1812" ht="36.0" customHeight="1">
      <c r="A1812" s="2" t="s">
        <v>7427</v>
      </c>
      <c r="B1812" s="2" t="s">
        <v>7075</v>
      </c>
      <c r="C1812" s="2" t="s">
        <v>7428</v>
      </c>
      <c r="D1812" s="2" t="s">
        <v>7429</v>
      </c>
      <c r="E1812" s="2" t="s">
        <v>19</v>
      </c>
      <c r="F1812" s="2" t="s">
        <v>7430</v>
      </c>
    </row>
    <row r="1813" ht="36.0" customHeight="1">
      <c r="A1813" s="3" t="s">
        <v>7431</v>
      </c>
      <c r="B1813" s="3" t="s">
        <v>7075</v>
      </c>
      <c r="C1813" s="3" t="s">
        <v>7432</v>
      </c>
      <c r="D1813" s="3" t="s">
        <v>7433</v>
      </c>
      <c r="E1813" s="3" t="s">
        <v>19</v>
      </c>
      <c r="F1813" s="3" t="s">
        <v>7434</v>
      </c>
    </row>
    <row r="1814" ht="36.0" customHeight="1">
      <c r="A1814" s="2" t="s">
        <v>7435</v>
      </c>
      <c r="B1814" s="2" t="s">
        <v>7075</v>
      </c>
      <c r="C1814" s="2" t="s">
        <v>7436</v>
      </c>
      <c r="D1814" s="2" t="s">
        <v>7437</v>
      </c>
      <c r="E1814" s="2" t="s">
        <v>1756</v>
      </c>
      <c r="F1814" s="2" t="s">
        <v>7438</v>
      </c>
    </row>
    <row r="1815" ht="36.0" customHeight="1">
      <c r="A1815" s="3" t="s">
        <v>7439</v>
      </c>
      <c r="B1815" s="3" t="s">
        <v>7075</v>
      </c>
      <c r="C1815" s="3" t="s">
        <v>7440</v>
      </c>
      <c r="D1815" s="3" t="s">
        <v>7441</v>
      </c>
      <c r="E1815" s="3" t="s">
        <v>2982</v>
      </c>
      <c r="F1815" s="3" t="s">
        <v>7442</v>
      </c>
    </row>
    <row r="1816" ht="36.0" customHeight="1">
      <c r="A1816" s="2" t="s">
        <v>7443</v>
      </c>
      <c r="B1816" s="2" t="s">
        <v>7075</v>
      </c>
      <c r="C1816" s="2" t="s">
        <v>7444</v>
      </c>
      <c r="D1816" s="2" t="s">
        <v>7445</v>
      </c>
      <c r="E1816" s="2" t="s">
        <v>91</v>
      </c>
      <c r="F1816" s="2" t="s">
        <v>7446</v>
      </c>
    </row>
    <row r="1817" ht="36.0" customHeight="1">
      <c r="A1817" s="3" t="s">
        <v>7447</v>
      </c>
      <c r="B1817" s="3" t="s">
        <v>7075</v>
      </c>
      <c r="C1817" s="3" t="s">
        <v>7448</v>
      </c>
      <c r="D1817" s="3" t="s">
        <v>7449</v>
      </c>
      <c r="E1817" s="3" t="s">
        <v>2583</v>
      </c>
      <c r="F1817" s="3" t="s">
        <v>7450</v>
      </c>
    </row>
    <row r="1818" ht="36.0" customHeight="1">
      <c r="A1818" s="2" t="s">
        <v>7451</v>
      </c>
      <c r="B1818" s="2" t="s">
        <v>7075</v>
      </c>
      <c r="C1818" s="2" t="s">
        <v>7452</v>
      </c>
      <c r="D1818" s="2" t="s">
        <v>7453</v>
      </c>
      <c r="E1818" s="2" t="s">
        <v>2583</v>
      </c>
      <c r="F1818" s="2" t="s">
        <v>7454</v>
      </c>
    </row>
    <row r="1819" ht="36.0" customHeight="1">
      <c r="A1819" s="3" t="s">
        <v>7455</v>
      </c>
      <c r="B1819" s="3" t="s">
        <v>7075</v>
      </c>
      <c r="C1819" s="3" t="s">
        <v>7456</v>
      </c>
      <c r="D1819" s="3" t="s">
        <v>7457</v>
      </c>
      <c r="E1819" s="3" t="s">
        <v>2010</v>
      </c>
      <c r="F1819" s="3" t="s">
        <v>7458</v>
      </c>
    </row>
    <row r="1820" ht="36.0" customHeight="1">
      <c r="A1820" s="2" t="s">
        <v>7459</v>
      </c>
      <c r="B1820" s="2" t="s">
        <v>7075</v>
      </c>
      <c r="C1820" s="2" t="s">
        <v>7460</v>
      </c>
      <c r="D1820" s="2" t="s">
        <v>7461</v>
      </c>
      <c r="E1820" s="2" t="s">
        <v>19</v>
      </c>
      <c r="F1820" s="2" t="s">
        <v>7462</v>
      </c>
    </row>
    <row r="1821" ht="36.0" customHeight="1">
      <c r="A1821" s="3" t="s">
        <v>7463</v>
      </c>
      <c r="B1821" s="3" t="s">
        <v>7075</v>
      </c>
      <c r="C1821" s="3" t="s">
        <v>7464</v>
      </c>
      <c r="D1821" s="3" t="s">
        <v>7465</v>
      </c>
      <c r="E1821" s="3" t="s">
        <v>430</v>
      </c>
      <c r="F1821" s="3" t="s">
        <v>7466</v>
      </c>
    </row>
    <row r="1822" ht="36.0" customHeight="1">
      <c r="A1822" s="2" t="s">
        <v>7467</v>
      </c>
      <c r="B1822" s="2" t="s">
        <v>7075</v>
      </c>
      <c r="C1822" s="2" t="s">
        <v>7468</v>
      </c>
      <c r="D1822" s="2" t="s">
        <v>7469</v>
      </c>
      <c r="E1822" s="2" t="s">
        <v>430</v>
      </c>
      <c r="F1822" s="2" t="s">
        <v>7470</v>
      </c>
    </row>
    <row r="1823" ht="36.0" customHeight="1">
      <c r="A1823" s="3" t="s">
        <v>7471</v>
      </c>
      <c r="B1823" s="3" t="s">
        <v>7075</v>
      </c>
      <c r="C1823" s="3" t="s">
        <v>7472</v>
      </c>
      <c r="D1823" s="3" t="s">
        <v>7473</v>
      </c>
      <c r="E1823" s="3" t="s">
        <v>430</v>
      </c>
      <c r="F1823" s="3" t="s">
        <v>7474</v>
      </c>
    </row>
    <row r="1824" ht="36.0" customHeight="1">
      <c r="A1824" s="2" t="s">
        <v>7475</v>
      </c>
      <c r="B1824" s="2" t="s">
        <v>7075</v>
      </c>
      <c r="C1824" s="2" t="s">
        <v>7476</v>
      </c>
      <c r="D1824" s="2" t="s">
        <v>7477</v>
      </c>
      <c r="E1824" s="2" t="s">
        <v>435</v>
      </c>
      <c r="F1824" s="2" t="s">
        <v>7478</v>
      </c>
    </row>
    <row r="1825" ht="36.0" customHeight="1">
      <c r="A1825" s="3" t="s">
        <v>7479</v>
      </c>
      <c r="B1825" s="3" t="s">
        <v>7075</v>
      </c>
      <c r="C1825" s="3" t="s">
        <v>7480</v>
      </c>
      <c r="D1825" s="3" t="s">
        <v>7481</v>
      </c>
      <c r="E1825" s="3" t="s">
        <v>19</v>
      </c>
      <c r="F1825" s="3" t="s">
        <v>7482</v>
      </c>
    </row>
    <row r="1826" ht="36.0" customHeight="1">
      <c r="A1826" s="2" t="s">
        <v>7483</v>
      </c>
      <c r="B1826" s="2" t="s">
        <v>7075</v>
      </c>
      <c r="C1826" s="2" t="s">
        <v>7484</v>
      </c>
      <c r="D1826" s="2" t="s">
        <v>7485</v>
      </c>
      <c r="E1826" s="2" t="s">
        <v>52</v>
      </c>
      <c r="F1826" s="2" t="s">
        <v>7486</v>
      </c>
    </row>
    <row r="1827" ht="36.0" customHeight="1">
      <c r="A1827" s="3" t="s">
        <v>7487</v>
      </c>
      <c r="B1827" s="3" t="s">
        <v>7075</v>
      </c>
      <c r="C1827" s="3" t="s">
        <v>7488</v>
      </c>
      <c r="D1827" s="3" t="s">
        <v>7489</v>
      </c>
      <c r="E1827" s="3" t="s">
        <v>2583</v>
      </c>
      <c r="F1827" s="3" t="s">
        <v>7490</v>
      </c>
    </row>
    <row r="1828" ht="36.0" customHeight="1">
      <c r="A1828" s="2" t="s">
        <v>7491</v>
      </c>
      <c r="B1828" s="2" t="s">
        <v>7075</v>
      </c>
      <c r="C1828" s="2" t="s">
        <v>7492</v>
      </c>
      <c r="D1828" s="2" t="s">
        <v>7493</v>
      </c>
      <c r="E1828" s="2" t="s">
        <v>3473</v>
      </c>
      <c r="F1828" s="2" t="s">
        <v>7494</v>
      </c>
    </row>
    <row r="1829" ht="36.0" customHeight="1">
      <c r="A1829" s="3" t="s">
        <v>7495</v>
      </c>
      <c r="B1829" s="3" t="s">
        <v>7075</v>
      </c>
      <c r="C1829" s="3" t="s">
        <v>7496</v>
      </c>
      <c r="D1829" s="3" t="s">
        <v>7497</v>
      </c>
      <c r="E1829" s="3" t="s">
        <v>2010</v>
      </c>
      <c r="F1829" s="3" t="s">
        <v>7498</v>
      </c>
    </row>
    <row r="1830" ht="36.0" customHeight="1">
      <c r="A1830" s="2" t="s">
        <v>7499</v>
      </c>
      <c r="B1830" s="2" t="s">
        <v>7075</v>
      </c>
      <c r="C1830" s="2" t="s">
        <v>7500</v>
      </c>
      <c r="D1830" s="2" t="s">
        <v>7501</v>
      </c>
      <c r="E1830" s="2" t="s">
        <v>2010</v>
      </c>
      <c r="F1830" s="2" t="s">
        <v>7502</v>
      </c>
    </row>
    <row r="1831" ht="36.0" customHeight="1">
      <c r="A1831" s="3" t="s">
        <v>7503</v>
      </c>
      <c r="B1831" s="3" t="s">
        <v>7075</v>
      </c>
      <c r="C1831" s="3" t="s">
        <v>7504</v>
      </c>
      <c r="D1831" s="3" t="s">
        <v>7505</v>
      </c>
      <c r="E1831" s="3" t="s">
        <v>2010</v>
      </c>
      <c r="F1831" s="3" t="s">
        <v>7506</v>
      </c>
    </row>
    <row r="1832" ht="36.0" customHeight="1">
      <c r="A1832" s="2" t="s">
        <v>7507</v>
      </c>
      <c r="B1832" s="2" t="s">
        <v>7075</v>
      </c>
      <c r="C1832" s="2" t="s">
        <v>7508</v>
      </c>
      <c r="D1832" s="2" t="s">
        <v>7509</v>
      </c>
      <c r="E1832" s="2" t="s">
        <v>7510</v>
      </c>
      <c r="F1832" s="2" t="s">
        <v>7511</v>
      </c>
    </row>
    <row r="1833" ht="36.0" customHeight="1">
      <c r="A1833" s="3" t="s">
        <v>7512</v>
      </c>
      <c r="B1833" s="3" t="s">
        <v>7075</v>
      </c>
      <c r="C1833" s="3" t="s">
        <v>7513</v>
      </c>
      <c r="D1833" s="3" t="s">
        <v>7514</v>
      </c>
      <c r="E1833" s="3" t="s">
        <v>2855</v>
      </c>
      <c r="F1833" s="3" t="s">
        <v>7515</v>
      </c>
    </row>
    <row r="1834" ht="36.0" customHeight="1">
      <c r="A1834" s="2" t="s">
        <v>7516</v>
      </c>
      <c r="B1834" s="2" t="s">
        <v>7517</v>
      </c>
      <c r="C1834" s="2" t="s">
        <v>7518</v>
      </c>
      <c r="D1834" s="2" t="s">
        <v>7519</v>
      </c>
      <c r="E1834" s="2" t="s">
        <v>430</v>
      </c>
      <c r="F1834" s="2" t="s">
        <v>7520</v>
      </c>
    </row>
    <row r="1835" ht="36.0" customHeight="1">
      <c r="A1835" s="3" t="s">
        <v>7521</v>
      </c>
      <c r="B1835" s="3" t="s">
        <v>7517</v>
      </c>
      <c r="C1835" s="3" t="s">
        <v>7522</v>
      </c>
      <c r="D1835" s="3" t="s">
        <v>7523</v>
      </c>
      <c r="E1835" s="3" t="s">
        <v>430</v>
      </c>
      <c r="F1835" s="3" t="s">
        <v>7524</v>
      </c>
    </row>
    <row r="1836" ht="36.0" customHeight="1">
      <c r="A1836" s="2" t="s">
        <v>7525</v>
      </c>
      <c r="B1836" s="2" t="s">
        <v>7517</v>
      </c>
      <c r="C1836" s="2" t="s">
        <v>7526</v>
      </c>
      <c r="D1836" s="2" t="s">
        <v>7527</v>
      </c>
      <c r="E1836" s="2" t="s">
        <v>430</v>
      </c>
      <c r="F1836" s="2" t="s">
        <v>7528</v>
      </c>
    </row>
    <row r="1837" ht="36.0" customHeight="1">
      <c r="A1837" s="3" t="s">
        <v>7529</v>
      </c>
      <c r="B1837" s="3" t="s">
        <v>7517</v>
      </c>
      <c r="C1837" s="3" t="s">
        <v>7530</v>
      </c>
      <c r="D1837" s="3" t="s">
        <v>7531</v>
      </c>
      <c r="E1837" s="3" t="s">
        <v>430</v>
      </c>
      <c r="F1837" s="3" t="s">
        <v>7532</v>
      </c>
    </row>
    <row r="1838" ht="36.0" customHeight="1">
      <c r="A1838" s="2" t="s">
        <v>7533</v>
      </c>
      <c r="B1838" s="2" t="s">
        <v>7517</v>
      </c>
      <c r="C1838" s="2" t="s">
        <v>7534</v>
      </c>
      <c r="D1838" s="2" t="s">
        <v>7535</v>
      </c>
      <c r="E1838" s="2" t="s">
        <v>430</v>
      </c>
      <c r="F1838" s="2" t="s">
        <v>7536</v>
      </c>
    </row>
    <row r="1839" ht="36.0" customHeight="1">
      <c r="A1839" s="3" t="s">
        <v>7537</v>
      </c>
      <c r="B1839" s="3" t="s">
        <v>7517</v>
      </c>
      <c r="C1839" s="3" t="s">
        <v>7538</v>
      </c>
      <c r="D1839" s="3" t="s">
        <v>7539</v>
      </c>
      <c r="E1839" s="3" t="s">
        <v>430</v>
      </c>
      <c r="F1839" s="3" t="s">
        <v>7540</v>
      </c>
    </row>
    <row r="1840" ht="36.0" customHeight="1">
      <c r="A1840" s="2" t="s">
        <v>7541</v>
      </c>
      <c r="B1840" s="2" t="s">
        <v>7517</v>
      </c>
      <c r="C1840" s="2" t="s">
        <v>7542</v>
      </c>
      <c r="D1840" s="2" t="s">
        <v>7543</v>
      </c>
      <c r="E1840" s="2" t="s">
        <v>5909</v>
      </c>
      <c r="F1840" s="2" t="s">
        <v>7544</v>
      </c>
    </row>
    <row r="1841" ht="36.0" customHeight="1">
      <c r="A1841" s="3" t="s">
        <v>7545</v>
      </c>
      <c r="B1841" s="3" t="s">
        <v>7517</v>
      </c>
      <c r="C1841" s="3" t="s">
        <v>7546</v>
      </c>
      <c r="D1841" s="3" t="s">
        <v>7547</v>
      </c>
      <c r="E1841" s="3" t="s">
        <v>5909</v>
      </c>
      <c r="F1841" s="3" t="s">
        <v>7548</v>
      </c>
    </row>
    <row r="1842" ht="36.0" customHeight="1">
      <c r="A1842" s="2" t="s">
        <v>7549</v>
      </c>
      <c r="B1842" s="2" t="s">
        <v>7517</v>
      </c>
      <c r="C1842" s="2" t="s">
        <v>7550</v>
      </c>
      <c r="D1842" s="2" t="s">
        <v>7551</v>
      </c>
      <c r="E1842" s="2" t="s">
        <v>5909</v>
      </c>
      <c r="F1842" s="2" t="s">
        <v>7552</v>
      </c>
    </row>
    <row r="1843" ht="36.0" customHeight="1">
      <c r="A1843" s="3" t="s">
        <v>7553</v>
      </c>
      <c r="B1843" s="3" t="s">
        <v>7517</v>
      </c>
      <c r="C1843" s="3" t="s">
        <v>7554</v>
      </c>
      <c r="D1843" s="3" t="s">
        <v>7555</v>
      </c>
      <c r="E1843" s="3" t="s">
        <v>2583</v>
      </c>
      <c r="F1843" s="3" t="s">
        <v>7556</v>
      </c>
    </row>
    <row r="1844" ht="36.0" customHeight="1">
      <c r="A1844" s="2" t="s">
        <v>7557</v>
      </c>
      <c r="B1844" s="2" t="s">
        <v>7517</v>
      </c>
      <c r="C1844" s="2" t="s">
        <v>7558</v>
      </c>
      <c r="D1844" s="2" t="s">
        <v>7559</v>
      </c>
      <c r="E1844" s="2" t="s">
        <v>2583</v>
      </c>
      <c r="F1844" s="2" t="s">
        <v>7560</v>
      </c>
    </row>
    <row r="1845" ht="36.0" customHeight="1">
      <c r="A1845" s="3" t="s">
        <v>7561</v>
      </c>
      <c r="B1845" s="3" t="s">
        <v>7517</v>
      </c>
      <c r="C1845" s="3" t="s">
        <v>7562</v>
      </c>
      <c r="D1845" s="3" t="s">
        <v>7563</v>
      </c>
      <c r="E1845" s="3" t="s">
        <v>1102</v>
      </c>
      <c r="F1845" s="3" t="s">
        <v>7564</v>
      </c>
    </row>
    <row r="1846" ht="36.0" customHeight="1">
      <c r="A1846" s="2" t="s">
        <v>7565</v>
      </c>
      <c r="B1846" s="2" t="s">
        <v>7517</v>
      </c>
      <c r="C1846" s="2" t="s">
        <v>7566</v>
      </c>
      <c r="D1846" s="2" t="s">
        <v>7567</v>
      </c>
      <c r="E1846" s="2" t="s">
        <v>229</v>
      </c>
      <c r="F1846" s="2" t="s">
        <v>7568</v>
      </c>
    </row>
    <row r="1847" ht="36.0" customHeight="1">
      <c r="A1847" s="3" t="s">
        <v>7569</v>
      </c>
      <c r="B1847" s="3" t="s">
        <v>7517</v>
      </c>
      <c r="C1847" s="3" t="s">
        <v>7570</v>
      </c>
      <c r="D1847" s="3" t="s">
        <v>7571</v>
      </c>
      <c r="E1847" s="3" t="s">
        <v>229</v>
      </c>
      <c r="F1847" s="3" t="s">
        <v>7572</v>
      </c>
    </row>
    <row r="1848" ht="36.0" customHeight="1">
      <c r="A1848" s="2" t="s">
        <v>7573</v>
      </c>
      <c r="B1848" s="2" t="s">
        <v>7517</v>
      </c>
      <c r="C1848" s="2" t="s">
        <v>7574</v>
      </c>
      <c r="D1848" s="2" t="s">
        <v>7575</v>
      </c>
      <c r="E1848" s="2" t="s">
        <v>229</v>
      </c>
      <c r="F1848" s="2" t="s">
        <v>7576</v>
      </c>
    </row>
    <row r="1849" ht="36.0" customHeight="1">
      <c r="A1849" s="3" t="s">
        <v>7577</v>
      </c>
      <c r="B1849" s="3" t="s">
        <v>7517</v>
      </c>
      <c r="C1849" s="3" t="s">
        <v>7578</v>
      </c>
      <c r="D1849" s="3" t="s">
        <v>7579</v>
      </c>
      <c r="E1849" s="3" t="s">
        <v>229</v>
      </c>
      <c r="F1849" s="3" t="s">
        <v>7580</v>
      </c>
    </row>
    <row r="1850" ht="36.0" customHeight="1">
      <c r="A1850" s="2" t="s">
        <v>7581</v>
      </c>
      <c r="B1850" s="2" t="s">
        <v>7517</v>
      </c>
      <c r="C1850" s="2" t="s">
        <v>7582</v>
      </c>
      <c r="D1850" s="2" t="s">
        <v>7583</v>
      </c>
      <c r="E1850" s="2" t="s">
        <v>96</v>
      </c>
      <c r="F1850" s="2" t="s">
        <v>7584</v>
      </c>
    </row>
    <row r="1851" ht="36.0" customHeight="1">
      <c r="A1851" s="3" t="s">
        <v>7585</v>
      </c>
      <c r="B1851" s="3" t="s">
        <v>7517</v>
      </c>
      <c r="C1851" s="3" t="s">
        <v>7586</v>
      </c>
      <c r="D1851" s="3" t="s">
        <v>7587</v>
      </c>
      <c r="E1851" s="3" t="s">
        <v>110</v>
      </c>
      <c r="F1851" s="3" t="s">
        <v>7588</v>
      </c>
    </row>
    <row r="1852" ht="36.0" customHeight="1">
      <c r="A1852" s="2" t="s">
        <v>7589</v>
      </c>
      <c r="B1852" s="2" t="s">
        <v>7517</v>
      </c>
      <c r="C1852" s="2" t="s">
        <v>7590</v>
      </c>
      <c r="D1852" s="2" t="s">
        <v>7591</v>
      </c>
      <c r="E1852" s="2" t="s">
        <v>110</v>
      </c>
      <c r="F1852" s="2" t="s">
        <v>7592</v>
      </c>
    </row>
    <row r="1853" ht="36.0" customHeight="1">
      <c r="A1853" s="3" t="s">
        <v>7593</v>
      </c>
      <c r="B1853" s="3" t="s">
        <v>7517</v>
      </c>
      <c r="C1853" s="3" t="s">
        <v>7594</v>
      </c>
      <c r="D1853" s="3" t="s">
        <v>7595</v>
      </c>
      <c r="E1853" s="3" t="s">
        <v>7596</v>
      </c>
      <c r="F1853" s="3" t="s">
        <v>7597</v>
      </c>
    </row>
    <row r="1854" ht="36.0" customHeight="1">
      <c r="A1854" s="2" t="s">
        <v>7598</v>
      </c>
      <c r="B1854" s="2" t="s">
        <v>7517</v>
      </c>
      <c r="C1854" s="2" t="s">
        <v>7599</v>
      </c>
      <c r="D1854" s="2" t="s">
        <v>7600</v>
      </c>
      <c r="E1854" s="2" t="s">
        <v>5909</v>
      </c>
      <c r="F1854" s="2" t="s">
        <v>7601</v>
      </c>
    </row>
    <row r="1855" ht="36.0" customHeight="1">
      <c r="A1855" s="3" t="s">
        <v>7602</v>
      </c>
      <c r="B1855" s="3" t="s">
        <v>7517</v>
      </c>
      <c r="C1855" s="3" t="s">
        <v>7603</v>
      </c>
      <c r="D1855" s="3" t="s">
        <v>7604</v>
      </c>
      <c r="E1855" s="3" t="s">
        <v>267</v>
      </c>
      <c r="F1855" s="3" t="s">
        <v>7605</v>
      </c>
    </row>
    <row r="1856" ht="36.0" customHeight="1">
      <c r="A1856" s="2" t="s">
        <v>7606</v>
      </c>
      <c r="B1856" s="2" t="s">
        <v>7517</v>
      </c>
      <c r="C1856" s="2" t="s">
        <v>7607</v>
      </c>
      <c r="D1856" s="2" t="s">
        <v>7608</v>
      </c>
      <c r="E1856" s="2" t="s">
        <v>267</v>
      </c>
      <c r="F1856" s="2" t="s">
        <v>7609</v>
      </c>
    </row>
    <row r="1857" ht="36.0" customHeight="1">
      <c r="A1857" s="3" t="s">
        <v>7610</v>
      </c>
      <c r="B1857" s="3" t="s">
        <v>7517</v>
      </c>
      <c r="C1857" s="3" t="s">
        <v>7611</v>
      </c>
      <c r="D1857" s="3" t="s">
        <v>7612</v>
      </c>
      <c r="E1857" s="3" t="s">
        <v>267</v>
      </c>
      <c r="F1857" s="3" t="s">
        <v>7613</v>
      </c>
    </row>
    <row r="1858" ht="36.0" customHeight="1">
      <c r="A1858" s="2" t="s">
        <v>7614</v>
      </c>
      <c r="B1858" s="2" t="s">
        <v>7517</v>
      </c>
      <c r="C1858" s="2" t="s">
        <v>7615</v>
      </c>
      <c r="D1858" s="2" t="s">
        <v>7616</v>
      </c>
      <c r="E1858" s="2" t="s">
        <v>110</v>
      </c>
      <c r="F1858" s="2" t="s">
        <v>7617</v>
      </c>
    </row>
    <row r="1859" ht="36.0" customHeight="1">
      <c r="A1859" s="3" t="s">
        <v>7618</v>
      </c>
      <c r="B1859" s="3" t="s">
        <v>7517</v>
      </c>
      <c r="C1859" s="3" t="s">
        <v>7619</v>
      </c>
      <c r="D1859" s="3" t="s">
        <v>7620</v>
      </c>
      <c r="E1859" s="3" t="s">
        <v>110</v>
      </c>
      <c r="F1859" s="3" t="s">
        <v>7621</v>
      </c>
    </row>
    <row r="1860" ht="36.0" customHeight="1">
      <c r="A1860" s="2" t="s">
        <v>7622</v>
      </c>
      <c r="B1860" s="2" t="s">
        <v>7517</v>
      </c>
      <c r="C1860" s="2" t="s">
        <v>7623</v>
      </c>
      <c r="D1860" s="2" t="s">
        <v>7624</v>
      </c>
      <c r="E1860" s="2" t="s">
        <v>1458</v>
      </c>
      <c r="F1860" s="2" t="s">
        <v>7625</v>
      </c>
    </row>
    <row r="1861" ht="36.0" customHeight="1">
      <c r="A1861" s="3" t="s">
        <v>7626</v>
      </c>
      <c r="B1861" s="3" t="s">
        <v>7517</v>
      </c>
      <c r="C1861" s="3" t="s">
        <v>7627</v>
      </c>
      <c r="D1861" s="3" t="s">
        <v>7628</v>
      </c>
      <c r="E1861" s="3" t="s">
        <v>1458</v>
      </c>
      <c r="F1861" s="3" t="s">
        <v>7629</v>
      </c>
    </row>
    <row r="1862" ht="36.0" customHeight="1">
      <c r="A1862" s="2" t="s">
        <v>7630</v>
      </c>
      <c r="B1862" s="2" t="s">
        <v>7517</v>
      </c>
      <c r="C1862" s="2" t="s">
        <v>7631</v>
      </c>
      <c r="D1862" s="2" t="s">
        <v>7632</v>
      </c>
      <c r="E1862" s="2" t="s">
        <v>5909</v>
      </c>
      <c r="F1862" s="2" t="s">
        <v>7633</v>
      </c>
    </row>
    <row r="1863" ht="36.0" customHeight="1">
      <c r="A1863" s="3" t="s">
        <v>7634</v>
      </c>
      <c r="B1863" s="3" t="s">
        <v>7517</v>
      </c>
      <c r="C1863" s="3" t="s">
        <v>7635</v>
      </c>
      <c r="D1863" s="3" t="s">
        <v>7636</v>
      </c>
      <c r="E1863" s="3" t="s">
        <v>5909</v>
      </c>
      <c r="F1863" s="3" t="s">
        <v>7637</v>
      </c>
    </row>
    <row r="1864" ht="36.0" customHeight="1">
      <c r="A1864" s="2" t="s">
        <v>7638</v>
      </c>
      <c r="B1864" s="2" t="s">
        <v>7517</v>
      </c>
      <c r="C1864" s="2" t="s">
        <v>7639</v>
      </c>
      <c r="D1864" s="2" t="s">
        <v>7640</v>
      </c>
      <c r="E1864" s="2" t="s">
        <v>435</v>
      </c>
      <c r="F1864" s="2" t="s">
        <v>7641</v>
      </c>
    </row>
    <row r="1865" ht="36.0" customHeight="1">
      <c r="A1865" s="3" t="s">
        <v>7642</v>
      </c>
      <c r="B1865" s="3" t="s">
        <v>7517</v>
      </c>
      <c r="C1865" s="3" t="s">
        <v>7643</v>
      </c>
      <c r="D1865" s="3" t="s">
        <v>7644</v>
      </c>
      <c r="E1865" s="3" t="s">
        <v>3207</v>
      </c>
      <c r="F1865" s="3" t="s">
        <v>7645</v>
      </c>
    </row>
    <row r="1866" ht="36.0" customHeight="1">
      <c r="A1866" s="2" t="s">
        <v>7646</v>
      </c>
      <c r="B1866" s="2" t="s">
        <v>7517</v>
      </c>
      <c r="C1866" s="2" t="s">
        <v>7647</v>
      </c>
      <c r="D1866" s="2" t="s">
        <v>7648</v>
      </c>
      <c r="E1866" s="2" t="s">
        <v>1458</v>
      </c>
      <c r="F1866" s="2" t="s">
        <v>7649</v>
      </c>
    </row>
    <row r="1867" ht="36.0" customHeight="1">
      <c r="A1867" s="3" t="s">
        <v>7650</v>
      </c>
      <c r="B1867" s="3" t="s">
        <v>7517</v>
      </c>
      <c r="C1867" s="3" t="s">
        <v>7651</v>
      </c>
      <c r="D1867" s="3" t="s">
        <v>7652</v>
      </c>
      <c r="E1867" s="3" t="s">
        <v>5909</v>
      </c>
      <c r="F1867" s="3" t="s">
        <v>7653</v>
      </c>
    </row>
    <row r="1868" ht="36.0" customHeight="1">
      <c r="A1868" s="2" t="s">
        <v>7654</v>
      </c>
      <c r="B1868" s="2" t="s">
        <v>7517</v>
      </c>
      <c r="C1868" s="2" t="s">
        <v>7655</v>
      </c>
      <c r="D1868" s="2" t="s">
        <v>7656</v>
      </c>
      <c r="E1868" s="2" t="s">
        <v>5909</v>
      </c>
      <c r="F1868" s="2" t="s">
        <v>7657</v>
      </c>
    </row>
    <row r="1869" ht="36.0" customHeight="1">
      <c r="A1869" s="3" t="s">
        <v>7658</v>
      </c>
      <c r="B1869" s="3" t="s">
        <v>7517</v>
      </c>
      <c r="C1869" s="3" t="s">
        <v>7659</v>
      </c>
      <c r="D1869" s="3" t="s">
        <v>7660</v>
      </c>
      <c r="E1869" s="3" t="s">
        <v>5909</v>
      </c>
      <c r="F1869" s="3" t="s">
        <v>7661</v>
      </c>
    </row>
    <row r="1870" ht="36.0" customHeight="1">
      <c r="A1870" s="2" t="s">
        <v>7662</v>
      </c>
      <c r="B1870" s="2" t="s">
        <v>7517</v>
      </c>
      <c r="C1870" s="2" t="s">
        <v>7663</v>
      </c>
      <c r="D1870" s="2" t="s">
        <v>7664</v>
      </c>
      <c r="E1870" s="2" t="s">
        <v>1102</v>
      </c>
      <c r="F1870" s="2" t="s">
        <v>7665</v>
      </c>
    </row>
    <row r="1871" ht="36.0" customHeight="1">
      <c r="A1871" s="3" t="s">
        <v>7666</v>
      </c>
      <c r="B1871" s="3" t="s">
        <v>7517</v>
      </c>
      <c r="C1871" s="3" t="s">
        <v>7667</v>
      </c>
      <c r="D1871" s="3" t="s">
        <v>7668</v>
      </c>
      <c r="E1871" s="3" t="s">
        <v>224</v>
      </c>
      <c r="F1871" s="3" t="s">
        <v>7669</v>
      </c>
    </row>
    <row r="1872" ht="36.0" customHeight="1">
      <c r="A1872" s="2" t="s">
        <v>7670</v>
      </c>
      <c r="B1872" s="2" t="s">
        <v>7517</v>
      </c>
      <c r="C1872" s="2" t="s">
        <v>7671</v>
      </c>
      <c r="D1872" s="2" t="s">
        <v>7672</v>
      </c>
      <c r="E1872" s="2" t="s">
        <v>224</v>
      </c>
      <c r="F1872" s="2" t="s">
        <v>7673</v>
      </c>
    </row>
    <row r="1873" ht="36.0" customHeight="1">
      <c r="A1873" s="3" t="s">
        <v>7674</v>
      </c>
      <c r="B1873" s="3" t="s">
        <v>7517</v>
      </c>
      <c r="C1873" s="3" t="s">
        <v>7675</v>
      </c>
      <c r="D1873" s="3" t="s">
        <v>7676</v>
      </c>
      <c r="E1873" s="3" t="s">
        <v>267</v>
      </c>
      <c r="F1873" s="3" t="s">
        <v>7677</v>
      </c>
    </row>
    <row r="1874" ht="36.0" customHeight="1">
      <c r="A1874" s="2" t="s">
        <v>7678</v>
      </c>
      <c r="B1874" s="2" t="s">
        <v>7517</v>
      </c>
      <c r="C1874" s="2" t="s">
        <v>7679</v>
      </c>
      <c r="D1874" s="2" t="s">
        <v>7680</v>
      </c>
      <c r="E1874" s="2" t="s">
        <v>267</v>
      </c>
      <c r="F1874" s="2" t="s">
        <v>7681</v>
      </c>
    </row>
    <row r="1875" ht="36.0" customHeight="1">
      <c r="A1875" s="3" t="s">
        <v>7682</v>
      </c>
      <c r="B1875" s="3" t="s">
        <v>7517</v>
      </c>
      <c r="C1875" s="3" t="s">
        <v>7683</v>
      </c>
      <c r="D1875" s="3" t="s">
        <v>7684</v>
      </c>
      <c r="E1875" s="3" t="s">
        <v>96</v>
      </c>
      <c r="F1875" s="3" t="s">
        <v>7685</v>
      </c>
    </row>
    <row r="1876" ht="36.0" customHeight="1">
      <c r="A1876" s="2" t="s">
        <v>7686</v>
      </c>
      <c r="B1876" s="2" t="s">
        <v>7517</v>
      </c>
      <c r="C1876" s="2" t="s">
        <v>7687</v>
      </c>
      <c r="D1876" s="2" t="s">
        <v>7688</v>
      </c>
      <c r="E1876" s="2"/>
      <c r="F1876" s="2" t="s">
        <v>7689</v>
      </c>
    </row>
    <row r="1877" ht="36.0" customHeight="1">
      <c r="A1877" s="3" t="s">
        <v>7690</v>
      </c>
      <c r="B1877" s="3" t="s">
        <v>7517</v>
      </c>
      <c r="C1877" s="3" t="s">
        <v>7691</v>
      </c>
      <c r="D1877" s="3" t="s">
        <v>7692</v>
      </c>
      <c r="E1877" s="3" t="s">
        <v>1458</v>
      </c>
      <c r="F1877" s="3" t="s">
        <v>7693</v>
      </c>
    </row>
    <row r="1878" ht="36.0" customHeight="1">
      <c r="A1878" s="2" t="s">
        <v>7694</v>
      </c>
      <c r="B1878" s="2" t="s">
        <v>7517</v>
      </c>
      <c r="C1878" s="2" t="s">
        <v>7695</v>
      </c>
      <c r="D1878" s="2" t="s">
        <v>7696</v>
      </c>
      <c r="E1878" s="2" t="s">
        <v>1855</v>
      </c>
      <c r="F1878" s="2" t="s">
        <v>7697</v>
      </c>
    </row>
    <row r="1879" ht="36.0" customHeight="1">
      <c r="A1879" s="3" t="s">
        <v>7698</v>
      </c>
      <c r="B1879" s="3" t="s">
        <v>7517</v>
      </c>
      <c r="C1879" s="3" t="s">
        <v>7699</v>
      </c>
      <c r="D1879" s="3" t="s">
        <v>7700</v>
      </c>
      <c r="E1879" s="3" t="s">
        <v>1855</v>
      </c>
      <c r="F1879" s="3" t="s">
        <v>7701</v>
      </c>
    </row>
    <row r="1880" ht="36.0" customHeight="1">
      <c r="A1880" s="2" t="s">
        <v>7702</v>
      </c>
      <c r="B1880" s="2" t="s">
        <v>7517</v>
      </c>
      <c r="C1880" s="2" t="s">
        <v>7703</v>
      </c>
      <c r="D1880" s="2" t="s">
        <v>7704</v>
      </c>
      <c r="E1880" s="2" t="s">
        <v>1855</v>
      </c>
      <c r="F1880" s="2" t="s">
        <v>7705</v>
      </c>
    </row>
    <row r="1881" ht="36.0" customHeight="1">
      <c r="A1881" s="3" t="s">
        <v>7706</v>
      </c>
      <c r="B1881" s="3" t="s">
        <v>7517</v>
      </c>
      <c r="C1881" s="3" t="s">
        <v>7707</v>
      </c>
      <c r="D1881" s="3" t="s">
        <v>7708</v>
      </c>
      <c r="E1881" s="3" t="s">
        <v>1855</v>
      </c>
      <c r="F1881" s="3" t="s">
        <v>7709</v>
      </c>
    </row>
    <row r="1882" ht="36.0" customHeight="1">
      <c r="A1882" s="2" t="s">
        <v>7710</v>
      </c>
      <c r="B1882" s="2" t="s">
        <v>7517</v>
      </c>
      <c r="C1882" s="2" t="s">
        <v>7711</v>
      </c>
      <c r="D1882" s="2" t="s">
        <v>7712</v>
      </c>
      <c r="E1882" s="2" t="s">
        <v>1855</v>
      </c>
      <c r="F1882" s="2" t="s">
        <v>7713</v>
      </c>
    </row>
    <row r="1883" ht="36.0" customHeight="1">
      <c r="A1883" s="3" t="s">
        <v>7714</v>
      </c>
      <c r="B1883" s="3" t="s">
        <v>7517</v>
      </c>
      <c r="C1883" s="3" t="s">
        <v>7715</v>
      </c>
      <c r="D1883" s="3" t="s">
        <v>7716</v>
      </c>
      <c r="E1883" s="3" t="s">
        <v>1855</v>
      </c>
      <c r="F1883" s="3" t="s">
        <v>7717</v>
      </c>
    </row>
    <row r="1884" ht="36.0" customHeight="1">
      <c r="A1884" s="2" t="s">
        <v>7718</v>
      </c>
      <c r="B1884" s="2" t="s">
        <v>7517</v>
      </c>
      <c r="C1884" s="2" t="s">
        <v>7719</v>
      </c>
      <c r="D1884" s="2" t="s">
        <v>7720</v>
      </c>
      <c r="E1884" s="2" t="s">
        <v>430</v>
      </c>
      <c r="F1884" s="2" t="s">
        <v>7721</v>
      </c>
    </row>
    <row r="1885" ht="36.0" customHeight="1">
      <c r="A1885" s="3" t="s">
        <v>7722</v>
      </c>
      <c r="B1885" s="3" t="s">
        <v>7517</v>
      </c>
      <c r="C1885" s="3" t="s">
        <v>7723</v>
      </c>
      <c r="D1885" s="3" t="s">
        <v>7724</v>
      </c>
      <c r="E1885" s="3" t="s">
        <v>430</v>
      </c>
      <c r="F1885" s="3" t="s">
        <v>7725</v>
      </c>
    </row>
    <row r="1886" ht="36.0" customHeight="1">
      <c r="A1886" s="2" t="s">
        <v>7726</v>
      </c>
      <c r="B1886" s="2" t="s">
        <v>7517</v>
      </c>
      <c r="C1886" s="2" t="s">
        <v>7727</v>
      </c>
      <c r="D1886" s="2" t="s">
        <v>7728</v>
      </c>
      <c r="E1886" s="2" t="s">
        <v>430</v>
      </c>
      <c r="F1886" s="2" t="s">
        <v>7729</v>
      </c>
    </row>
    <row r="1887" ht="36.0" customHeight="1">
      <c r="A1887" s="3" t="s">
        <v>7730</v>
      </c>
      <c r="B1887" s="3" t="s">
        <v>7517</v>
      </c>
      <c r="C1887" s="3" t="s">
        <v>7731</v>
      </c>
      <c r="D1887" s="3" t="s">
        <v>7732</v>
      </c>
      <c r="E1887" s="3" t="s">
        <v>937</v>
      </c>
      <c r="F1887" s="3" t="s">
        <v>7733</v>
      </c>
    </row>
    <row r="1888" ht="36.0" customHeight="1">
      <c r="A1888" s="2" t="s">
        <v>7734</v>
      </c>
      <c r="B1888" s="2" t="s">
        <v>7517</v>
      </c>
      <c r="C1888" s="2" t="s">
        <v>7735</v>
      </c>
      <c r="D1888" s="2" t="s">
        <v>7736</v>
      </c>
      <c r="E1888" s="2" t="s">
        <v>52</v>
      </c>
      <c r="F1888" s="2" t="s">
        <v>7737</v>
      </c>
    </row>
    <row r="1889" ht="36.0" customHeight="1">
      <c r="A1889" s="3" t="s">
        <v>7738</v>
      </c>
      <c r="B1889" s="3" t="s">
        <v>7517</v>
      </c>
      <c r="C1889" s="3" t="s">
        <v>7739</v>
      </c>
      <c r="D1889" s="3" t="s">
        <v>7740</v>
      </c>
      <c r="E1889" s="3" t="s">
        <v>229</v>
      </c>
      <c r="F1889" s="3" t="s">
        <v>7741</v>
      </c>
    </row>
    <row r="1890" ht="36.0" customHeight="1">
      <c r="A1890" s="2" t="s">
        <v>7742</v>
      </c>
      <c r="B1890" s="2" t="s">
        <v>7517</v>
      </c>
      <c r="C1890" s="2" t="s">
        <v>7743</v>
      </c>
      <c r="D1890" s="2" t="s">
        <v>7744</v>
      </c>
      <c r="E1890" s="2" t="s">
        <v>229</v>
      </c>
      <c r="F1890" s="2" t="s">
        <v>7745</v>
      </c>
    </row>
    <row r="1891" ht="36.0" customHeight="1">
      <c r="A1891" s="3" t="s">
        <v>7746</v>
      </c>
      <c r="B1891" s="3" t="s">
        <v>7517</v>
      </c>
      <c r="C1891" s="3" t="s">
        <v>7747</v>
      </c>
      <c r="D1891" s="3" t="s">
        <v>7748</v>
      </c>
      <c r="E1891" s="3" t="s">
        <v>229</v>
      </c>
      <c r="F1891" s="3" t="s">
        <v>7749</v>
      </c>
    </row>
    <row r="1892" ht="36.0" customHeight="1">
      <c r="A1892" s="2" t="s">
        <v>7750</v>
      </c>
      <c r="B1892" s="2" t="s">
        <v>7517</v>
      </c>
      <c r="C1892" s="2" t="s">
        <v>7751</v>
      </c>
      <c r="D1892" s="2" t="s">
        <v>7752</v>
      </c>
      <c r="E1892" s="2" t="s">
        <v>1583</v>
      </c>
      <c r="F1892" s="2" t="s">
        <v>7753</v>
      </c>
    </row>
    <row r="1893" ht="36.0" customHeight="1">
      <c r="A1893" s="3" t="s">
        <v>7754</v>
      </c>
      <c r="B1893" s="3" t="s">
        <v>7517</v>
      </c>
      <c r="C1893" s="3" t="s">
        <v>7755</v>
      </c>
      <c r="D1893" s="3" t="s">
        <v>7756</v>
      </c>
      <c r="E1893" s="3" t="s">
        <v>1583</v>
      </c>
      <c r="F1893" s="3" t="s">
        <v>7757</v>
      </c>
    </row>
    <row r="1894" ht="36.0" customHeight="1">
      <c r="A1894" s="2" t="s">
        <v>7758</v>
      </c>
      <c r="B1894" s="2" t="s">
        <v>7517</v>
      </c>
      <c r="C1894" s="2" t="s">
        <v>7759</v>
      </c>
      <c r="D1894" s="2" t="s">
        <v>7760</v>
      </c>
      <c r="E1894" s="2" t="s">
        <v>7761</v>
      </c>
      <c r="F1894" s="2" t="s">
        <v>7762</v>
      </c>
    </row>
    <row r="1895" ht="36.0" customHeight="1">
      <c r="A1895" s="3" t="s">
        <v>7763</v>
      </c>
      <c r="B1895" s="3" t="s">
        <v>7517</v>
      </c>
      <c r="C1895" s="3" t="s">
        <v>7764</v>
      </c>
      <c r="D1895" s="3" t="s">
        <v>7765</v>
      </c>
      <c r="E1895" s="3" t="s">
        <v>5909</v>
      </c>
      <c r="F1895" s="3" t="s">
        <v>7766</v>
      </c>
    </row>
    <row r="1896" ht="36.0" customHeight="1">
      <c r="A1896" s="2" t="s">
        <v>7767</v>
      </c>
      <c r="B1896" s="2" t="s">
        <v>7517</v>
      </c>
      <c r="C1896" s="2" t="s">
        <v>7768</v>
      </c>
      <c r="D1896" s="2" t="s">
        <v>7769</v>
      </c>
      <c r="E1896" s="2" t="s">
        <v>5909</v>
      </c>
      <c r="F1896" s="2" t="s">
        <v>7770</v>
      </c>
    </row>
    <row r="1897" ht="36.0" customHeight="1">
      <c r="A1897" s="3" t="s">
        <v>7771</v>
      </c>
      <c r="B1897" s="3" t="s">
        <v>7517</v>
      </c>
      <c r="C1897" s="3" t="s">
        <v>7772</v>
      </c>
      <c r="D1897" s="3" t="s">
        <v>7773</v>
      </c>
      <c r="E1897" s="3" t="s">
        <v>62</v>
      </c>
      <c r="F1897" s="3" t="s">
        <v>7774</v>
      </c>
    </row>
    <row r="1898" ht="36.0" customHeight="1">
      <c r="A1898" s="2" t="s">
        <v>7775</v>
      </c>
      <c r="B1898" s="2" t="s">
        <v>7517</v>
      </c>
      <c r="C1898" s="2" t="s">
        <v>7776</v>
      </c>
      <c r="D1898" s="2" t="s">
        <v>7777</v>
      </c>
      <c r="E1898" s="2" t="s">
        <v>62</v>
      </c>
      <c r="F1898" s="2" t="s">
        <v>7778</v>
      </c>
    </row>
    <row r="1899" ht="36.0" customHeight="1">
      <c r="A1899" s="3" t="s">
        <v>7779</v>
      </c>
      <c r="B1899" s="3" t="s">
        <v>7517</v>
      </c>
      <c r="C1899" s="3" t="s">
        <v>7780</v>
      </c>
      <c r="D1899" s="3" t="s">
        <v>7781</v>
      </c>
      <c r="E1899" s="3" t="s">
        <v>62</v>
      </c>
      <c r="F1899" s="3" t="s">
        <v>7782</v>
      </c>
    </row>
    <row r="1900" ht="36.0" customHeight="1">
      <c r="A1900" s="2" t="s">
        <v>7783</v>
      </c>
      <c r="B1900" s="2" t="s">
        <v>7517</v>
      </c>
      <c r="C1900" s="2" t="s">
        <v>7784</v>
      </c>
      <c r="D1900" s="2" t="s">
        <v>7785</v>
      </c>
      <c r="E1900" s="2" t="s">
        <v>1102</v>
      </c>
      <c r="F1900" s="2" t="s">
        <v>7786</v>
      </c>
    </row>
    <row r="1901" ht="36.0" customHeight="1">
      <c r="A1901" s="3" t="s">
        <v>7787</v>
      </c>
      <c r="B1901" s="3" t="s">
        <v>7517</v>
      </c>
      <c r="C1901" s="3" t="s">
        <v>7788</v>
      </c>
      <c r="D1901" s="3" t="s">
        <v>7789</v>
      </c>
      <c r="E1901" s="3" t="s">
        <v>1102</v>
      </c>
      <c r="F1901" s="3" t="s">
        <v>7790</v>
      </c>
    </row>
    <row r="1902" ht="36.0" customHeight="1">
      <c r="A1902" s="2" t="s">
        <v>7791</v>
      </c>
      <c r="B1902" s="2" t="s">
        <v>7517</v>
      </c>
      <c r="C1902" s="2" t="s">
        <v>7792</v>
      </c>
      <c r="D1902" s="2" t="s">
        <v>7793</v>
      </c>
      <c r="E1902" s="2" t="s">
        <v>1102</v>
      </c>
      <c r="F1902" s="2" t="s">
        <v>7794</v>
      </c>
    </row>
    <row r="1903" ht="36.0" customHeight="1">
      <c r="A1903" s="3" t="s">
        <v>7795</v>
      </c>
      <c r="B1903" s="3" t="s">
        <v>7517</v>
      </c>
      <c r="C1903" s="3" t="s">
        <v>7796</v>
      </c>
      <c r="D1903" s="3" t="s">
        <v>7797</v>
      </c>
      <c r="E1903" s="3" t="s">
        <v>1102</v>
      </c>
      <c r="F1903" s="3" t="s">
        <v>7798</v>
      </c>
    </row>
    <row r="1904" ht="36.0" customHeight="1">
      <c r="A1904" s="2" t="s">
        <v>7799</v>
      </c>
      <c r="B1904" s="2" t="s">
        <v>7517</v>
      </c>
      <c r="C1904" s="2" t="s">
        <v>7800</v>
      </c>
      <c r="D1904" s="2" t="s">
        <v>7801</v>
      </c>
      <c r="E1904" s="2" t="s">
        <v>3332</v>
      </c>
      <c r="F1904" s="2" t="s">
        <v>7802</v>
      </c>
    </row>
    <row r="1905" ht="36.0" customHeight="1">
      <c r="A1905" s="3" t="s">
        <v>7803</v>
      </c>
      <c r="B1905" s="3" t="s">
        <v>7517</v>
      </c>
      <c r="C1905" s="3" t="s">
        <v>7804</v>
      </c>
      <c r="D1905" s="3" t="s">
        <v>7805</v>
      </c>
      <c r="E1905" s="3" t="s">
        <v>96</v>
      </c>
      <c r="F1905" s="3" t="s">
        <v>7806</v>
      </c>
    </row>
    <row r="1906" ht="36.0" customHeight="1">
      <c r="A1906" s="2" t="s">
        <v>7807</v>
      </c>
      <c r="B1906" s="2" t="s">
        <v>7517</v>
      </c>
      <c r="C1906" s="2" t="s">
        <v>7808</v>
      </c>
      <c r="D1906" s="2" t="s">
        <v>7809</v>
      </c>
      <c r="E1906" s="2" t="s">
        <v>96</v>
      </c>
      <c r="F1906" s="2" t="s">
        <v>7810</v>
      </c>
    </row>
    <row r="1907" ht="36.0" customHeight="1">
      <c r="A1907" s="3" t="s">
        <v>7811</v>
      </c>
      <c r="B1907" s="3" t="s">
        <v>7517</v>
      </c>
      <c r="C1907" s="3" t="s">
        <v>7812</v>
      </c>
      <c r="D1907" s="3" t="s">
        <v>7813</v>
      </c>
      <c r="E1907" s="3" t="s">
        <v>101</v>
      </c>
      <c r="F1907" s="3" t="s">
        <v>7814</v>
      </c>
    </row>
    <row r="1908" ht="36.0" customHeight="1">
      <c r="A1908" s="2" t="s">
        <v>7815</v>
      </c>
      <c r="B1908" s="2" t="s">
        <v>7517</v>
      </c>
      <c r="C1908" s="2" t="s">
        <v>7816</v>
      </c>
      <c r="D1908" s="2" t="s">
        <v>7817</v>
      </c>
      <c r="E1908" s="2" t="s">
        <v>96</v>
      </c>
      <c r="F1908" s="2" t="s">
        <v>7818</v>
      </c>
    </row>
    <row r="1909" ht="36.0" customHeight="1">
      <c r="A1909" s="3" t="s">
        <v>7819</v>
      </c>
      <c r="B1909" s="3" t="s">
        <v>7517</v>
      </c>
      <c r="C1909" s="3" t="s">
        <v>7820</v>
      </c>
      <c r="D1909" s="3" t="s">
        <v>7821</v>
      </c>
      <c r="E1909" s="3" t="s">
        <v>101</v>
      </c>
      <c r="F1909" s="3" t="s">
        <v>7822</v>
      </c>
    </row>
    <row r="1910" ht="36.0" customHeight="1">
      <c r="A1910" s="2" t="s">
        <v>7823</v>
      </c>
      <c r="B1910" s="2" t="s">
        <v>7517</v>
      </c>
      <c r="C1910" s="2" t="s">
        <v>7824</v>
      </c>
      <c r="D1910" s="2" t="s">
        <v>7825</v>
      </c>
      <c r="E1910" s="2" t="s">
        <v>110</v>
      </c>
      <c r="F1910" s="2" t="s">
        <v>7826</v>
      </c>
    </row>
    <row r="1911" ht="36.0" customHeight="1">
      <c r="A1911" s="3" t="s">
        <v>7827</v>
      </c>
      <c r="B1911" s="3" t="s">
        <v>7517</v>
      </c>
      <c r="C1911" s="3" t="s">
        <v>7828</v>
      </c>
      <c r="D1911" s="3" t="s">
        <v>7829</v>
      </c>
      <c r="E1911" s="3" t="s">
        <v>110</v>
      </c>
      <c r="F1911" s="3" t="s">
        <v>7830</v>
      </c>
    </row>
    <row r="1912" ht="36.0" customHeight="1">
      <c r="A1912" s="2" t="s">
        <v>7831</v>
      </c>
      <c r="B1912" s="2" t="s">
        <v>7517</v>
      </c>
      <c r="C1912" s="2" t="s">
        <v>7832</v>
      </c>
      <c r="D1912" s="2" t="s">
        <v>7833</v>
      </c>
      <c r="E1912" s="2" t="s">
        <v>1250</v>
      </c>
      <c r="F1912" s="2" t="s">
        <v>7834</v>
      </c>
    </row>
    <row r="1913" ht="36.0" customHeight="1">
      <c r="A1913" s="3" t="s">
        <v>7835</v>
      </c>
      <c r="B1913" s="3" t="s">
        <v>7517</v>
      </c>
      <c r="C1913" s="3" t="s">
        <v>7836</v>
      </c>
      <c r="D1913" s="3" t="s">
        <v>7837</v>
      </c>
      <c r="E1913" s="3" t="s">
        <v>101</v>
      </c>
      <c r="F1913" s="3" t="s">
        <v>7838</v>
      </c>
    </row>
    <row r="1914" ht="36.0" customHeight="1">
      <c r="A1914" s="2" t="s">
        <v>7839</v>
      </c>
      <c r="B1914" s="2" t="s">
        <v>7517</v>
      </c>
      <c r="C1914" s="2" t="s">
        <v>7840</v>
      </c>
      <c r="D1914" s="2" t="s">
        <v>7841</v>
      </c>
      <c r="E1914" s="2" t="s">
        <v>110</v>
      </c>
      <c r="F1914" s="2" t="s">
        <v>7842</v>
      </c>
    </row>
    <row r="1915" ht="36.0" customHeight="1">
      <c r="A1915" s="3" t="s">
        <v>7843</v>
      </c>
      <c r="B1915" s="3" t="s">
        <v>7517</v>
      </c>
      <c r="C1915" s="3" t="s">
        <v>7844</v>
      </c>
      <c r="D1915" s="3" t="s">
        <v>7845</v>
      </c>
      <c r="E1915" s="3" t="s">
        <v>110</v>
      </c>
      <c r="F1915" s="3" t="s">
        <v>7846</v>
      </c>
    </row>
    <row r="1916" ht="36.0" customHeight="1">
      <c r="A1916" s="2" t="s">
        <v>7847</v>
      </c>
      <c r="B1916" s="2" t="s">
        <v>7517</v>
      </c>
      <c r="C1916" s="2" t="s">
        <v>7848</v>
      </c>
      <c r="D1916" s="2" t="s">
        <v>7849</v>
      </c>
      <c r="E1916" s="2" t="s">
        <v>101</v>
      </c>
      <c r="F1916" s="2" t="s">
        <v>7850</v>
      </c>
    </row>
    <row r="1917" ht="36.0" customHeight="1">
      <c r="A1917" s="3" t="s">
        <v>7851</v>
      </c>
      <c r="B1917" s="3" t="s">
        <v>7517</v>
      </c>
      <c r="C1917" s="3" t="s">
        <v>7852</v>
      </c>
      <c r="D1917" s="3" t="s">
        <v>7853</v>
      </c>
      <c r="E1917" s="3"/>
      <c r="F1917" s="3" t="s">
        <v>7854</v>
      </c>
    </row>
    <row r="1918" ht="36.0" customHeight="1">
      <c r="A1918" s="2" t="s">
        <v>7855</v>
      </c>
      <c r="B1918" s="2" t="s">
        <v>7517</v>
      </c>
      <c r="C1918" s="2" t="s">
        <v>7856</v>
      </c>
      <c r="D1918" s="2" t="s">
        <v>7857</v>
      </c>
      <c r="E1918" s="2" t="s">
        <v>101</v>
      </c>
      <c r="F1918" s="2" t="s">
        <v>7858</v>
      </c>
    </row>
    <row r="1919" ht="36.0" customHeight="1">
      <c r="A1919" s="3" t="s">
        <v>7859</v>
      </c>
      <c r="B1919" s="3" t="s">
        <v>7517</v>
      </c>
      <c r="C1919" s="3" t="s">
        <v>7860</v>
      </c>
      <c r="D1919" s="3" t="s">
        <v>7861</v>
      </c>
      <c r="E1919" s="3" t="s">
        <v>101</v>
      </c>
      <c r="F1919" s="3" t="s">
        <v>7862</v>
      </c>
    </row>
    <row r="1920" ht="36.0" customHeight="1">
      <c r="A1920" s="2" t="s">
        <v>7863</v>
      </c>
      <c r="B1920" s="2" t="s">
        <v>7517</v>
      </c>
      <c r="C1920" s="2" t="s">
        <v>7864</v>
      </c>
      <c r="D1920" s="2" t="s">
        <v>7865</v>
      </c>
      <c r="E1920" s="2" t="s">
        <v>101</v>
      </c>
      <c r="F1920" s="2" t="s">
        <v>7866</v>
      </c>
    </row>
    <row r="1921" ht="36.0" customHeight="1">
      <c r="A1921" s="3" t="s">
        <v>7867</v>
      </c>
      <c r="B1921" s="3" t="s">
        <v>7517</v>
      </c>
      <c r="C1921" s="3" t="s">
        <v>7868</v>
      </c>
      <c r="D1921" s="3" t="s">
        <v>7869</v>
      </c>
      <c r="E1921" s="3" t="s">
        <v>101</v>
      </c>
      <c r="F1921" s="3" t="s">
        <v>7870</v>
      </c>
    </row>
    <row r="1922" ht="36.0" customHeight="1">
      <c r="A1922" s="2" t="s">
        <v>7871</v>
      </c>
      <c r="B1922" s="2" t="s">
        <v>7517</v>
      </c>
      <c r="C1922" s="2" t="s">
        <v>7872</v>
      </c>
      <c r="D1922" s="2" t="s">
        <v>7873</v>
      </c>
      <c r="E1922" s="2" t="s">
        <v>57</v>
      </c>
      <c r="F1922" s="2" t="s">
        <v>7874</v>
      </c>
    </row>
    <row r="1923" ht="36.0" customHeight="1">
      <c r="A1923" s="3" t="s">
        <v>7875</v>
      </c>
      <c r="B1923" s="3" t="s">
        <v>7517</v>
      </c>
      <c r="C1923" s="3" t="s">
        <v>7876</v>
      </c>
      <c r="D1923" s="3" t="s">
        <v>7877</v>
      </c>
      <c r="E1923" s="3" t="s">
        <v>7596</v>
      </c>
      <c r="F1923" s="3" t="s">
        <v>7878</v>
      </c>
    </row>
    <row r="1924" ht="36.0" customHeight="1">
      <c r="A1924" s="2" t="s">
        <v>7879</v>
      </c>
      <c r="B1924" s="2" t="s">
        <v>7517</v>
      </c>
      <c r="C1924" s="2" t="s">
        <v>7880</v>
      </c>
      <c r="D1924" s="2" t="s">
        <v>7881</v>
      </c>
      <c r="E1924" s="2" t="s">
        <v>2514</v>
      </c>
      <c r="F1924" s="2" t="s">
        <v>7882</v>
      </c>
    </row>
    <row r="1925" ht="36.0" customHeight="1">
      <c r="A1925" s="3" t="s">
        <v>7883</v>
      </c>
      <c r="B1925" s="3" t="s">
        <v>7517</v>
      </c>
      <c r="C1925" s="3" t="s">
        <v>7884</v>
      </c>
      <c r="D1925" s="3" t="s">
        <v>7885</v>
      </c>
      <c r="E1925" s="3" t="s">
        <v>2855</v>
      </c>
      <c r="F1925" s="3" t="s">
        <v>7886</v>
      </c>
    </row>
    <row r="1926" ht="36.0" customHeight="1">
      <c r="A1926" s="2" t="s">
        <v>7887</v>
      </c>
      <c r="B1926" s="2" t="s">
        <v>7517</v>
      </c>
      <c r="C1926" s="2" t="s">
        <v>7888</v>
      </c>
      <c r="D1926" s="2" t="s">
        <v>7889</v>
      </c>
      <c r="E1926" s="2" t="s">
        <v>2855</v>
      </c>
      <c r="F1926" s="2" t="s">
        <v>7890</v>
      </c>
    </row>
    <row r="1927" ht="36.0" customHeight="1">
      <c r="A1927" s="3" t="s">
        <v>7891</v>
      </c>
      <c r="B1927" s="3" t="s">
        <v>7517</v>
      </c>
      <c r="C1927" s="3" t="s">
        <v>7892</v>
      </c>
      <c r="D1927" s="3" t="s">
        <v>7893</v>
      </c>
      <c r="E1927" s="3" t="s">
        <v>2855</v>
      </c>
      <c r="F1927" s="3" t="s">
        <v>7894</v>
      </c>
    </row>
    <row r="1928" ht="36.0" customHeight="1">
      <c r="A1928" s="2" t="s">
        <v>7895</v>
      </c>
      <c r="B1928" s="2" t="s">
        <v>7517</v>
      </c>
      <c r="C1928" s="2" t="s">
        <v>7896</v>
      </c>
      <c r="D1928" s="2" t="s">
        <v>7897</v>
      </c>
      <c r="E1928" s="2" t="s">
        <v>2855</v>
      </c>
      <c r="F1928" s="2" t="s">
        <v>7898</v>
      </c>
    </row>
    <row r="1929" ht="36.0" customHeight="1">
      <c r="A1929" s="3" t="s">
        <v>7899</v>
      </c>
      <c r="B1929" s="3" t="s">
        <v>7517</v>
      </c>
      <c r="C1929" s="3" t="s">
        <v>7900</v>
      </c>
      <c r="D1929" s="3" t="s">
        <v>7901</v>
      </c>
      <c r="E1929" s="3" t="s">
        <v>2855</v>
      </c>
      <c r="F1929" s="3" t="s">
        <v>7902</v>
      </c>
    </row>
    <row r="1930" ht="36.0" customHeight="1">
      <c r="A1930" s="2" t="s">
        <v>7903</v>
      </c>
      <c r="B1930" s="2" t="s">
        <v>7904</v>
      </c>
      <c r="C1930" s="2" t="s">
        <v>7905</v>
      </c>
      <c r="D1930" s="2" t="s">
        <v>7906</v>
      </c>
      <c r="E1930" s="2" t="s">
        <v>430</v>
      </c>
      <c r="F1930" s="2" t="s">
        <v>7907</v>
      </c>
    </row>
    <row r="1931" ht="36.0" customHeight="1">
      <c r="A1931" s="3" t="s">
        <v>7908</v>
      </c>
      <c r="B1931" s="3" t="s">
        <v>7904</v>
      </c>
      <c r="C1931" s="3" t="s">
        <v>7909</v>
      </c>
      <c r="D1931" s="3" t="s">
        <v>7910</v>
      </c>
      <c r="E1931" s="3" t="s">
        <v>430</v>
      </c>
      <c r="F1931" s="3" t="s">
        <v>7911</v>
      </c>
    </row>
    <row r="1932" ht="36.0" customHeight="1">
      <c r="A1932" s="2" t="s">
        <v>7912</v>
      </c>
      <c r="B1932" s="2" t="s">
        <v>7904</v>
      </c>
      <c r="C1932" s="2" t="s">
        <v>7913</v>
      </c>
      <c r="D1932" s="2" t="s">
        <v>7914</v>
      </c>
      <c r="E1932" s="2" t="s">
        <v>2982</v>
      </c>
      <c r="F1932" s="2" t="s">
        <v>7915</v>
      </c>
    </row>
    <row r="1933" ht="36.0" customHeight="1">
      <c r="A1933" s="3" t="s">
        <v>7916</v>
      </c>
      <c r="B1933" s="3" t="s">
        <v>7904</v>
      </c>
      <c r="C1933" s="3" t="s">
        <v>7917</v>
      </c>
      <c r="D1933" s="3" t="s">
        <v>7918</v>
      </c>
      <c r="E1933" s="3" t="s">
        <v>6275</v>
      </c>
      <c r="F1933" s="3" t="s">
        <v>7919</v>
      </c>
    </row>
    <row r="1934" ht="36.0" customHeight="1">
      <c r="A1934" s="2" t="s">
        <v>7920</v>
      </c>
      <c r="B1934" s="2" t="s">
        <v>7904</v>
      </c>
      <c r="C1934" s="2" t="s">
        <v>7921</v>
      </c>
      <c r="D1934" s="2" t="s">
        <v>7922</v>
      </c>
      <c r="E1934" s="2" t="s">
        <v>19</v>
      </c>
      <c r="F1934" s="2" t="s">
        <v>7923</v>
      </c>
    </row>
    <row r="1935" ht="36.0" customHeight="1">
      <c r="A1935" s="3" t="s">
        <v>7924</v>
      </c>
      <c r="B1935" s="3" t="s">
        <v>7904</v>
      </c>
      <c r="C1935" s="3" t="s">
        <v>7925</v>
      </c>
      <c r="D1935" s="3" t="s">
        <v>7926</v>
      </c>
      <c r="E1935" s="3" t="s">
        <v>19</v>
      </c>
      <c r="F1935" s="3" t="s">
        <v>7927</v>
      </c>
    </row>
    <row r="1936" ht="36.0" customHeight="1">
      <c r="A1936" s="2" t="s">
        <v>7928</v>
      </c>
      <c r="B1936" s="2" t="s">
        <v>7904</v>
      </c>
      <c r="C1936" s="2" t="s">
        <v>7929</v>
      </c>
      <c r="D1936" s="2" t="s">
        <v>7930</v>
      </c>
      <c r="E1936" s="2" t="s">
        <v>19</v>
      </c>
      <c r="F1936" s="2" t="s">
        <v>7931</v>
      </c>
    </row>
    <row r="1937" ht="36.0" customHeight="1">
      <c r="A1937" s="3" t="s">
        <v>7932</v>
      </c>
      <c r="B1937" s="3" t="s">
        <v>7904</v>
      </c>
      <c r="C1937" s="3" t="s">
        <v>7933</v>
      </c>
      <c r="D1937" s="3" t="s">
        <v>7934</v>
      </c>
      <c r="E1937" s="3" t="s">
        <v>19</v>
      </c>
      <c r="F1937" s="3" t="s">
        <v>7935</v>
      </c>
    </row>
    <row r="1938" ht="36.0" customHeight="1">
      <c r="A1938" s="2" t="s">
        <v>7936</v>
      </c>
      <c r="B1938" s="2" t="s">
        <v>7904</v>
      </c>
      <c r="C1938" s="2" t="s">
        <v>7937</v>
      </c>
      <c r="D1938" s="2" t="s">
        <v>7938</v>
      </c>
      <c r="E1938" s="2" t="s">
        <v>52</v>
      </c>
      <c r="F1938" s="2" t="s">
        <v>7939</v>
      </c>
    </row>
    <row r="1939" ht="36.0" customHeight="1">
      <c r="A1939" s="3" t="s">
        <v>7940</v>
      </c>
      <c r="B1939" s="3" t="s">
        <v>7904</v>
      </c>
      <c r="C1939" s="3" t="s">
        <v>7941</v>
      </c>
      <c r="D1939" s="3" t="s">
        <v>7942</v>
      </c>
      <c r="E1939" s="3" t="s">
        <v>695</v>
      </c>
      <c r="F1939" s="3" t="s">
        <v>7943</v>
      </c>
    </row>
    <row r="1940" ht="36.0" customHeight="1">
      <c r="A1940" s="2" t="s">
        <v>7944</v>
      </c>
      <c r="B1940" s="2" t="s">
        <v>7904</v>
      </c>
      <c r="C1940" s="2" t="s">
        <v>7945</v>
      </c>
      <c r="D1940" s="2" t="s">
        <v>7946</v>
      </c>
      <c r="E1940" s="2" t="s">
        <v>695</v>
      </c>
      <c r="F1940" s="2" t="s">
        <v>7947</v>
      </c>
    </row>
    <row r="1941" ht="36.0" customHeight="1">
      <c r="A1941" s="3" t="s">
        <v>7948</v>
      </c>
      <c r="B1941" s="3" t="s">
        <v>7904</v>
      </c>
      <c r="C1941" s="3" t="s">
        <v>7949</v>
      </c>
      <c r="D1941" s="3" t="s">
        <v>7950</v>
      </c>
      <c r="E1941" s="3" t="s">
        <v>91</v>
      </c>
      <c r="F1941" s="3" t="s">
        <v>7951</v>
      </c>
    </row>
    <row r="1942" ht="36.0" customHeight="1">
      <c r="A1942" s="2" t="s">
        <v>7952</v>
      </c>
      <c r="B1942" s="2" t="s">
        <v>7904</v>
      </c>
      <c r="C1942" s="2" t="s">
        <v>7953</v>
      </c>
      <c r="D1942" s="2" t="s">
        <v>7954</v>
      </c>
      <c r="E1942" s="2" t="s">
        <v>91</v>
      </c>
      <c r="F1942" s="2" t="s">
        <v>7955</v>
      </c>
    </row>
    <row r="1943" ht="36.0" customHeight="1">
      <c r="A1943" s="3" t="s">
        <v>7956</v>
      </c>
      <c r="B1943" s="3" t="s">
        <v>7904</v>
      </c>
      <c r="C1943" s="3" t="s">
        <v>7957</v>
      </c>
      <c r="D1943" s="3" t="s">
        <v>7958</v>
      </c>
      <c r="E1943" s="3" t="s">
        <v>91</v>
      </c>
      <c r="F1943" s="3" t="s">
        <v>7959</v>
      </c>
    </row>
    <row r="1944" ht="36.0" customHeight="1">
      <c r="A1944" s="2" t="s">
        <v>7960</v>
      </c>
      <c r="B1944" s="2" t="s">
        <v>7904</v>
      </c>
      <c r="C1944" s="2" t="s">
        <v>7961</v>
      </c>
      <c r="D1944" s="2" t="s">
        <v>7962</v>
      </c>
      <c r="E1944" s="2" t="s">
        <v>91</v>
      </c>
      <c r="F1944" s="2" t="s">
        <v>7963</v>
      </c>
    </row>
    <row r="1945" ht="36.0" customHeight="1">
      <c r="A1945" s="3" t="s">
        <v>7964</v>
      </c>
      <c r="B1945" s="3" t="s">
        <v>7904</v>
      </c>
      <c r="C1945" s="3" t="s">
        <v>7965</v>
      </c>
      <c r="D1945" s="3" t="s">
        <v>4968</v>
      </c>
      <c r="E1945" s="3" t="s">
        <v>91</v>
      </c>
      <c r="F1945" s="3" t="s">
        <v>7966</v>
      </c>
    </row>
    <row r="1946" ht="36.0" customHeight="1">
      <c r="A1946" s="2" t="s">
        <v>7967</v>
      </c>
      <c r="B1946" s="2" t="s">
        <v>7904</v>
      </c>
      <c r="C1946" s="2" t="s">
        <v>7968</v>
      </c>
      <c r="D1946" s="2" t="s">
        <v>7969</v>
      </c>
      <c r="E1946" s="2" t="s">
        <v>91</v>
      </c>
      <c r="F1946" s="2" t="s">
        <v>7970</v>
      </c>
    </row>
    <row r="1947" ht="36.0" customHeight="1">
      <c r="A1947" s="3" t="s">
        <v>7971</v>
      </c>
      <c r="B1947" s="3" t="s">
        <v>7904</v>
      </c>
      <c r="C1947" s="3" t="s">
        <v>7972</v>
      </c>
      <c r="D1947" s="3" t="s">
        <v>7973</v>
      </c>
      <c r="E1947" s="3" t="s">
        <v>91</v>
      </c>
      <c r="F1947" s="3" t="s">
        <v>7974</v>
      </c>
    </row>
    <row r="1948" ht="36.0" customHeight="1">
      <c r="A1948" s="2" t="s">
        <v>7975</v>
      </c>
      <c r="B1948" s="2" t="s">
        <v>7904</v>
      </c>
      <c r="C1948" s="2" t="s">
        <v>7976</v>
      </c>
      <c r="D1948" s="2" t="s">
        <v>7977</v>
      </c>
      <c r="E1948" s="2" t="s">
        <v>91</v>
      </c>
      <c r="F1948" s="2" t="s">
        <v>7978</v>
      </c>
    </row>
    <row r="1949" ht="36.0" customHeight="1">
      <c r="A1949" s="3" t="s">
        <v>7979</v>
      </c>
      <c r="B1949" s="3" t="s">
        <v>7904</v>
      </c>
      <c r="C1949" s="3" t="s">
        <v>7980</v>
      </c>
      <c r="D1949" s="3" t="s">
        <v>7981</v>
      </c>
      <c r="E1949" s="3" t="s">
        <v>91</v>
      </c>
      <c r="F1949" s="3" t="s">
        <v>7982</v>
      </c>
    </row>
    <row r="1950" ht="36.0" customHeight="1">
      <c r="A1950" s="2" t="s">
        <v>7983</v>
      </c>
      <c r="B1950" s="2" t="s">
        <v>7904</v>
      </c>
      <c r="C1950" s="2" t="s">
        <v>7984</v>
      </c>
      <c r="D1950" s="2" t="s">
        <v>7985</v>
      </c>
      <c r="E1950" s="2" t="s">
        <v>1263</v>
      </c>
      <c r="F1950" s="2" t="s">
        <v>7986</v>
      </c>
    </row>
    <row r="1951" ht="36.0" customHeight="1">
      <c r="A1951" s="3" t="s">
        <v>7987</v>
      </c>
      <c r="B1951" s="3" t="s">
        <v>7904</v>
      </c>
      <c r="C1951" s="3" t="s">
        <v>7988</v>
      </c>
      <c r="D1951" s="3" t="s">
        <v>7989</v>
      </c>
      <c r="E1951" s="3" t="s">
        <v>2010</v>
      </c>
      <c r="F1951" s="3" t="s">
        <v>7990</v>
      </c>
    </row>
    <row r="1952" ht="36.0" customHeight="1">
      <c r="A1952" s="2" t="s">
        <v>7991</v>
      </c>
      <c r="B1952" s="2" t="s">
        <v>7904</v>
      </c>
      <c r="C1952" s="2" t="s">
        <v>7992</v>
      </c>
      <c r="D1952" s="2" t="s">
        <v>7993</v>
      </c>
      <c r="E1952" s="2" t="s">
        <v>2514</v>
      </c>
      <c r="F1952" s="2" t="s">
        <v>7994</v>
      </c>
    </row>
    <row r="1953" ht="36.0" customHeight="1">
      <c r="A1953" s="3" t="s">
        <v>7995</v>
      </c>
      <c r="B1953" s="3" t="s">
        <v>7904</v>
      </c>
      <c r="C1953" s="3" t="s">
        <v>7996</v>
      </c>
      <c r="D1953" s="3" t="s">
        <v>7997</v>
      </c>
      <c r="E1953" s="3" t="s">
        <v>2982</v>
      </c>
      <c r="F1953" s="3" t="s">
        <v>7998</v>
      </c>
    </row>
    <row r="1954" ht="36.0" customHeight="1">
      <c r="A1954" s="2" t="s">
        <v>7999</v>
      </c>
      <c r="B1954" s="2" t="s">
        <v>7904</v>
      </c>
      <c r="C1954" s="2" t="s">
        <v>8000</v>
      </c>
      <c r="D1954" s="2" t="s">
        <v>8001</v>
      </c>
      <c r="E1954" s="2" t="s">
        <v>2855</v>
      </c>
      <c r="F1954" s="2" t="s">
        <v>8002</v>
      </c>
    </row>
    <row r="1955" ht="36.0" customHeight="1">
      <c r="A1955" s="3" t="s">
        <v>8003</v>
      </c>
      <c r="B1955" s="3" t="s">
        <v>7904</v>
      </c>
      <c r="C1955" s="3" t="s">
        <v>8004</v>
      </c>
      <c r="D1955" s="3" t="s">
        <v>8005</v>
      </c>
      <c r="E1955" s="3" t="s">
        <v>19</v>
      </c>
      <c r="F1955" s="3" t="s">
        <v>8006</v>
      </c>
    </row>
    <row r="1956" ht="36.0" customHeight="1">
      <c r="A1956" s="2" t="s">
        <v>8007</v>
      </c>
      <c r="B1956" s="2" t="s">
        <v>7904</v>
      </c>
      <c r="C1956" s="2" t="s">
        <v>8008</v>
      </c>
      <c r="D1956" s="2" t="s">
        <v>8009</v>
      </c>
      <c r="E1956" s="2" t="s">
        <v>19</v>
      </c>
      <c r="F1956" s="2" t="s">
        <v>8010</v>
      </c>
    </row>
    <row r="1957" ht="36.0" customHeight="1">
      <c r="A1957" s="3" t="s">
        <v>8011</v>
      </c>
      <c r="B1957" s="3" t="s">
        <v>7904</v>
      </c>
      <c r="C1957" s="3" t="s">
        <v>8012</v>
      </c>
      <c r="D1957" s="3" t="s">
        <v>8013</v>
      </c>
      <c r="E1957" s="3" t="s">
        <v>19</v>
      </c>
      <c r="F1957" s="3" t="s">
        <v>8014</v>
      </c>
    </row>
    <row r="1958" ht="36.0" customHeight="1">
      <c r="A1958" s="2" t="s">
        <v>8015</v>
      </c>
      <c r="B1958" s="2" t="s">
        <v>7904</v>
      </c>
      <c r="C1958" s="2" t="s">
        <v>8016</v>
      </c>
      <c r="D1958" s="2" t="s">
        <v>8017</v>
      </c>
      <c r="E1958" s="2" t="s">
        <v>430</v>
      </c>
      <c r="F1958" s="2" t="s">
        <v>8018</v>
      </c>
    </row>
    <row r="1959" ht="36.0" customHeight="1">
      <c r="A1959" s="3" t="s">
        <v>8019</v>
      </c>
      <c r="B1959" s="3" t="s">
        <v>7904</v>
      </c>
      <c r="C1959" s="3" t="s">
        <v>8020</v>
      </c>
      <c r="D1959" s="3" t="s">
        <v>8021</v>
      </c>
      <c r="E1959" s="3" t="s">
        <v>430</v>
      </c>
      <c r="F1959" s="3" t="s">
        <v>8022</v>
      </c>
    </row>
    <row r="1960" ht="36.0" customHeight="1">
      <c r="A1960" s="2" t="s">
        <v>8023</v>
      </c>
      <c r="B1960" s="2" t="s">
        <v>7904</v>
      </c>
      <c r="C1960" s="2" t="s">
        <v>8024</v>
      </c>
      <c r="D1960" s="2" t="s">
        <v>8025</v>
      </c>
      <c r="E1960" s="2" t="s">
        <v>430</v>
      </c>
      <c r="F1960" s="2" t="s">
        <v>8026</v>
      </c>
    </row>
    <row r="1961" ht="36.0" customHeight="1">
      <c r="A1961" s="3" t="s">
        <v>8027</v>
      </c>
      <c r="B1961" s="3" t="s">
        <v>7904</v>
      </c>
      <c r="C1961" s="3" t="s">
        <v>8028</v>
      </c>
      <c r="D1961" s="3" t="s">
        <v>8029</v>
      </c>
      <c r="E1961" s="3" t="s">
        <v>430</v>
      </c>
      <c r="F1961" s="3" t="s">
        <v>8030</v>
      </c>
    </row>
    <row r="1962" ht="36.0" customHeight="1">
      <c r="A1962" s="2" t="s">
        <v>8031</v>
      </c>
      <c r="B1962" s="2" t="s">
        <v>7904</v>
      </c>
      <c r="C1962" s="2" t="s">
        <v>8032</v>
      </c>
      <c r="D1962" s="2" t="s">
        <v>8033</v>
      </c>
      <c r="E1962" s="2" t="s">
        <v>3895</v>
      </c>
      <c r="F1962" s="2" t="s">
        <v>8034</v>
      </c>
    </row>
    <row r="1963" ht="36.0" customHeight="1">
      <c r="A1963" s="3" t="s">
        <v>8035</v>
      </c>
      <c r="B1963" s="3" t="s">
        <v>7904</v>
      </c>
      <c r="C1963" s="3" t="s">
        <v>8036</v>
      </c>
      <c r="D1963" s="3" t="s">
        <v>8037</v>
      </c>
      <c r="E1963" s="3" t="s">
        <v>1756</v>
      </c>
      <c r="F1963" s="3" t="s">
        <v>8038</v>
      </c>
    </row>
    <row r="1964" ht="36.0" customHeight="1">
      <c r="A1964" s="2" t="s">
        <v>8039</v>
      </c>
      <c r="B1964" s="2" t="s">
        <v>7904</v>
      </c>
      <c r="C1964" s="2" t="s">
        <v>8040</v>
      </c>
      <c r="D1964" s="2" t="s">
        <v>8041</v>
      </c>
      <c r="E1964" s="2" t="s">
        <v>695</v>
      </c>
      <c r="F1964" s="2" t="s">
        <v>8042</v>
      </c>
    </row>
    <row r="1965" ht="36.0" customHeight="1">
      <c r="A1965" s="3" t="s">
        <v>8043</v>
      </c>
      <c r="B1965" s="3" t="s">
        <v>7904</v>
      </c>
      <c r="C1965" s="3" t="s">
        <v>8044</v>
      </c>
      <c r="D1965" s="3" t="s">
        <v>8045</v>
      </c>
      <c r="E1965" s="3" t="s">
        <v>695</v>
      </c>
      <c r="F1965" s="3" t="s">
        <v>8046</v>
      </c>
    </row>
    <row r="1966" ht="36.0" customHeight="1">
      <c r="A1966" s="2" t="s">
        <v>8047</v>
      </c>
      <c r="B1966" s="2" t="s">
        <v>7904</v>
      </c>
      <c r="C1966" s="2" t="s">
        <v>8048</v>
      </c>
      <c r="D1966" s="2" t="s">
        <v>8049</v>
      </c>
      <c r="E1966" s="2" t="s">
        <v>695</v>
      </c>
      <c r="F1966" s="2" t="s">
        <v>8050</v>
      </c>
    </row>
    <row r="1967" ht="36.0" customHeight="1">
      <c r="A1967" s="3" t="s">
        <v>8051</v>
      </c>
      <c r="B1967" s="3" t="s">
        <v>7904</v>
      </c>
      <c r="C1967" s="3" t="s">
        <v>8052</v>
      </c>
      <c r="D1967" s="3" t="s">
        <v>8053</v>
      </c>
      <c r="E1967" s="3" t="s">
        <v>91</v>
      </c>
      <c r="F1967" s="3" t="s">
        <v>8054</v>
      </c>
    </row>
    <row r="1968" ht="36.0" customHeight="1">
      <c r="A1968" s="2" t="s">
        <v>8055</v>
      </c>
      <c r="B1968" s="2" t="s">
        <v>7904</v>
      </c>
      <c r="C1968" s="2" t="s">
        <v>8056</v>
      </c>
      <c r="D1968" s="2" t="s">
        <v>8057</v>
      </c>
      <c r="E1968" s="2" t="s">
        <v>96</v>
      </c>
      <c r="F1968" s="2" t="s">
        <v>8058</v>
      </c>
    </row>
    <row r="1969" ht="36.0" customHeight="1">
      <c r="A1969" s="3" t="s">
        <v>8059</v>
      </c>
      <c r="B1969" s="3" t="s">
        <v>7904</v>
      </c>
      <c r="C1969" s="3" t="s">
        <v>8060</v>
      </c>
      <c r="D1969" s="3" t="s">
        <v>8061</v>
      </c>
      <c r="E1969" s="3" t="s">
        <v>3473</v>
      </c>
      <c r="F1969" s="3" t="s">
        <v>8062</v>
      </c>
    </row>
    <row r="1970" ht="36.0" customHeight="1">
      <c r="A1970" s="2" t="s">
        <v>8063</v>
      </c>
      <c r="B1970" s="2" t="s">
        <v>7904</v>
      </c>
      <c r="C1970" s="2" t="s">
        <v>8064</v>
      </c>
      <c r="D1970" s="2" t="s">
        <v>8065</v>
      </c>
      <c r="E1970" s="2" t="s">
        <v>3473</v>
      </c>
      <c r="F1970" s="2" t="s">
        <v>8066</v>
      </c>
    </row>
    <row r="1971" ht="36.0" customHeight="1">
      <c r="A1971" s="3" t="s">
        <v>8067</v>
      </c>
      <c r="B1971" s="3" t="s">
        <v>7904</v>
      </c>
      <c r="C1971" s="3" t="s">
        <v>8068</v>
      </c>
      <c r="D1971" s="3" t="s">
        <v>8069</v>
      </c>
      <c r="E1971" s="3" t="s">
        <v>2855</v>
      </c>
      <c r="F1971" s="3" t="s">
        <v>8070</v>
      </c>
    </row>
    <row r="1972" ht="36.0" customHeight="1">
      <c r="A1972" s="2" t="s">
        <v>8071</v>
      </c>
      <c r="B1972" s="2" t="s">
        <v>7904</v>
      </c>
      <c r="C1972" s="2" t="s">
        <v>8072</v>
      </c>
      <c r="D1972" s="2" t="s">
        <v>8073</v>
      </c>
      <c r="E1972" s="2" t="s">
        <v>695</v>
      </c>
      <c r="F1972" s="2" t="s">
        <v>8074</v>
      </c>
    </row>
    <row r="1973" ht="36.0" customHeight="1">
      <c r="A1973" s="3" t="s">
        <v>8075</v>
      </c>
      <c r="B1973" s="3" t="s">
        <v>7904</v>
      </c>
      <c r="C1973" s="3" t="s">
        <v>8076</v>
      </c>
      <c r="D1973" s="3" t="s">
        <v>8077</v>
      </c>
      <c r="E1973" s="3" t="s">
        <v>2982</v>
      </c>
      <c r="F1973" s="3" t="s">
        <v>8078</v>
      </c>
    </row>
    <row r="1974" ht="36.0" customHeight="1">
      <c r="A1974" s="2" t="s">
        <v>8079</v>
      </c>
      <c r="B1974" s="2" t="s">
        <v>7904</v>
      </c>
      <c r="C1974" s="2" t="s">
        <v>8080</v>
      </c>
      <c r="D1974" s="2" t="s">
        <v>8081</v>
      </c>
      <c r="E1974" s="2" t="s">
        <v>3473</v>
      </c>
      <c r="F1974" s="2" t="s">
        <v>8082</v>
      </c>
    </row>
    <row r="1975" ht="36.0" customHeight="1">
      <c r="A1975" s="3" t="s">
        <v>8083</v>
      </c>
      <c r="B1975" s="3" t="s">
        <v>7904</v>
      </c>
      <c r="C1975" s="3" t="s">
        <v>8084</v>
      </c>
      <c r="D1975" s="3" t="s">
        <v>8085</v>
      </c>
      <c r="E1975" s="3" t="s">
        <v>430</v>
      </c>
      <c r="F1975" s="3" t="s">
        <v>8086</v>
      </c>
    </row>
    <row r="1976" ht="36.0" customHeight="1">
      <c r="A1976" s="2" t="s">
        <v>8087</v>
      </c>
      <c r="B1976" s="2" t="s">
        <v>7904</v>
      </c>
      <c r="C1976" s="2" t="s">
        <v>8088</v>
      </c>
      <c r="D1976" s="2" t="s">
        <v>8089</v>
      </c>
      <c r="E1976" s="2" t="s">
        <v>1655</v>
      </c>
      <c r="F1976" s="2" t="s">
        <v>8090</v>
      </c>
    </row>
    <row r="1977" ht="36.0" customHeight="1">
      <c r="A1977" s="3" t="s">
        <v>8091</v>
      </c>
      <c r="B1977" s="3" t="s">
        <v>7904</v>
      </c>
      <c r="C1977" s="3" t="s">
        <v>8092</v>
      </c>
      <c r="D1977" s="3" t="s">
        <v>8093</v>
      </c>
      <c r="E1977" s="3" t="s">
        <v>2010</v>
      </c>
      <c r="F1977" s="3" t="s">
        <v>8094</v>
      </c>
    </row>
    <row r="1978" ht="36.0" customHeight="1">
      <c r="A1978" s="2" t="s">
        <v>8095</v>
      </c>
      <c r="B1978" s="2" t="s">
        <v>7904</v>
      </c>
      <c r="C1978" s="2" t="s">
        <v>8096</v>
      </c>
      <c r="D1978" s="2" t="s">
        <v>8097</v>
      </c>
      <c r="E1978" s="2" t="s">
        <v>2982</v>
      </c>
      <c r="F1978" s="2" t="s">
        <v>8098</v>
      </c>
    </row>
    <row r="1979" ht="36.0" customHeight="1">
      <c r="A1979" s="3" t="s">
        <v>8099</v>
      </c>
      <c r="B1979" s="3" t="s">
        <v>7904</v>
      </c>
      <c r="C1979" s="3" t="s">
        <v>8100</v>
      </c>
      <c r="D1979" s="3" t="s">
        <v>8101</v>
      </c>
      <c r="E1979" s="3" t="s">
        <v>2855</v>
      </c>
      <c r="F1979" s="3" t="s">
        <v>8102</v>
      </c>
    </row>
    <row r="1980" ht="36.0" customHeight="1">
      <c r="A1980" s="2" t="s">
        <v>8103</v>
      </c>
      <c r="B1980" s="2" t="s">
        <v>7904</v>
      </c>
      <c r="C1980" s="2" t="s">
        <v>8104</v>
      </c>
      <c r="D1980" s="2" t="s">
        <v>8105</v>
      </c>
      <c r="E1980" s="2" t="s">
        <v>2855</v>
      </c>
      <c r="F1980" s="2" t="s">
        <v>8106</v>
      </c>
    </row>
    <row r="1981" ht="36.0" customHeight="1">
      <c r="A1981" s="3" t="s">
        <v>8107</v>
      </c>
      <c r="B1981" s="3" t="s">
        <v>7904</v>
      </c>
      <c r="C1981" s="3" t="s">
        <v>8108</v>
      </c>
      <c r="D1981" s="3" t="s">
        <v>8109</v>
      </c>
      <c r="E1981" s="3" t="s">
        <v>2855</v>
      </c>
      <c r="F1981" s="3" t="s">
        <v>8110</v>
      </c>
    </row>
    <row r="1982" ht="36.0" customHeight="1">
      <c r="A1982" s="2" t="s">
        <v>8111</v>
      </c>
      <c r="B1982" s="2" t="s">
        <v>7904</v>
      </c>
      <c r="C1982" s="2" t="s">
        <v>8112</v>
      </c>
      <c r="D1982" s="2" t="s">
        <v>8113</v>
      </c>
      <c r="E1982" s="2" t="s">
        <v>2010</v>
      </c>
      <c r="F1982" s="2" t="s">
        <v>8114</v>
      </c>
    </row>
    <row r="1983" ht="36.0" customHeight="1">
      <c r="A1983" s="3" t="s">
        <v>8115</v>
      </c>
      <c r="B1983" s="3" t="s">
        <v>7904</v>
      </c>
      <c r="C1983" s="3" t="s">
        <v>8116</v>
      </c>
      <c r="D1983" s="3" t="s">
        <v>8117</v>
      </c>
      <c r="E1983" s="3" t="s">
        <v>695</v>
      </c>
      <c r="F1983" s="3" t="s">
        <v>8118</v>
      </c>
    </row>
    <row r="1984" ht="36.0" customHeight="1">
      <c r="A1984" s="2" t="s">
        <v>8119</v>
      </c>
      <c r="B1984" s="2" t="s">
        <v>7904</v>
      </c>
      <c r="C1984" s="2" t="s">
        <v>8120</v>
      </c>
      <c r="D1984" s="2" t="s">
        <v>8121</v>
      </c>
      <c r="E1984" s="2" t="s">
        <v>2583</v>
      </c>
      <c r="F1984" s="2" t="s">
        <v>8122</v>
      </c>
    </row>
    <row r="1985" ht="36.0" customHeight="1">
      <c r="A1985" s="3" t="s">
        <v>8123</v>
      </c>
      <c r="B1985" s="3" t="s">
        <v>7904</v>
      </c>
      <c r="C1985" s="3" t="s">
        <v>8124</v>
      </c>
      <c r="D1985" s="3" t="s">
        <v>8125</v>
      </c>
      <c r="E1985" s="3" t="s">
        <v>1756</v>
      </c>
      <c r="F1985" s="3" t="s">
        <v>8126</v>
      </c>
    </row>
    <row r="1986" ht="36.0" customHeight="1">
      <c r="A1986" s="2" t="s">
        <v>8127</v>
      </c>
      <c r="B1986" s="2" t="s">
        <v>7904</v>
      </c>
      <c r="C1986" s="2" t="s">
        <v>8128</v>
      </c>
      <c r="D1986" s="2" t="s">
        <v>8129</v>
      </c>
      <c r="E1986" s="2" t="s">
        <v>19</v>
      </c>
      <c r="F1986" s="2" t="s">
        <v>8130</v>
      </c>
    </row>
    <row r="1987" ht="36.0" customHeight="1">
      <c r="A1987" s="3" t="s">
        <v>8131</v>
      </c>
      <c r="B1987" s="3" t="s">
        <v>7904</v>
      </c>
      <c r="C1987" s="3" t="s">
        <v>8132</v>
      </c>
      <c r="D1987" s="3" t="s">
        <v>8133</v>
      </c>
      <c r="E1987" s="3" t="s">
        <v>19</v>
      </c>
      <c r="F1987" s="3" t="s">
        <v>8134</v>
      </c>
    </row>
    <row r="1988" ht="36.0" customHeight="1">
      <c r="A1988" s="2" t="s">
        <v>8135</v>
      </c>
      <c r="B1988" s="2" t="s">
        <v>7904</v>
      </c>
      <c r="C1988" s="2" t="s">
        <v>8136</v>
      </c>
      <c r="D1988" s="2" t="s">
        <v>8137</v>
      </c>
      <c r="E1988" s="2" t="s">
        <v>19</v>
      </c>
      <c r="F1988" s="2" t="s">
        <v>8138</v>
      </c>
    </row>
    <row r="1989" ht="36.0" customHeight="1">
      <c r="A1989" s="3" t="s">
        <v>8139</v>
      </c>
      <c r="B1989" s="3" t="s">
        <v>7904</v>
      </c>
      <c r="C1989" s="3" t="s">
        <v>8140</v>
      </c>
      <c r="D1989" s="3" t="s">
        <v>8141</v>
      </c>
      <c r="E1989" s="3" t="s">
        <v>430</v>
      </c>
      <c r="F1989" s="3" t="s">
        <v>8142</v>
      </c>
    </row>
    <row r="1990" ht="36.0" customHeight="1">
      <c r="A1990" s="2" t="s">
        <v>8143</v>
      </c>
      <c r="B1990" s="2" t="s">
        <v>7904</v>
      </c>
      <c r="C1990" s="2" t="s">
        <v>8144</v>
      </c>
      <c r="D1990" s="2" t="s">
        <v>8145</v>
      </c>
      <c r="E1990" s="2" t="s">
        <v>430</v>
      </c>
      <c r="F1990" s="2" t="s">
        <v>8146</v>
      </c>
    </row>
    <row r="1991" ht="36.0" customHeight="1">
      <c r="A1991" s="3" t="s">
        <v>8147</v>
      </c>
      <c r="B1991" s="3" t="s">
        <v>7904</v>
      </c>
      <c r="C1991" s="3" t="s">
        <v>8148</v>
      </c>
      <c r="D1991" s="3" t="s">
        <v>8149</v>
      </c>
      <c r="E1991" s="3" t="s">
        <v>430</v>
      </c>
      <c r="F1991" s="3" t="s">
        <v>8150</v>
      </c>
    </row>
    <row r="1992" ht="36.0" customHeight="1">
      <c r="A1992" s="2" t="s">
        <v>8151</v>
      </c>
      <c r="B1992" s="2" t="s">
        <v>7904</v>
      </c>
      <c r="C1992" s="2" t="s">
        <v>8152</v>
      </c>
      <c r="D1992" s="2" t="s">
        <v>8153</v>
      </c>
      <c r="E1992" s="2" t="s">
        <v>430</v>
      </c>
      <c r="F1992" s="2" t="s">
        <v>8154</v>
      </c>
    </row>
    <row r="1993" ht="36.0" customHeight="1">
      <c r="A1993" s="3" t="s">
        <v>8155</v>
      </c>
      <c r="B1993" s="3" t="s">
        <v>7904</v>
      </c>
      <c r="C1993" s="3" t="s">
        <v>8156</v>
      </c>
      <c r="D1993" s="3" t="s">
        <v>8157</v>
      </c>
      <c r="E1993" s="3" t="s">
        <v>937</v>
      </c>
      <c r="F1993" s="3" t="s">
        <v>8158</v>
      </c>
    </row>
    <row r="1994" ht="36.0" customHeight="1">
      <c r="A1994" s="2" t="s">
        <v>8159</v>
      </c>
      <c r="B1994" s="2" t="s">
        <v>7904</v>
      </c>
      <c r="C1994" s="2" t="s">
        <v>8160</v>
      </c>
      <c r="D1994" s="2" t="s">
        <v>8161</v>
      </c>
      <c r="E1994" s="2" t="s">
        <v>24</v>
      </c>
      <c r="F1994" s="2" t="s">
        <v>8162</v>
      </c>
    </row>
    <row r="1995" ht="36.0" customHeight="1">
      <c r="A1995" s="3" t="s">
        <v>8163</v>
      </c>
      <c r="B1995" s="3" t="s">
        <v>7904</v>
      </c>
      <c r="C1995" s="3" t="s">
        <v>8164</v>
      </c>
      <c r="D1995" s="3" t="s">
        <v>8165</v>
      </c>
      <c r="E1995" s="3" t="s">
        <v>24</v>
      </c>
      <c r="F1995" s="3" t="s">
        <v>8166</v>
      </c>
    </row>
    <row r="1996" ht="36.0" customHeight="1">
      <c r="A1996" s="2" t="s">
        <v>8167</v>
      </c>
      <c r="B1996" s="2" t="s">
        <v>7904</v>
      </c>
      <c r="C1996" s="2" t="s">
        <v>8168</v>
      </c>
      <c r="D1996" s="2" t="s">
        <v>8169</v>
      </c>
      <c r="E1996" s="2" t="s">
        <v>52</v>
      </c>
      <c r="F1996" s="2" t="s">
        <v>8170</v>
      </c>
    </row>
    <row r="1997" ht="36.0" customHeight="1">
      <c r="A1997" s="3" t="s">
        <v>8171</v>
      </c>
      <c r="B1997" s="3" t="s">
        <v>7904</v>
      </c>
      <c r="C1997" s="3" t="s">
        <v>8172</v>
      </c>
      <c r="D1997" s="3" t="s">
        <v>8173</v>
      </c>
      <c r="E1997" s="3" t="s">
        <v>695</v>
      </c>
      <c r="F1997" s="3" t="s">
        <v>8174</v>
      </c>
    </row>
    <row r="1998" ht="36.0" customHeight="1">
      <c r="A1998" s="2" t="s">
        <v>8175</v>
      </c>
      <c r="B1998" s="2" t="s">
        <v>7904</v>
      </c>
      <c r="C1998" s="2" t="s">
        <v>8176</v>
      </c>
      <c r="D1998" s="2" t="s">
        <v>8177</v>
      </c>
      <c r="E1998" s="2" t="s">
        <v>695</v>
      </c>
      <c r="F1998" s="2" t="s">
        <v>8178</v>
      </c>
    </row>
    <row r="1999" ht="36.0" customHeight="1">
      <c r="A1999" s="3" t="s">
        <v>8179</v>
      </c>
      <c r="B1999" s="3" t="s">
        <v>7904</v>
      </c>
      <c r="C1999" s="3" t="s">
        <v>8180</v>
      </c>
      <c r="D1999" s="3" t="s">
        <v>8181</v>
      </c>
      <c r="E1999" s="3" t="s">
        <v>2596</v>
      </c>
      <c r="F1999" s="3" t="s">
        <v>8182</v>
      </c>
    </row>
    <row r="2000" ht="36.0" customHeight="1">
      <c r="A2000" s="2" t="s">
        <v>8183</v>
      </c>
      <c r="B2000" s="2" t="s">
        <v>7904</v>
      </c>
      <c r="C2000" s="2" t="s">
        <v>8184</v>
      </c>
      <c r="D2000" s="2" t="s">
        <v>8185</v>
      </c>
      <c r="E2000" s="2" t="s">
        <v>110</v>
      </c>
      <c r="F2000" s="2" t="s">
        <v>8186</v>
      </c>
    </row>
    <row r="2001" ht="36.0" customHeight="1">
      <c r="A2001" s="3" t="s">
        <v>8187</v>
      </c>
      <c r="B2001" s="3" t="s">
        <v>7904</v>
      </c>
      <c r="C2001" s="3" t="s">
        <v>8188</v>
      </c>
      <c r="D2001" s="3" t="s">
        <v>8189</v>
      </c>
      <c r="E2001" s="3" t="s">
        <v>110</v>
      </c>
      <c r="F2001" s="3" t="s">
        <v>8190</v>
      </c>
    </row>
    <row r="2002" ht="36.0" customHeight="1">
      <c r="A2002" s="2" t="s">
        <v>8191</v>
      </c>
      <c r="B2002" s="2" t="s">
        <v>7904</v>
      </c>
      <c r="C2002" s="2" t="s">
        <v>8192</v>
      </c>
      <c r="D2002" s="2" t="s">
        <v>8193</v>
      </c>
      <c r="E2002" s="2" t="s">
        <v>110</v>
      </c>
      <c r="F2002" s="2" t="s">
        <v>8194</v>
      </c>
    </row>
    <row r="2003" ht="36.0" customHeight="1">
      <c r="A2003" s="3" t="s">
        <v>8195</v>
      </c>
      <c r="B2003" s="3" t="s">
        <v>7904</v>
      </c>
      <c r="C2003" s="3" t="s">
        <v>8196</v>
      </c>
      <c r="D2003" s="3" t="s">
        <v>8197</v>
      </c>
      <c r="E2003" s="3" t="s">
        <v>1846</v>
      </c>
      <c r="F2003" s="3" t="s">
        <v>8198</v>
      </c>
    </row>
    <row r="2004" ht="36.0" customHeight="1">
      <c r="A2004" s="2" t="s">
        <v>8199</v>
      </c>
      <c r="B2004" s="2" t="s">
        <v>7904</v>
      </c>
      <c r="C2004" s="2" t="s">
        <v>8200</v>
      </c>
      <c r="D2004" s="2" t="s">
        <v>8201</v>
      </c>
      <c r="E2004" s="2" t="s">
        <v>96</v>
      </c>
      <c r="F2004" s="2" t="s">
        <v>8202</v>
      </c>
    </row>
    <row r="2005" ht="36.0" customHeight="1">
      <c r="A2005" s="3" t="s">
        <v>8203</v>
      </c>
      <c r="B2005" s="3" t="s">
        <v>7904</v>
      </c>
      <c r="C2005" s="3" t="s">
        <v>8204</v>
      </c>
      <c r="D2005" s="3" t="s">
        <v>8205</v>
      </c>
      <c r="E2005" s="3" t="s">
        <v>2208</v>
      </c>
      <c r="F2005" s="3" t="s">
        <v>8206</v>
      </c>
    </row>
    <row r="2006" ht="36.0" customHeight="1">
      <c r="A2006" s="2" t="s">
        <v>8207</v>
      </c>
      <c r="B2006" s="2" t="s">
        <v>7904</v>
      </c>
      <c r="C2006" s="2" t="s">
        <v>8208</v>
      </c>
      <c r="D2006" s="2" t="s">
        <v>8209</v>
      </c>
      <c r="E2006" s="2" t="s">
        <v>6275</v>
      </c>
      <c r="F2006" s="2" t="s">
        <v>8210</v>
      </c>
    </row>
    <row r="2007" ht="36.0" customHeight="1">
      <c r="A2007" s="3" t="s">
        <v>8211</v>
      </c>
      <c r="B2007" s="3" t="s">
        <v>7904</v>
      </c>
      <c r="C2007" s="3" t="s">
        <v>8212</v>
      </c>
      <c r="D2007" s="3" t="s">
        <v>8213</v>
      </c>
      <c r="E2007" s="3" t="s">
        <v>2010</v>
      </c>
      <c r="F2007" s="3" t="s">
        <v>8214</v>
      </c>
    </row>
    <row r="2008" ht="36.0" customHeight="1">
      <c r="A2008" s="2" t="s">
        <v>8215</v>
      </c>
      <c r="B2008" s="2" t="s">
        <v>7904</v>
      </c>
      <c r="C2008" s="2" t="s">
        <v>8216</v>
      </c>
      <c r="D2008" s="2" t="s">
        <v>8217</v>
      </c>
      <c r="E2008" s="2" t="s">
        <v>2010</v>
      </c>
      <c r="F2008" s="2" t="s">
        <v>8218</v>
      </c>
    </row>
    <row r="2009" ht="36.0" customHeight="1">
      <c r="A2009" s="3" t="s">
        <v>8219</v>
      </c>
      <c r="B2009" s="3" t="s">
        <v>7904</v>
      </c>
      <c r="C2009" s="3" t="s">
        <v>8220</v>
      </c>
      <c r="D2009" s="3" t="s">
        <v>8221</v>
      </c>
      <c r="E2009" s="3" t="s">
        <v>2514</v>
      </c>
      <c r="F2009" s="3" t="s">
        <v>8222</v>
      </c>
    </row>
    <row r="2010" ht="36.0" customHeight="1">
      <c r="A2010" s="2" t="s">
        <v>8223</v>
      </c>
      <c r="B2010" s="2" t="s">
        <v>7904</v>
      </c>
      <c r="C2010" s="2" t="s">
        <v>8224</v>
      </c>
      <c r="D2010" s="2" t="s">
        <v>8225</v>
      </c>
      <c r="E2010" s="2" t="s">
        <v>2514</v>
      </c>
      <c r="F2010" s="2" t="s">
        <v>8226</v>
      </c>
    </row>
    <row r="2011" ht="36.0" customHeight="1">
      <c r="A2011" s="3" t="s">
        <v>8227</v>
      </c>
      <c r="B2011" s="3" t="s">
        <v>7904</v>
      </c>
      <c r="C2011" s="3" t="s">
        <v>8228</v>
      </c>
      <c r="D2011" s="3" t="s">
        <v>8229</v>
      </c>
      <c r="E2011" s="3" t="s">
        <v>2010</v>
      </c>
      <c r="F2011" s="3" t="s">
        <v>8230</v>
      </c>
    </row>
    <row r="2012" ht="36.0" customHeight="1">
      <c r="A2012" s="2" t="s">
        <v>8231</v>
      </c>
      <c r="B2012" s="2" t="s">
        <v>7904</v>
      </c>
      <c r="C2012" s="2" t="s">
        <v>8232</v>
      </c>
      <c r="D2012" s="2" t="s">
        <v>8233</v>
      </c>
      <c r="E2012" s="2" t="s">
        <v>2982</v>
      </c>
      <c r="F2012" s="2" t="s">
        <v>8234</v>
      </c>
    </row>
    <row r="2013" ht="36.0" customHeight="1">
      <c r="A2013" s="3" t="s">
        <v>8235</v>
      </c>
      <c r="B2013" s="3" t="s">
        <v>7904</v>
      </c>
      <c r="C2013" s="3" t="s">
        <v>8236</v>
      </c>
      <c r="D2013" s="3" t="s">
        <v>8237</v>
      </c>
      <c r="E2013" s="3" t="s">
        <v>2855</v>
      </c>
      <c r="F2013" s="3" t="s">
        <v>8238</v>
      </c>
    </row>
    <row r="2014" ht="36.0" customHeight="1">
      <c r="A2014" s="2" t="s">
        <v>8239</v>
      </c>
      <c r="B2014" s="2" t="s">
        <v>7904</v>
      </c>
      <c r="C2014" s="2" t="s">
        <v>8240</v>
      </c>
      <c r="D2014" s="2" t="s">
        <v>8241</v>
      </c>
      <c r="E2014" s="2" t="s">
        <v>2855</v>
      </c>
      <c r="F2014" s="2" t="s">
        <v>8242</v>
      </c>
    </row>
    <row r="2015" ht="36.0" customHeight="1">
      <c r="A2015" s="3" t="s">
        <v>8243</v>
      </c>
      <c r="B2015" s="3" t="s">
        <v>7904</v>
      </c>
      <c r="C2015" s="3" t="s">
        <v>8244</v>
      </c>
      <c r="D2015" s="3" t="s">
        <v>8245</v>
      </c>
      <c r="E2015" s="3" t="s">
        <v>2855</v>
      </c>
      <c r="F2015" s="3" t="s">
        <v>8246</v>
      </c>
    </row>
    <row r="2016" ht="36.0" customHeight="1">
      <c r="A2016" s="2" t="s">
        <v>8247</v>
      </c>
      <c r="B2016" s="2" t="s">
        <v>7904</v>
      </c>
      <c r="C2016" s="2" t="s">
        <v>8248</v>
      </c>
      <c r="D2016" s="2" t="s">
        <v>8249</v>
      </c>
      <c r="E2016" s="2" t="s">
        <v>2855</v>
      </c>
      <c r="F2016" s="2" t="s">
        <v>8250</v>
      </c>
    </row>
    <row r="2017" ht="36.0" customHeight="1">
      <c r="A2017" s="3" t="s">
        <v>8251</v>
      </c>
      <c r="B2017" s="3" t="s">
        <v>7904</v>
      </c>
      <c r="C2017" s="3" t="s">
        <v>8252</v>
      </c>
      <c r="D2017" s="3" t="s">
        <v>8253</v>
      </c>
      <c r="E2017" s="3" t="s">
        <v>2855</v>
      </c>
      <c r="F2017" s="3" t="s">
        <v>8254</v>
      </c>
    </row>
    <row r="2018" ht="36.0" customHeight="1">
      <c r="A2018" s="2" t="s">
        <v>8255</v>
      </c>
      <c r="B2018" s="2" t="s">
        <v>7904</v>
      </c>
      <c r="C2018" s="2" t="s">
        <v>8256</v>
      </c>
      <c r="D2018" s="2" t="s">
        <v>3453</v>
      </c>
      <c r="E2018" s="2" t="s">
        <v>2982</v>
      </c>
      <c r="F2018" s="2" t="s">
        <v>8257</v>
      </c>
    </row>
    <row r="2019" ht="36.0" customHeight="1">
      <c r="A2019" s="3" t="s">
        <v>8258</v>
      </c>
      <c r="B2019" s="3" t="s">
        <v>7904</v>
      </c>
      <c r="C2019" s="3" t="s">
        <v>8259</v>
      </c>
      <c r="D2019" s="3" t="s">
        <v>8260</v>
      </c>
      <c r="E2019" s="3" t="s">
        <v>4907</v>
      </c>
      <c r="F2019" s="3" t="s">
        <v>8261</v>
      </c>
    </row>
    <row r="2020" ht="36.0" customHeight="1">
      <c r="A2020" s="2" t="s">
        <v>8262</v>
      </c>
      <c r="B2020" s="2" t="s">
        <v>7904</v>
      </c>
      <c r="C2020" s="2" t="s">
        <v>8263</v>
      </c>
      <c r="D2020" s="2" t="s">
        <v>8264</v>
      </c>
      <c r="E2020" s="2" t="s">
        <v>695</v>
      </c>
      <c r="F2020" s="2" t="s">
        <v>8265</v>
      </c>
    </row>
    <row r="2021" ht="36.0" customHeight="1">
      <c r="A2021" s="3" t="s">
        <v>8266</v>
      </c>
      <c r="B2021" s="3" t="s">
        <v>7904</v>
      </c>
      <c r="C2021" s="3" t="s">
        <v>8267</v>
      </c>
      <c r="D2021" s="3" t="s">
        <v>8268</v>
      </c>
      <c r="E2021" s="3" t="s">
        <v>2982</v>
      </c>
      <c r="F2021" s="3" t="s">
        <v>8269</v>
      </c>
    </row>
    <row r="2022" ht="36.0" customHeight="1">
      <c r="A2022" s="2" t="s">
        <v>8270</v>
      </c>
      <c r="B2022" s="2" t="s">
        <v>7904</v>
      </c>
      <c r="C2022" s="2" t="s">
        <v>8271</v>
      </c>
      <c r="D2022" s="2" t="s">
        <v>8272</v>
      </c>
      <c r="E2022" s="2" t="s">
        <v>91</v>
      </c>
      <c r="F2022" s="2" t="s">
        <v>8273</v>
      </c>
    </row>
    <row r="2023" ht="36.0" customHeight="1">
      <c r="A2023" s="3" t="s">
        <v>8274</v>
      </c>
      <c r="B2023" s="3" t="s">
        <v>7904</v>
      </c>
      <c r="C2023" s="3" t="s">
        <v>8275</v>
      </c>
      <c r="D2023" s="3" t="s">
        <v>8276</v>
      </c>
      <c r="E2023" s="3" t="s">
        <v>91</v>
      </c>
      <c r="F2023" s="3" t="s">
        <v>8277</v>
      </c>
    </row>
    <row r="2024" ht="36.0" customHeight="1">
      <c r="A2024" s="2" t="s">
        <v>8278</v>
      </c>
      <c r="B2024" s="2" t="s">
        <v>8279</v>
      </c>
      <c r="C2024" s="2" t="s">
        <v>8280</v>
      </c>
      <c r="D2024" s="2" t="s">
        <v>8281</v>
      </c>
      <c r="E2024" s="2" t="s">
        <v>19</v>
      </c>
      <c r="F2024" s="2" t="s">
        <v>8282</v>
      </c>
    </row>
    <row r="2025" ht="36.0" customHeight="1">
      <c r="A2025" s="3" t="s">
        <v>8283</v>
      </c>
      <c r="B2025" s="3" t="s">
        <v>8279</v>
      </c>
      <c r="C2025" s="3" t="s">
        <v>8284</v>
      </c>
      <c r="D2025" s="3" t="s">
        <v>8285</v>
      </c>
      <c r="E2025" s="3" t="s">
        <v>19</v>
      </c>
      <c r="F2025" s="3" t="s">
        <v>8286</v>
      </c>
    </row>
    <row r="2026" ht="36.0" customHeight="1">
      <c r="A2026" s="2" t="s">
        <v>8287</v>
      </c>
      <c r="B2026" s="2" t="s">
        <v>8279</v>
      </c>
      <c r="C2026" s="2" t="s">
        <v>8288</v>
      </c>
      <c r="D2026" s="2" t="s">
        <v>8289</v>
      </c>
      <c r="E2026" s="2" t="s">
        <v>430</v>
      </c>
      <c r="F2026" s="2" t="s">
        <v>8290</v>
      </c>
    </row>
    <row r="2027" ht="36.0" customHeight="1">
      <c r="A2027" s="3" t="s">
        <v>8291</v>
      </c>
      <c r="B2027" s="3" t="s">
        <v>8279</v>
      </c>
      <c r="C2027" s="3" t="s">
        <v>8292</v>
      </c>
      <c r="D2027" s="3" t="s">
        <v>8293</v>
      </c>
      <c r="E2027" s="3" t="s">
        <v>435</v>
      </c>
      <c r="F2027" s="3" t="s">
        <v>8294</v>
      </c>
    </row>
    <row r="2028" ht="36.0" customHeight="1">
      <c r="A2028" s="2" t="s">
        <v>8295</v>
      </c>
      <c r="B2028" s="2" t="s">
        <v>8279</v>
      </c>
      <c r="C2028" s="2" t="s">
        <v>8296</v>
      </c>
      <c r="D2028" s="2" t="s">
        <v>8297</v>
      </c>
      <c r="E2028" s="2" t="s">
        <v>937</v>
      </c>
      <c r="F2028" s="2" t="s">
        <v>8298</v>
      </c>
    </row>
    <row r="2029" ht="36.0" customHeight="1">
      <c r="A2029" s="3" t="s">
        <v>8299</v>
      </c>
      <c r="B2029" s="3" t="s">
        <v>8279</v>
      </c>
      <c r="C2029" s="3" t="s">
        <v>8300</v>
      </c>
      <c r="D2029" s="3" t="s">
        <v>8301</v>
      </c>
      <c r="E2029" s="3" t="s">
        <v>62</v>
      </c>
      <c r="F2029" s="3" t="s">
        <v>8302</v>
      </c>
    </row>
    <row r="2030" ht="36.0" customHeight="1">
      <c r="A2030" s="2" t="s">
        <v>8303</v>
      </c>
      <c r="B2030" s="2" t="s">
        <v>8279</v>
      </c>
      <c r="C2030" s="2" t="s">
        <v>8304</v>
      </c>
      <c r="D2030" s="2" t="s">
        <v>8301</v>
      </c>
      <c r="E2030" s="2" t="s">
        <v>62</v>
      </c>
      <c r="F2030" s="2" t="s">
        <v>8305</v>
      </c>
    </row>
    <row r="2031" ht="36.0" customHeight="1">
      <c r="A2031" s="3" t="s">
        <v>8306</v>
      </c>
      <c r="B2031" s="3" t="s">
        <v>8279</v>
      </c>
      <c r="C2031" s="3" t="s">
        <v>8307</v>
      </c>
      <c r="D2031" s="3" t="s">
        <v>8308</v>
      </c>
      <c r="E2031" s="3" t="s">
        <v>62</v>
      </c>
      <c r="F2031" s="3" t="s">
        <v>8309</v>
      </c>
    </row>
    <row r="2032" ht="36.0" customHeight="1">
      <c r="A2032" s="2" t="s">
        <v>8310</v>
      </c>
      <c r="B2032" s="2" t="s">
        <v>8279</v>
      </c>
      <c r="C2032" s="2" t="s">
        <v>8311</v>
      </c>
      <c r="D2032" s="2" t="s">
        <v>8312</v>
      </c>
      <c r="E2032" s="2" t="s">
        <v>96</v>
      </c>
      <c r="F2032" s="2" t="s">
        <v>8313</v>
      </c>
    </row>
    <row r="2033" ht="36.0" customHeight="1">
      <c r="A2033" s="3" t="s">
        <v>8314</v>
      </c>
      <c r="B2033" s="3" t="s">
        <v>8279</v>
      </c>
      <c r="C2033" s="3" t="s">
        <v>8315</v>
      </c>
      <c r="D2033" s="3" t="s">
        <v>8316</v>
      </c>
      <c r="E2033" s="3" t="s">
        <v>1583</v>
      </c>
      <c r="F2033" s="3" t="s">
        <v>8317</v>
      </c>
    </row>
    <row r="2034" ht="36.0" customHeight="1">
      <c r="A2034" s="2" t="s">
        <v>8318</v>
      </c>
      <c r="B2034" s="2" t="s">
        <v>8279</v>
      </c>
      <c r="C2034" s="2" t="s">
        <v>8319</v>
      </c>
      <c r="D2034" s="2" t="s">
        <v>8320</v>
      </c>
      <c r="E2034" s="2" t="s">
        <v>1583</v>
      </c>
      <c r="F2034" s="2" t="s">
        <v>8321</v>
      </c>
    </row>
    <row r="2035" ht="36.0" customHeight="1">
      <c r="A2035" s="3" t="s">
        <v>8322</v>
      </c>
      <c r="B2035" s="3" t="s">
        <v>8279</v>
      </c>
      <c r="C2035" s="3" t="s">
        <v>8323</v>
      </c>
      <c r="D2035" s="3" t="s">
        <v>8324</v>
      </c>
      <c r="E2035" s="3" t="s">
        <v>1583</v>
      </c>
      <c r="F2035" s="3" t="s">
        <v>8325</v>
      </c>
    </row>
    <row r="2036" ht="36.0" customHeight="1">
      <c r="A2036" s="2" t="s">
        <v>8326</v>
      </c>
      <c r="B2036" s="2" t="s">
        <v>8279</v>
      </c>
      <c r="C2036" s="2" t="s">
        <v>8327</v>
      </c>
      <c r="D2036" s="2" t="s">
        <v>8328</v>
      </c>
      <c r="E2036" s="2" t="s">
        <v>2855</v>
      </c>
      <c r="F2036" s="2" t="s">
        <v>8329</v>
      </c>
    </row>
    <row r="2037" ht="36.0" customHeight="1">
      <c r="A2037" s="3" t="s">
        <v>8330</v>
      </c>
      <c r="B2037" s="3" t="s">
        <v>8279</v>
      </c>
      <c r="C2037" s="3" t="s">
        <v>8331</v>
      </c>
      <c r="D2037" s="3" t="s">
        <v>8332</v>
      </c>
      <c r="E2037" s="3" t="s">
        <v>2855</v>
      </c>
      <c r="F2037" s="3" t="s">
        <v>8333</v>
      </c>
    </row>
    <row r="2038" ht="36.0" customHeight="1">
      <c r="A2038" s="2" t="s">
        <v>8334</v>
      </c>
      <c r="B2038" s="2" t="s">
        <v>8279</v>
      </c>
      <c r="C2038" s="2" t="s">
        <v>8335</v>
      </c>
      <c r="D2038" s="2" t="s">
        <v>8336</v>
      </c>
      <c r="E2038" s="2" t="s">
        <v>2855</v>
      </c>
      <c r="F2038" s="2" t="s">
        <v>8337</v>
      </c>
    </row>
    <row r="2039" ht="36.0" customHeight="1">
      <c r="A2039" s="3" t="s">
        <v>8338</v>
      </c>
      <c r="B2039" s="3" t="s">
        <v>8279</v>
      </c>
      <c r="C2039" s="3" t="s">
        <v>8339</v>
      </c>
      <c r="D2039" s="3" t="s">
        <v>8340</v>
      </c>
      <c r="E2039" s="3" t="s">
        <v>695</v>
      </c>
      <c r="F2039" s="3" t="s">
        <v>8341</v>
      </c>
    </row>
    <row r="2040" ht="36.0" customHeight="1">
      <c r="A2040" s="2" t="s">
        <v>8342</v>
      </c>
      <c r="B2040" s="2" t="s">
        <v>8279</v>
      </c>
      <c r="C2040" s="2" t="s">
        <v>8343</v>
      </c>
      <c r="D2040" s="2" t="s">
        <v>8344</v>
      </c>
      <c r="E2040" s="2" t="s">
        <v>538</v>
      </c>
      <c r="F2040" s="2" t="s">
        <v>8345</v>
      </c>
    </row>
    <row r="2041" ht="36.0" customHeight="1">
      <c r="A2041" s="3" t="s">
        <v>8346</v>
      </c>
      <c r="B2041" s="3" t="s">
        <v>8279</v>
      </c>
      <c r="C2041" s="3" t="s">
        <v>8347</v>
      </c>
      <c r="D2041" s="3" t="s">
        <v>8348</v>
      </c>
      <c r="E2041" s="3" t="s">
        <v>19</v>
      </c>
      <c r="F2041" s="3" t="s">
        <v>8349</v>
      </c>
    </row>
    <row r="2042" ht="36.0" customHeight="1">
      <c r="A2042" s="2" t="s">
        <v>8350</v>
      </c>
      <c r="B2042" s="2" t="s">
        <v>8279</v>
      </c>
      <c r="C2042" s="2" t="s">
        <v>8351</v>
      </c>
      <c r="D2042" s="2" t="s">
        <v>8352</v>
      </c>
      <c r="E2042" s="2" t="s">
        <v>425</v>
      </c>
      <c r="F2042" s="2" t="s">
        <v>8353</v>
      </c>
    </row>
    <row r="2043" ht="36.0" customHeight="1">
      <c r="A2043" s="3" t="s">
        <v>8354</v>
      </c>
      <c r="B2043" s="3" t="s">
        <v>8279</v>
      </c>
      <c r="C2043" s="3" t="s">
        <v>8355</v>
      </c>
      <c r="D2043" s="3" t="s">
        <v>8356</v>
      </c>
      <c r="E2043" s="3" t="s">
        <v>2811</v>
      </c>
      <c r="F2043" s="3" t="s">
        <v>8357</v>
      </c>
    </row>
    <row r="2044" ht="36.0" customHeight="1">
      <c r="A2044" s="2" t="s">
        <v>8358</v>
      </c>
      <c r="B2044" s="2" t="s">
        <v>8279</v>
      </c>
      <c r="C2044" s="2" t="s">
        <v>8359</v>
      </c>
      <c r="D2044" s="2" t="s">
        <v>8360</v>
      </c>
      <c r="E2044" s="2" t="s">
        <v>19</v>
      </c>
      <c r="F2044" s="2" t="s">
        <v>8361</v>
      </c>
    </row>
    <row r="2045" ht="36.0" customHeight="1">
      <c r="A2045" s="3" t="s">
        <v>8362</v>
      </c>
      <c r="B2045" s="3" t="s">
        <v>8279</v>
      </c>
      <c r="C2045" s="3" t="s">
        <v>8363</v>
      </c>
      <c r="D2045" s="3" t="s">
        <v>8364</v>
      </c>
      <c r="E2045" s="3" t="s">
        <v>695</v>
      </c>
      <c r="F2045" s="3" t="s">
        <v>8365</v>
      </c>
    </row>
    <row r="2046" ht="36.0" customHeight="1">
      <c r="A2046" s="2" t="s">
        <v>8366</v>
      </c>
      <c r="B2046" s="2" t="s">
        <v>8279</v>
      </c>
      <c r="C2046" s="2" t="s">
        <v>8367</v>
      </c>
      <c r="D2046" s="2" t="s">
        <v>8368</v>
      </c>
      <c r="E2046" s="2" t="s">
        <v>695</v>
      </c>
      <c r="F2046" s="2" t="s">
        <v>8369</v>
      </c>
    </row>
    <row r="2047" ht="36.0" customHeight="1">
      <c r="A2047" s="3" t="s">
        <v>8370</v>
      </c>
      <c r="B2047" s="3" t="s">
        <v>8279</v>
      </c>
      <c r="C2047" s="3" t="s">
        <v>8371</v>
      </c>
      <c r="D2047" s="3" t="s">
        <v>8372</v>
      </c>
      <c r="E2047" s="3" t="s">
        <v>695</v>
      </c>
      <c r="F2047" s="3" t="s">
        <v>8373</v>
      </c>
    </row>
    <row r="2048" ht="36.0" customHeight="1">
      <c r="A2048" s="2" t="s">
        <v>8374</v>
      </c>
      <c r="B2048" s="2" t="s">
        <v>8279</v>
      </c>
      <c r="C2048" s="2" t="s">
        <v>8375</v>
      </c>
      <c r="D2048" s="2" t="s">
        <v>8376</v>
      </c>
      <c r="E2048" s="2" t="s">
        <v>695</v>
      </c>
      <c r="F2048" s="2" t="s">
        <v>8377</v>
      </c>
    </row>
    <row r="2049" ht="36.0" customHeight="1">
      <c r="A2049" s="3" t="s">
        <v>8378</v>
      </c>
      <c r="B2049" s="3" t="s">
        <v>8279</v>
      </c>
      <c r="C2049" s="3" t="s">
        <v>8379</v>
      </c>
      <c r="D2049" s="3" t="s">
        <v>8380</v>
      </c>
      <c r="E2049" s="3" t="s">
        <v>695</v>
      </c>
      <c r="F2049" s="3" t="s">
        <v>8381</v>
      </c>
    </row>
    <row r="2050" ht="36.0" customHeight="1">
      <c r="A2050" s="2" t="s">
        <v>8382</v>
      </c>
      <c r="B2050" s="2" t="s">
        <v>8279</v>
      </c>
      <c r="C2050" s="2" t="s">
        <v>8383</v>
      </c>
      <c r="D2050" s="2" t="s">
        <v>8384</v>
      </c>
      <c r="E2050" s="2" t="s">
        <v>695</v>
      </c>
      <c r="F2050" s="2" t="s">
        <v>8385</v>
      </c>
    </row>
    <row r="2051" ht="36.0" customHeight="1">
      <c r="A2051" s="3" t="s">
        <v>8386</v>
      </c>
      <c r="B2051" s="3" t="s">
        <v>8279</v>
      </c>
      <c r="C2051" s="3" t="s">
        <v>8387</v>
      </c>
      <c r="D2051" s="3" t="s">
        <v>8388</v>
      </c>
      <c r="E2051" s="3" t="s">
        <v>2811</v>
      </c>
      <c r="F2051" s="3" t="s">
        <v>8389</v>
      </c>
    </row>
    <row r="2052" ht="36.0" customHeight="1">
      <c r="A2052" s="2" t="s">
        <v>8390</v>
      </c>
      <c r="B2052" s="2" t="s">
        <v>8279</v>
      </c>
      <c r="C2052" s="2" t="s">
        <v>8391</v>
      </c>
      <c r="D2052" s="2" t="s">
        <v>8392</v>
      </c>
      <c r="E2052" s="2" t="s">
        <v>91</v>
      </c>
      <c r="F2052" s="2" t="s">
        <v>8393</v>
      </c>
    </row>
    <row r="2053" ht="36.0" customHeight="1">
      <c r="A2053" s="3" t="s">
        <v>8394</v>
      </c>
      <c r="B2053" s="3" t="s">
        <v>8279</v>
      </c>
      <c r="C2053" s="3" t="s">
        <v>8395</v>
      </c>
      <c r="D2053" s="3" t="s">
        <v>8396</v>
      </c>
      <c r="E2053" s="3" t="s">
        <v>1263</v>
      </c>
      <c r="F2053" s="3" t="s">
        <v>8397</v>
      </c>
    </row>
    <row r="2054" ht="36.0" customHeight="1">
      <c r="A2054" s="2" t="s">
        <v>8398</v>
      </c>
      <c r="B2054" s="2" t="s">
        <v>8279</v>
      </c>
      <c r="C2054" s="2" t="s">
        <v>8399</v>
      </c>
      <c r="D2054" s="2" t="s">
        <v>8400</v>
      </c>
      <c r="E2054" s="2" t="s">
        <v>695</v>
      </c>
      <c r="F2054" s="2" t="s">
        <v>8401</v>
      </c>
    </row>
    <row r="2055" ht="36.0" customHeight="1">
      <c r="A2055" s="3" t="s">
        <v>8402</v>
      </c>
      <c r="B2055" s="3" t="s">
        <v>8279</v>
      </c>
      <c r="C2055" s="3" t="s">
        <v>8403</v>
      </c>
      <c r="D2055" s="3" t="s">
        <v>8404</v>
      </c>
      <c r="E2055" s="3" t="s">
        <v>695</v>
      </c>
      <c r="F2055" s="3" t="s">
        <v>8405</v>
      </c>
    </row>
    <row r="2056" ht="36.0" customHeight="1">
      <c r="A2056" s="2" t="s">
        <v>8406</v>
      </c>
      <c r="B2056" s="2" t="s">
        <v>8279</v>
      </c>
      <c r="C2056" s="2" t="s">
        <v>8407</v>
      </c>
      <c r="D2056" s="2" t="s">
        <v>8408</v>
      </c>
      <c r="E2056" s="2" t="s">
        <v>1401</v>
      </c>
      <c r="F2056" s="2" t="s">
        <v>8409</v>
      </c>
    </row>
    <row r="2057" ht="36.0" customHeight="1">
      <c r="A2057" s="3" t="s">
        <v>8410</v>
      </c>
      <c r="B2057" s="3" t="s">
        <v>8279</v>
      </c>
      <c r="C2057" s="3" t="s">
        <v>8411</v>
      </c>
      <c r="D2057" s="3" t="s">
        <v>8412</v>
      </c>
      <c r="E2057" s="3" t="s">
        <v>2514</v>
      </c>
      <c r="F2057" s="3" t="s">
        <v>8413</v>
      </c>
    </row>
    <row r="2058" ht="36.0" customHeight="1">
      <c r="A2058" s="2" t="s">
        <v>8414</v>
      </c>
      <c r="B2058" s="2" t="s">
        <v>8279</v>
      </c>
      <c r="C2058" s="2" t="s">
        <v>8415</v>
      </c>
      <c r="D2058" s="2" t="s">
        <v>8416</v>
      </c>
      <c r="E2058" s="2" t="s">
        <v>2514</v>
      </c>
      <c r="F2058" s="2" t="s">
        <v>8417</v>
      </c>
    </row>
    <row r="2059" ht="36.0" customHeight="1">
      <c r="A2059" s="3" t="s">
        <v>8418</v>
      </c>
      <c r="B2059" s="3" t="s">
        <v>8279</v>
      </c>
      <c r="C2059" s="3" t="s">
        <v>8419</v>
      </c>
      <c r="D2059" s="3" t="s">
        <v>8420</v>
      </c>
      <c r="E2059" s="3" t="s">
        <v>5617</v>
      </c>
      <c r="F2059" s="3" t="s">
        <v>8421</v>
      </c>
    </row>
    <row r="2060" ht="36.0" customHeight="1">
      <c r="A2060" s="2" t="s">
        <v>8422</v>
      </c>
      <c r="B2060" s="2" t="s">
        <v>8279</v>
      </c>
      <c r="C2060" s="2" t="s">
        <v>8423</v>
      </c>
      <c r="D2060" s="2" t="s">
        <v>8424</v>
      </c>
      <c r="E2060" s="2" t="s">
        <v>2855</v>
      </c>
      <c r="F2060" s="2" t="s">
        <v>8425</v>
      </c>
    </row>
    <row r="2061" ht="36.0" customHeight="1">
      <c r="A2061" s="3" t="s">
        <v>8426</v>
      </c>
      <c r="B2061" s="3" t="s">
        <v>8279</v>
      </c>
      <c r="C2061" s="3" t="s">
        <v>8427</v>
      </c>
      <c r="D2061" s="3" t="s">
        <v>8428</v>
      </c>
      <c r="E2061" s="3" t="s">
        <v>538</v>
      </c>
      <c r="F2061" s="3" t="s">
        <v>8429</v>
      </c>
    </row>
    <row r="2062" ht="36.0" customHeight="1">
      <c r="A2062" s="2" t="s">
        <v>8430</v>
      </c>
      <c r="B2062" s="2" t="s">
        <v>8279</v>
      </c>
      <c r="C2062" s="2" t="s">
        <v>8431</v>
      </c>
      <c r="D2062" s="2" t="s">
        <v>8432</v>
      </c>
      <c r="E2062" s="2" t="s">
        <v>19</v>
      </c>
      <c r="F2062" s="2" t="s">
        <v>8433</v>
      </c>
    </row>
    <row r="2063" ht="36.0" customHeight="1">
      <c r="A2063" s="3" t="s">
        <v>8434</v>
      </c>
      <c r="B2063" s="3" t="s">
        <v>8279</v>
      </c>
      <c r="C2063" s="3" t="s">
        <v>8435</v>
      </c>
      <c r="D2063" s="3" t="s">
        <v>8436</v>
      </c>
      <c r="E2063" s="3" t="s">
        <v>435</v>
      </c>
      <c r="F2063" s="3" t="s">
        <v>8437</v>
      </c>
    </row>
    <row r="2064" ht="36.0" customHeight="1">
      <c r="A2064" s="2" t="s">
        <v>8438</v>
      </c>
      <c r="B2064" s="2" t="s">
        <v>8279</v>
      </c>
      <c r="C2064" s="2" t="s">
        <v>8439</v>
      </c>
      <c r="D2064" s="2" t="s">
        <v>8440</v>
      </c>
      <c r="E2064" s="2" t="s">
        <v>24</v>
      </c>
      <c r="F2064" s="2" t="s">
        <v>8441</v>
      </c>
    </row>
    <row r="2065" ht="36.0" customHeight="1">
      <c r="A2065" s="3" t="s">
        <v>8442</v>
      </c>
      <c r="B2065" s="3" t="s">
        <v>8279</v>
      </c>
      <c r="C2065" s="3" t="s">
        <v>8443</v>
      </c>
      <c r="D2065" s="3" t="s">
        <v>8444</v>
      </c>
      <c r="E2065" s="3" t="s">
        <v>3895</v>
      </c>
      <c r="F2065" s="3" t="s">
        <v>8445</v>
      </c>
    </row>
    <row r="2066" ht="36.0" customHeight="1">
      <c r="A2066" s="2" t="s">
        <v>8446</v>
      </c>
      <c r="B2066" s="2" t="s">
        <v>8279</v>
      </c>
      <c r="C2066" s="2" t="s">
        <v>8447</v>
      </c>
      <c r="D2066" s="2" t="s">
        <v>8448</v>
      </c>
      <c r="E2066" s="2" t="s">
        <v>3473</v>
      </c>
      <c r="F2066" s="2" t="s">
        <v>8449</v>
      </c>
    </row>
    <row r="2067" ht="36.0" customHeight="1">
      <c r="A2067" s="3" t="s">
        <v>8450</v>
      </c>
      <c r="B2067" s="3" t="s">
        <v>8279</v>
      </c>
      <c r="C2067" s="3" t="s">
        <v>8451</v>
      </c>
      <c r="D2067" s="3" t="s">
        <v>8452</v>
      </c>
      <c r="E2067" s="3" t="s">
        <v>7510</v>
      </c>
      <c r="F2067" s="3" t="s">
        <v>8453</v>
      </c>
    </row>
    <row r="2068" ht="36.0" customHeight="1">
      <c r="A2068" s="2" t="s">
        <v>8454</v>
      </c>
      <c r="B2068" s="2" t="s">
        <v>8279</v>
      </c>
      <c r="C2068" s="2" t="s">
        <v>8455</v>
      </c>
      <c r="D2068" s="2" t="s">
        <v>8456</v>
      </c>
      <c r="E2068" s="2" t="s">
        <v>538</v>
      </c>
      <c r="F2068" s="2" t="s">
        <v>8457</v>
      </c>
    </row>
    <row r="2069" ht="36.0" customHeight="1">
      <c r="A2069" s="3" t="s">
        <v>8458</v>
      </c>
      <c r="B2069" s="3" t="s">
        <v>8279</v>
      </c>
      <c r="C2069" s="3" t="s">
        <v>8459</v>
      </c>
      <c r="D2069" s="3" t="s">
        <v>8460</v>
      </c>
      <c r="E2069" s="3" t="s">
        <v>19</v>
      </c>
      <c r="F2069" s="3" t="s">
        <v>8461</v>
      </c>
    </row>
    <row r="2070" ht="36.0" customHeight="1">
      <c r="A2070" s="2" t="s">
        <v>8462</v>
      </c>
      <c r="B2070" s="2" t="s">
        <v>8279</v>
      </c>
      <c r="C2070" s="2" t="s">
        <v>8463</v>
      </c>
      <c r="D2070" s="2" t="s">
        <v>8464</v>
      </c>
      <c r="E2070" s="2" t="s">
        <v>19</v>
      </c>
      <c r="F2070" s="2" t="s">
        <v>8465</v>
      </c>
    </row>
    <row r="2071" ht="36.0" customHeight="1">
      <c r="A2071" s="3" t="s">
        <v>8466</v>
      </c>
      <c r="B2071" s="3" t="s">
        <v>8279</v>
      </c>
      <c r="C2071" s="3" t="s">
        <v>8467</v>
      </c>
      <c r="D2071" s="3" t="s">
        <v>8468</v>
      </c>
      <c r="E2071" s="3" t="s">
        <v>19</v>
      </c>
      <c r="F2071" s="3" t="s">
        <v>8469</v>
      </c>
    </row>
    <row r="2072" ht="36.0" customHeight="1">
      <c r="A2072" s="2" t="s">
        <v>8470</v>
      </c>
      <c r="B2072" s="2" t="s">
        <v>8279</v>
      </c>
      <c r="C2072" s="2" t="s">
        <v>8471</v>
      </c>
      <c r="D2072" s="2" t="s">
        <v>8472</v>
      </c>
      <c r="E2072" s="2" t="s">
        <v>430</v>
      </c>
      <c r="F2072" s="2" t="s">
        <v>8473</v>
      </c>
    </row>
    <row r="2073" ht="36.0" customHeight="1">
      <c r="A2073" s="3" t="s">
        <v>8474</v>
      </c>
      <c r="B2073" s="3" t="s">
        <v>8279</v>
      </c>
      <c r="C2073" s="3" t="s">
        <v>8475</v>
      </c>
      <c r="D2073" s="3" t="s">
        <v>8476</v>
      </c>
      <c r="E2073" s="3" t="s">
        <v>430</v>
      </c>
      <c r="F2073" s="3" t="s">
        <v>8477</v>
      </c>
    </row>
    <row r="2074" ht="36.0" customHeight="1">
      <c r="A2074" s="2" t="s">
        <v>8478</v>
      </c>
      <c r="B2074" s="2" t="s">
        <v>8279</v>
      </c>
      <c r="C2074" s="2" t="s">
        <v>8479</v>
      </c>
      <c r="D2074" s="2" t="s">
        <v>8480</v>
      </c>
      <c r="E2074" s="2" t="s">
        <v>430</v>
      </c>
      <c r="F2074" s="2" t="s">
        <v>8481</v>
      </c>
    </row>
    <row r="2075" ht="36.0" customHeight="1">
      <c r="A2075" s="3" t="s">
        <v>8482</v>
      </c>
      <c r="B2075" s="3" t="s">
        <v>8279</v>
      </c>
      <c r="C2075" s="3" t="s">
        <v>8483</v>
      </c>
      <c r="D2075" s="3" t="s">
        <v>8484</v>
      </c>
      <c r="E2075" s="3" t="s">
        <v>978</v>
      </c>
      <c r="F2075" s="3" t="s">
        <v>8485</v>
      </c>
    </row>
    <row r="2076" ht="36.0" customHeight="1">
      <c r="A2076" s="2" t="s">
        <v>8486</v>
      </c>
      <c r="B2076" s="2" t="s">
        <v>8279</v>
      </c>
      <c r="C2076" s="2" t="s">
        <v>8487</v>
      </c>
      <c r="D2076" s="2" t="s">
        <v>8488</v>
      </c>
      <c r="E2076" s="2" t="s">
        <v>7510</v>
      </c>
      <c r="F2076" s="2" t="s">
        <v>8489</v>
      </c>
    </row>
    <row r="2077" ht="36.0" customHeight="1">
      <c r="A2077" s="3" t="s">
        <v>8490</v>
      </c>
      <c r="B2077" s="3" t="s">
        <v>8279</v>
      </c>
      <c r="C2077" s="3" t="s">
        <v>8491</v>
      </c>
      <c r="D2077" s="3" t="s">
        <v>8492</v>
      </c>
      <c r="E2077" s="3" t="s">
        <v>96</v>
      </c>
      <c r="F2077" s="3" t="s">
        <v>8493</v>
      </c>
    </row>
    <row r="2078" ht="36.0" customHeight="1">
      <c r="A2078" s="2" t="s">
        <v>8494</v>
      </c>
      <c r="B2078" s="2" t="s">
        <v>8279</v>
      </c>
      <c r="C2078" s="2" t="s">
        <v>8495</v>
      </c>
      <c r="D2078" s="2" t="s">
        <v>8496</v>
      </c>
      <c r="E2078" s="2" t="s">
        <v>1401</v>
      </c>
      <c r="F2078" s="2" t="s">
        <v>8497</v>
      </c>
    </row>
    <row r="2079" ht="36.0" customHeight="1">
      <c r="A2079" s="3" t="s">
        <v>8498</v>
      </c>
      <c r="B2079" s="3" t="s">
        <v>8279</v>
      </c>
      <c r="C2079" s="3" t="s">
        <v>8499</v>
      </c>
      <c r="D2079" s="3" t="s">
        <v>8500</v>
      </c>
      <c r="E2079" s="3" t="s">
        <v>3473</v>
      </c>
      <c r="F2079" s="3" t="s">
        <v>8501</v>
      </c>
    </row>
    <row r="2080" ht="36.0" customHeight="1">
      <c r="A2080" s="2" t="s">
        <v>8502</v>
      </c>
      <c r="B2080" s="2" t="s">
        <v>8279</v>
      </c>
      <c r="C2080" s="2" t="s">
        <v>8503</v>
      </c>
      <c r="D2080" s="2" t="s">
        <v>8504</v>
      </c>
      <c r="E2080" s="2" t="s">
        <v>7510</v>
      </c>
      <c r="F2080" s="2" t="s">
        <v>8505</v>
      </c>
    </row>
    <row r="2081" ht="36.0" customHeight="1">
      <c r="A2081" s="3" t="s">
        <v>8506</v>
      </c>
      <c r="B2081" s="3" t="s">
        <v>8279</v>
      </c>
      <c r="C2081" s="3" t="s">
        <v>8507</v>
      </c>
      <c r="D2081" s="3" t="s">
        <v>8508</v>
      </c>
      <c r="E2081" s="3" t="s">
        <v>8509</v>
      </c>
      <c r="F2081" s="3" t="s">
        <v>8510</v>
      </c>
    </row>
    <row r="2082" ht="36.0" customHeight="1">
      <c r="A2082" s="2" t="s">
        <v>8511</v>
      </c>
      <c r="B2082" s="2" t="s">
        <v>8279</v>
      </c>
      <c r="C2082" s="2" t="s">
        <v>8512</v>
      </c>
      <c r="D2082" s="2" t="s">
        <v>8513</v>
      </c>
      <c r="E2082" s="2" t="s">
        <v>8514</v>
      </c>
      <c r="F2082" s="2" t="s">
        <v>8515</v>
      </c>
    </row>
    <row r="2083" ht="36.0" customHeight="1">
      <c r="A2083" s="3" t="s">
        <v>8516</v>
      </c>
      <c r="B2083" s="3" t="s">
        <v>8279</v>
      </c>
      <c r="C2083" s="3" t="s">
        <v>8517</v>
      </c>
      <c r="D2083" s="3" t="s">
        <v>8518</v>
      </c>
      <c r="E2083" s="3" t="s">
        <v>430</v>
      </c>
      <c r="F2083" s="3" t="s">
        <v>8519</v>
      </c>
    </row>
    <row r="2084" ht="36.0" customHeight="1">
      <c r="A2084" s="2" t="s">
        <v>8520</v>
      </c>
      <c r="B2084" s="2" t="s">
        <v>8279</v>
      </c>
      <c r="C2084" s="2" t="s">
        <v>8521</v>
      </c>
      <c r="D2084" s="2" t="s">
        <v>8522</v>
      </c>
      <c r="E2084" s="2" t="s">
        <v>91</v>
      </c>
      <c r="F2084" s="2" t="s">
        <v>8523</v>
      </c>
    </row>
    <row r="2085" ht="36.0" customHeight="1">
      <c r="A2085" s="3" t="s">
        <v>8524</v>
      </c>
      <c r="B2085" s="3" t="s">
        <v>8279</v>
      </c>
      <c r="C2085" s="3" t="s">
        <v>8525</v>
      </c>
      <c r="D2085" s="3" t="s">
        <v>8526</v>
      </c>
      <c r="E2085" s="3" t="s">
        <v>695</v>
      </c>
      <c r="F2085" s="3" t="s">
        <v>8527</v>
      </c>
    </row>
    <row r="2086" ht="36.0" customHeight="1">
      <c r="A2086" s="2" t="s">
        <v>8528</v>
      </c>
      <c r="B2086" s="2" t="s">
        <v>8279</v>
      </c>
      <c r="C2086" s="2" t="s">
        <v>8529</v>
      </c>
      <c r="D2086" s="2" t="s">
        <v>8530</v>
      </c>
      <c r="E2086" s="2" t="s">
        <v>2982</v>
      </c>
      <c r="F2086" s="2" t="s">
        <v>8531</v>
      </c>
    </row>
    <row r="2087" ht="36.0" customHeight="1">
      <c r="A2087" s="3" t="s">
        <v>8532</v>
      </c>
      <c r="B2087" s="3" t="s">
        <v>8279</v>
      </c>
      <c r="C2087" s="3" t="s">
        <v>8533</v>
      </c>
      <c r="D2087" s="3" t="s">
        <v>8534</v>
      </c>
      <c r="E2087" s="3" t="s">
        <v>2514</v>
      </c>
      <c r="F2087" s="3" t="s">
        <v>8535</v>
      </c>
    </row>
    <row r="2088" ht="36.0" customHeight="1">
      <c r="A2088" s="2" t="s">
        <v>8536</v>
      </c>
      <c r="B2088" s="2" t="s">
        <v>8279</v>
      </c>
      <c r="C2088" s="2" t="s">
        <v>8537</v>
      </c>
      <c r="D2088" s="2" t="s">
        <v>8538</v>
      </c>
      <c r="E2088" s="2" t="s">
        <v>695</v>
      </c>
      <c r="F2088" s="2" t="s">
        <v>8539</v>
      </c>
    </row>
    <row r="2089" ht="36.0" customHeight="1">
      <c r="A2089" s="3" t="s">
        <v>8540</v>
      </c>
      <c r="B2089" s="3" t="s">
        <v>8541</v>
      </c>
      <c r="C2089" s="3" t="s">
        <v>8542</v>
      </c>
      <c r="D2089" s="3" t="s">
        <v>8543</v>
      </c>
      <c r="E2089" s="3" t="s">
        <v>7510</v>
      </c>
      <c r="F2089" s="3" t="s">
        <v>8544</v>
      </c>
    </row>
    <row r="2090" ht="36.0" customHeight="1">
      <c r="A2090" s="2" t="s">
        <v>8545</v>
      </c>
      <c r="B2090" s="2" t="s">
        <v>8541</v>
      </c>
      <c r="C2090" s="2" t="s">
        <v>8546</v>
      </c>
      <c r="D2090" s="2" t="s">
        <v>8547</v>
      </c>
      <c r="E2090" s="2" t="s">
        <v>3473</v>
      </c>
      <c r="F2090" s="2" t="s">
        <v>8548</v>
      </c>
    </row>
    <row r="2091" ht="36.0" customHeight="1">
      <c r="A2091" s="3" t="s">
        <v>8549</v>
      </c>
      <c r="B2091" s="3" t="s">
        <v>8541</v>
      </c>
      <c r="C2091" s="3" t="s">
        <v>8550</v>
      </c>
      <c r="D2091" s="3" t="s">
        <v>8551</v>
      </c>
      <c r="E2091" s="3" t="s">
        <v>62</v>
      </c>
      <c r="F2091" s="3" t="s">
        <v>8552</v>
      </c>
    </row>
    <row r="2092" ht="36.0" customHeight="1">
      <c r="A2092" s="2" t="s">
        <v>8553</v>
      </c>
      <c r="B2092" s="2" t="s">
        <v>8541</v>
      </c>
      <c r="C2092" s="2" t="s">
        <v>8554</v>
      </c>
      <c r="D2092" s="2" t="s">
        <v>8555</v>
      </c>
      <c r="E2092" s="2" t="s">
        <v>517</v>
      </c>
      <c r="F2092" s="2" t="s">
        <v>8556</v>
      </c>
    </row>
    <row r="2093" ht="36.0" customHeight="1">
      <c r="A2093" s="3" t="s">
        <v>8557</v>
      </c>
      <c r="B2093" s="3" t="s">
        <v>8541</v>
      </c>
      <c r="C2093" s="3" t="s">
        <v>8558</v>
      </c>
      <c r="D2093" s="3" t="s">
        <v>8559</v>
      </c>
      <c r="E2093" s="3" t="s">
        <v>517</v>
      </c>
      <c r="F2093" s="3" t="s">
        <v>8560</v>
      </c>
    </row>
    <row r="2094" ht="36.0" customHeight="1">
      <c r="A2094" s="2" t="s">
        <v>8561</v>
      </c>
      <c r="B2094" s="2" t="s">
        <v>8541</v>
      </c>
      <c r="C2094" s="2" t="s">
        <v>8562</v>
      </c>
      <c r="D2094" s="2" t="s">
        <v>8563</v>
      </c>
      <c r="E2094" s="2" t="s">
        <v>517</v>
      </c>
      <c r="F2094" s="2" t="s">
        <v>8564</v>
      </c>
    </row>
    <row r="2095" ht="36.0" customHeight="1">
      <c r="A2095" s="3" t="s">
        <v>8565</v>
      </c>
      <c r="B2095" s="3" t="s">
        <v>8541</v>
      </c>
      <c r="C2095" s="3" t="s">
        <v>8566</v>
      </c>
      <c r="D2095" s="3" t="s">
        <v>8567</v>
      </c>
      <c r="E2095" s="3" t="s">
        <v>229</v>
      </c>
      <c r="F2095" s="3" t="s">
        <v>8568</v>
      </c>
    </row>
    <row r="2096" ht="36.0" customHeight="1">
      <c r="A2096" s="2" t="s">
        <v>8569</v>
      </c>
      <c r="B2096" s="2" t="s">
        <v>8541</v>
      </c>
      <c r="C2096" s="2" t="s">
        <v>8570</v>
      </c>
      <c r="D2096" s="2" t="s">
        <v>8571</v>
      </c>
      <c r="E2096" s="2" t="s">
        <v>229</v>
      </c>
      <c r="F2096" s="2" t="s">
        <v>8572</v>
      </c>
    </row>
    <row r="2097" ht="36.0" customHeight="1">
      <c r="A2097" s="3" t="s">
        <v>8573</v>
      </c>
      <c r="B2097" s="3" t="s">
        <v>8541</v>
      </c>
      <c r="C2097" s="3" t="s">
        <v>8574</v>
      </c>
      <c r="D2097" s="3" t="s">
        <v>8575</v>
      </c>
      <c r="E2097" s="3" t="s">
        <v>340</v>
      </c>
      <c r="F2097" s="3" t="s">
        <v>8576</v>
      </c>
    </row>
    <row r="2098" ht="36.0" customHeight="1">
      <c r="A2098" s="2" t="s">
        <v>8577</v>
      </c>
      <c r="B2098" s="2" t="s">
        <v>8541</v>
      </c>
      <c r="C2098" s="2" t="s">
        <v>8578</v>
      </c>
      <c r="D2098" s="2" t="s">
        <v>8579</v>
      </c>
      <c r="E2098" s="2" t="s">
        <v>430</v>
      </c>
      <c r="F2098" s="2" t="s">
        <v>8580</v>
      </c>
    </row>
    <row r="2099" ht="36.0" customHeight="1">
      <c r="A2099" s="3" t="s">
        <v>8581</v>
      </c>
      <c r="B2099" s="3" t="s">
        <v>8541</v>
      </c>
      <c r="C2099" s="3" t="s">
        <v>8582</v>
      </c>
      <c r="D2099" s="3" t="s">
        <v>8583</v>
      </c>
      <c r="E2099" s="3" t="s">
        <v>430</v>
      </c>
      <c r="F2099" s="3" t="s">
        <v>8584</v>
      </c>
    </row>
    <row r="2100" ht="36.0" customHeight="1">
      <c r="A2100" s="2" t="s">
        <v>8585</v>
      </c>
      <c r="B2100" s="2" t="s">
        <v>8541</v>
      </c>
      <c r="C2100" s="2" t="s">
        <v>8586</v>
      </c>
      <c r="D2100" s="2" t="s">
        <v>8587</v>
      </c>
      <c r="E2100" s="2" t="s">
        <v>52</v>
      </c>
      <c r="F2100" s="2" t="s">
        <v>8588</v>
      </c>
    </row>
    <row r="2101" ht="36.0" customHeight="1">
      <c r="A2101" s="3" t="s">
        <v>8589</v>
      </c>
      <c r="B2101" s="3" t="s">
        <v>8541</v>
      </c>
      <c r="C2101" s="3" t="s">
        <v>8590</v>
      </c>
      <c r="D2101" s="3" t="s">
        <v>8591</v>
      </c>
      <c r="E2101" s="3" t="s">
        <v>3895</v>
      </c>
      <c r="F2101" s="3" t="s">
        <v>8592</v>
      </c>
    </row>
    <row r="2102" ht="36.0" customHeight="1">
      <c r="A2102" s="2" t="s">
        <v>8593</v>
      </c>
      <c r="B2102" s="2" t="s">
        <v>8541</v>
      </c>
      <c r="C2102" s="2" t="s">
        <v>8594</v>
      </c>
      <c r="D2102" s="2" t="s">
        <v>8595</v>
      </c>
      <c r="E2102" s="2" t="s">
        <v>3473</v>
      </c>
      <c r="F2102" s="2" t="s">
        <v>8596</v>
      </c>
    </row>
    <row r="2103" ht="36.0" customHeight="1">
      <c r="A2103" s="3" t="s">
        <v>8597</v>
      </c>
      <c r="B2103" s="3" t="s">
        <v>8541</v>
      </c>
      <c r="C2103" s="3" t="s">
        <v>8598</v>
      </c>
      <c r="D2103" s="3" t="s">
        <v>8599</v>
      </c>
      <c r="E2103" s="3" t="s">
        <v>3473</v>
      </c>
      <c r="F2103" s="3" t="s">
        <v>8600</v>
      </c>
    </row>
    <row r="2104" ht="36.0" customHeight="1">
      <c r="A2104" s="2" t="s">
        <v>8601</v>
      </c>
      <c r="B2104" s="2" t="s">
        <v>8541</v>
      </c>
      <c r="C2104" s="2" t="s">
        <v>8602</v>
      </c>
      <c r="D2104" s="2" t="s">
        <v>8603</v>
      </c>
      <c r="E2104" s="2" t="s">
        <v>2855</v>
      </c>
      <c r="F2104" s="2" t="s">
        <v>8604</v>
      </c>
    </row>
    <row r="2105" ht="36.0" customHeight="1">
      <c r="A2105" s="3" t="s">
        <v>8605</v>
      </c>
      <c r="B2105" s="3" t="s">
        <v>8541</v>
      </c>
      <c r="C2105" s="3" t="s">
        <v>8606</v>
      </c>
      <c r="D2105" s="3" t="s">
        <v>8607</v>
      </c>
      <c r="E2105" s="3" t="s">
        <v>62</v>
      </c>
      <c r="F2105" s="3" t="s">
        <v>8608</v>
      </c>
    </row>
    <row r="2106" ht="36.0" customHeight="1">
      <c r="A2106" s="2" t="s">
        <v>8609</v>
      </c>
      <c r="B2106" s="2" t="s">
        <v>8541</v>
      </c>
      <c r="C2106" s="2" t="s">
        <v>8610</v>
      </c>
      <c r="D2106" s="2" t="s">
        <v>8611</v>
      </c>
      <c r="E2106" s="2" t="s">
        <v>62</v>
      </c>
      <c r="F2106" s="2" t="s">
        <v>8612</v>
      </c>
    </row>
    <row r="2107" ht="36.0" customHeight="1">
      <c r="A2107" s="3" t="s">
        <v>8613</v>
      </c>
      <c r="B2107" s="3" t="s">
        <v>8541</v>
      </c>
      <c r="C2107" s="3" t="s">
        <v>8614</v>
      </c>
      <c r="D2107" s="3" t="s">
        <v>8615</v>
      </c>
      <c r="E2107" s="3" t="s">
        <v>2811</v>
      </c>
      <c r="F2107" s="3" t="s">
        <v>8616</v>
      </c>
    </row>
    <row r="2108" ht="36.0" customHeight="1">
      <c r="A2108" s="2" t="s">
        <v>8617</v>
      </c>
      <c r="B2108" s="2" t="s">
        <v>8541</v>
      </c>
      <c r="C2108" s="2" t="s">
        <v>8618</v>
      </c>
      <c r="D2108" s="2" t="s">
        <v>8619</v>
      </c>
      <c r="E2108" s="2" t="s">
        <v>224</v>
      </c>
      <c r="F2108" s="2" t="s">
        <v>8620</v>
      </c>
    </row>
    <row r="2109" ht="36.0" customHeight="1">
      <c r="A2109" s="3" t="s">
        <v>8621</v>
      </c>
      <c r="B2109" s="3" t="s">
        <v>8541</v>
      </c>
      <c r="C2109" s="3" t="s">
        <v>8622</v>
      </c>
      <c r="D2109" s="3" t="s">
        <v>8623</v>
      </c>
      <c r="E2109" s="3" t="s">
        <v>3473</v>
      </c>
      <c r="F2109" s="3" t="s">
        <v>8624</v>
      </c>
    </row>
    <row r="2110" ht="36.0" customHeight="1">
      <c r="A2110" s="2" t="s">
        <v>8625</v>
      </c>
      <c r="B2110" s="2" t="s">
        <v>8541</v>
      </c>
      <c r="C2110" s="2" t="s">
        <v>8626</v>
      </c>
      <c r="D2110" s="2" t="s">
        <v>8627</v>
      </c>
      <c r="E2110" s="2" t="s">
        <v>3473</v>
      </c>
      <c r="F2110" s="2" t="s">
        <v>8628</v>
      </c>
    </row>
    <row r="2111" ht="36.0" customHeight="1">
      <c r="A2111" s="3" t="s">
        <v>8629</v>
      </c>
      <c r="B2111" s="3" t="s">
        <v>8541</v>
      </c>
      <c r="C2111" s="3" t="s">
        <v>8630</v>
      </c>
      <c r="D2111" s="3" t="s">
        <v>8631</v>
      </c>
      <c r="E2111" s="3" t="s">
        <v>3473</v>
      </c>
      <c r="F2111" s="3" t="s">
        <v>8632</v>
      </c>
    </row>
    <row r="2112" ht="36.0" customHeight="1">
      <c r="A2112" s="2" t="s">
        <v>8633</v>
      </c>
      <c r="B2112" s="2" t="s">
        <v>8541</v>
      </c>
      <c r="C2112" s="2" t="s">
        <v>8634</v>
      </c>
      <c r="D2112" s="2" t="s">
        <v>8635</v>
      </c>
      <c r="E2112" s="2" t="s">
        <v>7510</v>
      </c>
      <c r="F2112" s="2" t="s">
        <v>8636</v>
      </c>
    </row>
    <row r="2113" ht="36.0" customHeight="1">
      <c r="A2113" s="3" t="s">
        <v>8637</v>
      </c>
      <c r="B2113" s="3" t="s">
        <v>8541</v>
      </c>
      <c r="C2113" s="3" t="s">
        <v>8638</v>
      </c>
      <c r="D2113" s="3" t="s">
        <v>8639</v>
      </c>
      <c r="E2113" s="3" t="s">
        <v>224</v>
      </c>
      <c r="F2113" s="3" t="s">
        <v>8640</v>
      </c>
    </row>
    <row r="2114" ht="36.0" customHeight="1">
      <c r="A2114" s="2" t="s">
        <v>8641</v>
      </c>
      <c r="B2114" s="2" t="s">
        <v>8541</v>
      </c>
      <c r="C2114" s="2" t="s">
        <v>8642</v>
      </c>
      <c r="D2114" s="2" t="s">
        <v>8643</v>
      </c>
      <c r="E2114" s="2" t="s">
        <v>19</v>
      </c>
      <c r="F2114" s="2" t="s">
        <v>8644</v>
      </c>
    </row>
    <row r="2115" ht="36.0" customHeight="1">
      <c r="A2115" s="3" t="s">
        <v>8645</v>
      </c>
      <c r="B2115" s="3" t="s">
        <v>8541</v>
      </c>
      <c r="C2115" s="3" t="s">
        <v>8646</v>
      </c>
      <c r="D2115" s="3" t="s">
        <v>8647</v>
      </c>
      <c r="E2115" s="3" t="s">
        <v>430</v>
      </c>
      <c r="F2115" s="3" t="s">
        <v>8648</v>
      </c>
    </row>
    <row r="2116" ht="36.0" customHeight="1">
      <c r="A2116" s="2" t="s">
        <v>8649</v>
      </c>
      <c r="B2116" s="2" t="s">
        <v>8541</v>
      </c>
      <c r="C2116" s="2" t="s">
        <v>8650</v>
      </c>
      <c r="D2116" s="2" t="s">
        <v>8651</v>
      </c>
      <c r="E2116" s="2" t="s">
        <v>19</v>
      </c>
      <c r="F2116" s="2" t="s">
        <v>8652</v>
      </c>
    </row>
    <row r="2117" ht="36.0" customHeight="1">
      <c r="A2117" s="3" t="s">
        <v>8653</v>
      </c>
      <c r="B2117" s="3" t="s">
        <v>8541</v>
      </c>
      <c r="C2117" s="3" t="s">
        <v>8654</v>
      </c>
      <c r="D2117" s="3" t="s">
        <v>8655</v>
      </c>
      <c r="E2117" s="3" t="s">
        <v>19</v>
      </c>
      <c r="F2117" s="3" t="s">
        <v>8656</v>
      </c>
    </row>
    <row r="2118" ht="36.0" customHeight="1">
      <c r="A2118" s="2" t="s">
        <v>8657</v>
      </c>
      <c r="B2118" s="2" t="s">
        <v>8541</v>
      </c>
      <c r="C2118" s="2" t="s">
        <v>8658</v>
      </c>
      <c r="D2118" s="2" t="s">
        <v>8659</v>
      </c>
      <c r="E2118" s="2" t="s">
        <v>19</v>
      </c>
      <c r="F2118" s="2" t="s">
        <v>8660</v>
      </c>
    </row>
    <row r="2119" ht="36.0" customHeight="1">
      <c r="A2119" s="3" t="s">
        <v>8661</v>
      </c>
      <c r="B2119" s="3" t="s">
        <v>8541</v>
      </c>
      <c r="C2119" s="3" t="s">
        <v>8662</v>
      </c>
      <c r="D2119" s="3" t="s">
        <v>8663</v>
      </c>
      <c r="E2119" s="3" t="s">
        <v>19</v>
      </c>
      <c r="F2119" s="3" t="s">
        <v>8664</v>
      </c>
    </row>
    <row r="2120" ht="36.0" customHeight="1">
      <c r="A2120" s="2" t="s">
        <v>8665</v>
      </c>
      <c r="B2120" s="2" t="s">
        <v>8541</v>
      </c>
      <c r="C2120" s="2" t="s">
        <v>8666</v>
      </c>
      <c r="D2120" s="2" t="s">
        <v>8667</v>
      </c>
      <c r="E2120" s="2" t="s">
        <v>19</v>
      </c>
      <c r="F2120" s="2" t="s">
        <v>8668</v>
      </c>
    </row>
    <row r="2121" ht="36.0" customHeight="1">
      <c r="A2121" s="3" t="s">
        <v>8669</v>
      </c>
      <c r="B2121" s="3" t="s">
        <v>8541</v>
      </c>
      <c r="C2121" s="3" t="s">
        <v>8670</v>
      </c>
      <c r="D2121" s="3" t="s">
        <v>8671</v>
      </c>
      <c r="E2121" s="3" t="s">
        <v>430</v>
      </c>
      <c r="F2121" s="3" t="s">
        <v>8672</v>
      </c>
    </row>
    <row r="2122" ht="36.0" customHeight="1">
      <c r="A2122" s="2" t="s">
        <v>8673</v>
      </c>
      <c r="B2122" s="2" t="s">
        <v>8541</v>
      </c>
      <c r="C2122" s="2" t="s">
        <v>8674</v>
      </c>
      <c r="D2122" s="2" t="s">
        <v>8675</v>
      </c>
      <c r="E2122" s="2" t="s">
        <v>430</v>
      </c>
      <c r="F2122" s="2" t="s">
        <v>8676</v>
      </c>
    </row>
    <row r="2123" ht="36.0" customHeight="1">
      <c r="A2123" s="3" t="s">
        <v>8677</v>
      </c>
      <c r="B2123" s="3" t="s">
        <v>8541</v>
      </c>
      <c r="C2123" s="3" t="s">
        <v>8678</v>
      </c>
      <c r="D2123" s="3" t="s">
        <v>8679</v>
      </c>
      <c r="E2123" s="3" t="s">
        <v>425</v>
      </c>
      <c r="F2123" s="3" t="s">
        <v>8680</v>
      </c>
    </row>
    <row r="2124" ht="36.0" customHeight="1">
      <c r="A2124" s="2" t="s">
        <v>8681</v>
      </c>
      <c r="B2124" s="2" t="s">
        <v>8541</v>
      </c>
      <c r="C2124" s="2" t="s">
        <v>8682</v>
      </c>
      <c r="D2124" s="2" t="s">
        <v>6939</v>
      </c>
      <c r="E2124" s="2" t="s">
        <v>19</v>
      </c>
      <c r="F2124" s="2" t="s">
        <v>8683</v>
      </c>
    </row>
    <row r="2125" ht="36.0" customHeight="1">
      <c r="A2125" s="3" t="s">
        <v>8684</v>
      </c>
      <c r="B2125" s="3" t="s">
        <v>8541</v>
      </c>
      <c r="C2125" s="3" t="s">
        <v>8685</v>
      </c>
      <c r="D2125" s="3" t="s">
        <v>8686</v>
      </c>
      <c r="E2125" s="3" t="s">
        <v>19</v>
      </c>
      <c r="F2125" s="3" t="s">
        <v>8687</v>
      </c>
    </row>
    <row r="2126" ht="36.0" customHeight="1">
      <c r="A2126" s="2" t="s">
        <v>8688</v>
      </c>
      <c r="B2126" s="2" t="s">
        <v>8541</v>
      </c>
      <c r="C2126" s="2" t="s">
        <v>8689</v>
      </c>
      <c r="D2126" s="2" t="s">
        <v>8690</v>
      </c>
      <c r="E2126" s="2" t="s">
        <v>47</v>
      </c>
      <c r="F2126" s="2" t="s">
        <v>8691</v>
      </c>
    </row>
    <row r="2127" ht="36.0" customHeight="1">
      <c r="A2127" s="3" t="s">
        <v>8692</v>
      </c>
      <c r="B2127" s="3" t="s">
        <v>8541</v>
      </c>
      <c r="C2127" s="3" t="s">
        <v>8693</v>
      </c>
      <c r="D2127" s="3" t="s">
        <v>8694</v>
      </c>
      <c r="E2127" s="3" t="s">
        <v>695</v>
      </c>
      <c r="F2127" s="3" t="s">
        <v>8695</v>
      </c>
    </row>
    <row r="2128" ht="36.0" customHeight="1">
      <c r="A2128" s="2" t="s">
        <v>8696</v>
      </c>
      <c r="B2128" s="2" t="s">
        <v>8541</v>
      </c>
      <c r="C2128" s="2" t="s">
        <v>8697</v>
      </c>
      <c r="D2128" s="2" t="s">
        <v>8698</v>
      </c>
      <c r="E2128" s="2" t="s">
        <v>517</v>
      </c>
      <c r="F2128" s="2" t="s">
        <v>8699</v>
      </c>
    </row>
    <row r="2129" ht="36.0" customHeight="1">
      <c r="A2129" s="3" t="s">
        <v>8700</v>
      </c>
      <c r="B2129" s="3" t="s">
        <v>8541</v>
      </c>
      <c r="C2129" s="3" t="s">
        <v>8701</v>
      </c>
      <c r="D2129" s="3" t="s">
        <v>8702</v>
      </c>
      <c r="E2129" s="3" t="s">
        <v>2982</v>
      </c>
      <c r="F2129" s="3" t="s">
        <v>8703</v>
      </c>
    </row>
    <row r="2130" ht="36.0" customHeight="1">
      <c r="A2130" s="2" t="s">
        <v>8704</v>
      </c>
      <c r="B2130" s="2" t="s">
        <v>8541</v>
      </c>
      <c r="C2130" s="2" t="s">
        <v>8705</v>
      </c>
      <c r="D2130" s="2" t="s">
        <v>8706</v>
      </c>
      <c r="E2130" s="2" t="s">
        <v>2977</v>
      </c>
      <c r="F2130" s="2" t="s">
        <v>8707</v>
      </c>
    </row>
    <row r="2131" ht="36.0" customHeight="1">
      <c r="A2131" s="3" t="s">
        <v>8708</v>
      </c>
      <c r="B2131" s="3" t="s">
        <v>8541</v>
      </c>
      <c r="C2131" s="3" t="s">
        <v>8709</v>
      </c>
      <c r="D2131" s="3" t="s">
        <v>8710</v>
      </c>
      <c r="E2131" s="3" t="s">
        <v>2208</v>
      </c>
      <c r="F2131" s="3" t="s">
        <v>8711</v>
      </c>
    </row>
    <row r="2132" ht="36.0" customHeight="1">
      <c r="A2132" s="2" t="s">
        <v>8712</v>
      </c>
      <c r="B2132" s="2" t="s">
        <v>8541</v>
      </c>
      <c r="C2132" s="2" t="s">
        <v>8713</v>
      </c>
      <c r="D2132" s="2" t="s">
        <v>8714</v>
      </c>
      <c r="E2132" s="2" t="s">
        <v>3473</v>
      </c>
      <c r="F2132" s="2" t="s">
        <v>8715</v>
      </c>
    </row>
    <row r="2133" ht="36.0" customHeight="1">
      <c r="A2133" s="3" t="s">
        <v>8716</v>
      </c>
      <c r="B2133" s="3" t="s">
        <v>8541</v>
      </c>
      <c r="C2133" s="3" t="s">
        <v>8717</v>
      </c>
      <c r="D2133" s="3" t="s">
        <v>8718</v>
      </c>
      <c r="E2133" s="3" t="s">
        <v>3473</v>
      </c>
      <c r="F2133" s="3" t="s">
        <v>8719</v>
      </c>
    </row>
    <row r="2134" ht="36.0" customHeight="1">
      <c r="A2134" s="2" t="s">
        <v>8720</v>
      </c>
      <c r="B2134" s="2" t="s">
        <v>8541</v>
      </c>
      <c r="C2134" s="2" t="s">
        <v>8721</v>
      </c>
      <c r="D2134" s="2" t="s">
        <v>8722</v>
      </c>
      <c r="E2134" s="2" t="s">
        <v>2855</v>
      </c>
      <c r="F2134" s="2" t="s">
        <v>8723</v>
      </c>
    </row>
    <row r="2135" ht="36.0" customHeight="1">
      <c r="A2135" s="3" t="s">
        <v>8724</v>
      </c>
      <c r="B2135" s="3" t="s">
        <v>8541</v>
      </c>
      <c r="C2135" s="3" t="s">
        <v>8725</v>
      </c>
      <c r="D2135" s="3" t="s">
        <v>8726</v>
      </c>
      <c r="E2135" s="3" t="s">
        <v>430</v>
      </c>
      <c r="F2135" s="3" t="s">
        <v>8727</v>
      </c>
    </row>
    <row r="2136" ht="36.0" customHeight="1">
      <c r="A2136" s="2" t="s">
        <v>8728</v>
      </c>
      <c r="B2136" s="2" t="s">
        <v>8541</v>
      </c>
      <c r="C2136" s="2" t="s">
        <v>8729</v>
      </c>
      <c r="D2136" s="2" t="s">
        <v>8730</v>
      </c>
      <c r="E2136" s="2" t="s">
        <v>1396</v>
      </c>
      <c r="F2136" s="2" t="s">
        <v>8731</v>
      </c>
    </row>
    <row r="2137" ht="36.0" customHeight="1">
      <c r="A2137" s="3" t="s">
        <v>8732</v>
      </c>
      <c r="B2137" s="3" t="s">
        <v>8541</v>
      </c>
      <c r="C2137" s="3" t="s">
        <v>8733</v>
      </c>
      <c r="D2137" s="3" t="s">
        <v>8734</v>
      </c>
      <c r="E2137" s="3" t="s">
        <v>47</v>
      </c>
      <c r="F2137" s="3" t="s">
        <v>8735</v>
      </c>
    </row>
    <row r="2138" ht="36.0" customHeight="1">
      <c r="A2138" s="2" t="s">
        <v>8736</v>
      </c>
      <c r="B2138" s="2" t="s">
        <v>8541</v>
      </c>
      <c r="C2138" s="2" t="s">
        <v>8737</v>
      </c>
      <c r="D2138" s="2" t="s">
        <v>8738</v>
      </c>
      <c r="E2138" s="2" t="s">
        <v>695</v>
      </c>
      <c r="F2138" s="2" t="s">
        <v>8739</v>
      </c>
    </row>
    <row r="2139" ht="36.0" customHeight="1">
      <c r="A2139" s="3" t="s">
        <v>8740</v>
      </c>
      <c r="B2139" s="3" t="s">
        <v>8541</v>
      </c>
      <c r="C2139" s="3" t="s">
        <v>8741</v>
      </c>
      <c r="D2139" s="3" t="s">
        <v>8742</v>
      </c>
      <c r="E2139" s="3" t="s">
        <v>695</v>
      </c>
      <c r="F2139" s="3" t="s">
        <v>8743</v>
      </c>
    </row>
    <row r="2140" ht="36.0" customHeight="1">
      <c r="A2140" s="2" t="s">
        <v>8744</v>
      </c>
      <c r="B2140" s="2" t="s">
        <v>8541</v>
      </c>
      <c r="C2140" s="2" t="s">
        <v>8745</v>
      </c>
      <c r="D2140" s="2" t="s">
        <v>8746</v>
      </c>
      <c r="E2140" s="2" t="s">
        <v>695</v>
      </c>
      <c r="F2140" s="2" t="s">
        <v>8747</v>
      </c>
    </row>
    <row r="2141" ht="36.0" customHeight="1">
      <c r="A2141" s="3" t="s">
        <v>8748</v>
      </c>
      <c r="B2141" s="3" t="s">
        <v>8541</v>
      </c>
      <c r="C2141" s="3" t="s">
        <v>8749</v>
      </c>
      <c r="D2141" s="3" t="s">
        <v>8750</v>
      </c>
      <c r="E2141" s="3" t="s">
        <v>2855</v>
      </c>
      <c r="F2141" s="3" t="s">
        <v>8751</v>
      </c>
    </row>
    <row r="2142" ht="36.0" customHeight="1">
      <c r="A2142" s="2" t="s">
        <v>8752</v>
      </c>
      <c r="B2142" s="2" t="s">
        <v>8541</v>
      </c>
      <c r="C2142" s="2" t="s">
        <v>8753</v>
      </c>
      <c r="D2142" s="2" t="s">
        <v>8754</v>
      </c>
      <c r="E2142" s="2" t="s">
        <v>695</v>
      </c>
      <c r="F2142" s="2" t="s">
        <v>8755</v>
      </c>
    </row>
    <row r="2143" ht="36.0" customHeight="1">
      <c r="A2143" s="3" t="s">
        <v>8756</v>
      </c>
      <c r="B2143" s="3" t="s">
        <v>8541</v>
      </c>
      <c r="C2143" s="3" t="s">
        <v>8757</v>
      </c>
      <c r="D2143" s="3" t="s">
        <v>8758</v>
      </c>
      <c r="E2143" s="3" t="s">
        <v>2811</v>
      </c>
      <c r="F2143" s="3" t="s">
        <v>8759</v>
      </c>
    </row>
    <row r="2144" ht="36.0" customHeight="1">
      <c r="A2144" s="2" t="s">
        <v>8760</v>
      </c>
      <c r="B2144" s="2" t="s">
        <v>8541</v>
      </c>
      <c r="C2144" s="2" t="s">
        <v>8761</v>
      </c>
      <c r="D2144" s="2" t="s">
        <v>8762</v>
      </c>
      <c r="E2144" s="2" t="s">
        <v>2811</v>
      </c>
      <c r="F2144" s="2" t="s">
        <v>8763</v>
      </c>
    </row>
    <row r="2145" ht="36.0" customHeight="1">
      <c r="A2145" s="3" t="s">
        <v>8764</v>
      </c>
      <c r="B2145" s="3" t="s">
        <v>8541</v>
      </c>
      <c r="C2145" s="3" t="s">
        <v>8765</v>
      </c>
      <c r="D2145" s="3" t="s">
        <v>8766</v>
      </c>
      <c r="E2145" s="3" t="s">
        <v>2811</v>
      </c>
      <c r="F2145" s="3" t="s">
        <v>8767</v>
      </c>
    </row>
    <row r="2146" ht="36.0" customHeight="1">
      <c r="A2146" s="2" t="s">
        <v>8768</v>
      </c>
      <c r="B2146" s="2" t="s">
        <v>8541</v>
      </c>
      <c r="C2146" s="2" t="s">
        <v>8769</v>
      </c>
      <c r="D2146" s="2" t="s">
        <v>8770</v>
      </c>
      <c r="E2146" s="2" t="s">
        <v>695</v>
      </c>
      <c r="F2146" s="2" t="s">
        <v>8771</v>
      </c>
    </row>
    <row r="2147" ht="36.0" customHeight="1">
      <c r="A2147" s="3" t="s">
        <v>8772</v>
      </c>
      <c r="B2147" s="3" t="s">
        <v>8541</v>
      </c>
      <c r="C2147" s="3" t="s">
        <v>8773</v>
      </c>
      <c r="D2147" s="3" t="s">
        <v>8774</v>
      </c>
      <c r="E2147" s="3" t="s">
        <v>2982</v>
      </c>
      <c r="F2147" s="3" t="s">
        <v>8775</v>
      </c>
    </row>
    <row r="2148" ht="36.0" customHeight="1">
      <c r="A2148" s="2" t="s">
        <v>8776</v>
      </c>
      <c r="B2148" s="2" t="s">
        <v>8541</v>
      </c>
      <c r="C2148" s="2" t="s">
        <v>8777</v>
      </c>
      <c r="D2148" s="2" t="s">
        <v>8778</v>
      </c>
      <c r="E2148" s="2" t="s">
        <v>8779</v>
      </c>
      <c r="F2148" s="2" t="s">
        <v>8780</v>
      </c>
    </row>
    <row r="2149" ht="36.0" customHeight="1">
      <c r="A2149" s="3" t="s">
        <v>8781</v>
      </c>
      <c r="B2149" s="3" t="s">
        <v>8541</v>
      </c>
      <c r="C2149" s="3" t="s">
        <v>8782</v>
      </c>
      <c r="D2149" s="3" t="s">
        <v>8783</v>
      </c>
      <c r="E2149" s="3" t="s">
        <v>430</v>
      </c>
      <c r="F2149" s="3" t="s">
        <v>8784</v>
      </c>
    </row>
    <row r="2150" ht="36.0" customHeight="1">
      <c r="A2150" s="2" t="s">
        <v>8785</v>
      </c>
      <c r="B2150" s="2" t="s">
        <v>8541</v>
      </c>
      <c r="C2150" s="2" t="s">
        <v>8786</v>
      </c>
      <c r="D2150" s="2" t="s">
        <v>8787</v>
      </c>
      <c r="E2150" s="2" t="s">
        <v>2811</v>
      </c>
      <c r="F2150" s="2" t="s">
        <v>8788</v>
      </c>
    </row>
    <row r="2151" ht="36.0" customHeight="1">
      <c r="A2151" s="3" t="s">
        <v>8789</v>
      </c>
      <c r="B2151" s="3" t="s">
        <v>8541</v>
      </c>
      <c r="C2151" s="3" t="s">
        <v>8790</v>
      </c>
      <c r="D2151" s="3" t="s">
        <v>8791</v>
      </c>
      <c r="E2151" s="3" t="s">
        <v>3473</v>
      </c>
      <c r="F2151" s="3" t="s">
        <v>8792</v>
      </c>
    </row>
    <row r="2152" ht="36.0" customHeight="1">
      <c r="A2152" s="2" t="s">
        <v>8793</v>
      </c>
      <c r="B2152" s="2" t="s">
        <v>8794</v>
      </c>
      <c r="C2152" s="2" t="s">
        <v>8795</v>
      </c>
      <c r="D2152" s="2" t="s">
        <v>8796</v>
      </c>
      <c r="E2152" s="2" t="s">
        <v>2126</v>
      </c>
      <c r="F2152" s="2" t="s">
        <v>8797</v>
      </c>
    </row>
    <row r="2153" ht="36.0" customHeight="1">
      <c r="A2153" s="3" t="s">
        <v>8798</v>
      </c>
      <c r="B2153" s="3" t="s">
        <v>8794</v>
      </c>
      <c r="C2153" s="3" t="s">
        <v>8799</v>
      </c>
      <c r="D2153" s="3" t="s">
        <v>8800</v>
      </c>
      <c r="E2153" s="3" t="s">
        <v>2855</v>
      </c>
      <c r="F2153" s="3" t="s">
        <v>8801</v>
      </c>
    </row>
    <row r="2154" ht="36.0" customHeight="1">
      <c r="A2154" s="2" t="s">
        <v>8802</v>
      </c>
      <c r="B2154" s="2" t="s">
        <v>8794</v>
      </c>
      <c r="C2154" s="2" t="s">
        <v>8803</v>
      </c>
      <c r="D2154" s="2" t="s">
        <v>8804</v>
      </c>
      <c r="E2154" s="2" t="s">
        <v>2982</v>
      </c>
      <c r="F2154" s="2" t="s">
        <v>8805</v>
      </c>
    </row>
    <row r="2155" ht="36.0" customHeight="1">
      <c r="A2155" s="3" t="s">
        <v>8806</v>
      </c>
      <c r="B2155" s="3" t="s">
        <v>8794</v>
      </c>
      <c r="C2155" s="3" t="s">
        <v>8807</v>
      </c>
      <c r="D2155" s="3" t="s">
        <v>8808</v>
      </c>
      <c r="E2155" s="3" t="s">
        <v>2982</v>
      </c>
      <c r="F2155" s="3" t="s">
        <v>8809</v>
      </c>
    </row>
    <row r="2156" ht="36.0" customHeight="1">
      <c r="A2156" s="2" t="s">
        <v>8810</v>
      </c>
      <c r="B2156" s="2" t="s">
        <v>8794</v>
      </c>
      <c r="C2156" s="2" t="s">
        <v>8811</v>
      </c>
      <c r="D2156" s="2" t="s">
        <v>8812</v>
      </c>
      <c r="E2156" s="2" t="s">
        <v>2126</v>
      </c>
      <c r="F2156" s="2" t="s">
        <v>8813</v>
      </c>
    </row>
    <row r="2157" ht="36.0" customHeight="1">
      <c r="A2157" s="3" t="s">
        <v>8814</v>
      </c>
      <c r="B2157" s="3" t="s">
        <v>8794</v>
      </c>
      <c r="C2157" s="3" t="s">
        <v>8815</v>
      </c>
      <c r="D2157" s="3" t="s">
        <v>8816</v>
      </c>
      <c r="E2157" s="3" t="s">
        <v>2126</v>
      </c>
      <c r="F2157" s="3" t="s">
        <v>8817</v>
      </c>
    </row>
    <row r="2158" ht="36.0" customHeight="1">
      <c r="A2158" s="2" t="s">
        <v>8818</v>
      </c>
      <c r="B2158" s="2" t="s">
        <v>8794</v>
      </c>
      <c r="C2158" s="2" t="s">
        <v>8819</v>
      </c>
      <c r="D2158" s="2" t="s">
        <v>8820</v>
      </c>
      <c r="E2158" s="2" t="s">
        <v>24</v>
      </c>
      <c r="F2158" s="2" t="s">
        <v>8821</v>
      </c>
    </row>
    <row r="2159" ht="36.0" customHeight="1">
      <c r="A2159" s="3" t="s">
        <v>8822</v>
      </c>
      <c r="B2159" s="3" t="s">
        <v>8794</v>
      </c>
      <c r="C2159" s="3" t="s">
        <v>8823</v>
      </c>
      <c r="D2159" s="3" t="s">
        <v>8824</v>
      </c>
      <c r="E2159" s="3" t="s">
        <v>2982</v>
      </c>
      <c r="F2159" s="3" t="s">
        <v>8825</v>
      </c>
    </row>
    <row r="2160" ht="36.0" customHeight="1">
      <c r="A2160" s="2" t="s">
        <v>8826</v>
      </c>
      <c r="B2160" s="2" t="s">
        <v>8794</v>
      </c>
      <c r="C2160" s="2" t="s">
        <v>8827</v>
      </c>
      <c r="D2160" s="2" t="s">
        <v>8828</v>
      </c>
      <c r="E2160" s="2" t="s">
        <v>57</v>
      </c>
      <c r="F2160" s="2" t="s">
        <v>8829</v>
      </c>
    </row>
    <row r="2161" ht="36.0" customHeight="1">
      <c r="A2161" s="3" t="s">
        <v>8830</v>
      </c>
      <c r="B2161" s="3" t="s">
        <v>8794</v>
      </c>
      <c r="C2161" s="3" t="s">
        <v>8831</v>
      </c>
      <c r="D2161" s="3" t="s">
        <v>8832</v>
      </c>
      <c r="E2161" s="3" t="s">
        <v>8833</v>
      </c>
      <c r="F2161" s="3" t="s">
        <v>8834</v>
      </c>
    </row>
    <row r="2162" ht="36.0" customHeight="1">
      <c r="A2162" s="2" t="s">
        <v>8835</v>
      </c>
      <c r="B2162" s="2" t="s">
        <v>8794</v>
      </c>
      <c r="C2162" s="2" t="s">
        <v>8836</v>
      </c>
      <c r="D2162" s="2" t="s">
        <v>8837</v>
      </c>
      <c r="E2162" s="2" t="s">
        <v>4837</v>
      </c>
      <c r="F2162" s="2" t="s">
        <v>8838</v>
      </c>
    </row>
    <row r="2163" ht="36.0" customHeight="1">
      <c r="A2163" s="3" t="s">
        <v>8839</v>
      </c>
      <c r="B2163" s="3" t="s">
        <v>8794</v>
      </c>
      <c r="C2163" s="3" t="s">
        <v>8840</v>
      </c>
      <c r="D2163" s="3" t="s">
        <v>8841</v>
      </c>
      <c r="E2163" s="3" t="s">
        <v>24</v>
      </c>
      <c r="F2163" s="3" t="s">
        <v>8842</v>
      </c>
    </row>
    <row r="2164" ht="36.0" customHeight="1">
      <c r="A2164" s="2" t="s">
        <v>8843</v>
      </c>
      <c r="B2164" s="2" t="s">
        <v>8794</v>
      </c>
      <c r="C2164" s="2" t="s">
        <v>8844</v>
      </c>
      <c r="D2164" s="2" t="s">
        <v>8845</v>
      </c>
      <c r="E2164" s="2" t="s">
        <v>1756</v>
      </c>
      <c r="F2164" s="2" t="s">
        <v>8846</v>
      </c>
    </row>
    <row r="2165" ht="36.0" customHeight="1">
      <c r="A2165" s="3" t="s">
        <v>8847</v>
      </c>
      <c r="B2165" s="3" t="s">
        <v>8794</v>
      </c>
      <c r="C2165" s="3" t="s">
        <v>8848</v>
      </c>
      <c r="D2165" s="3" t="s">
        <v>8849</v>
      </c>
      <c r="E2165" s="3" t="s">
        <v>1655</v>
      </c>
      <c r="F2165" s="3" t="s">
        <v>8850</v>
      </c>
    </row>
    <row r="2166" ht="36.0" customHeight="1">
      <c r="A2166" s="2" t="s">
        <v>8851</v>
      </c>
      <c r="B2166" s="2" t="s">
        <v>8794</v>
      </c>
      <c r="C2166" s="2" t="s">
        <v>8852</v>
      </c>
      <c r="D2166" s="2" t="s">
        <v>8853</v>
      </c>
      <c r="E2166" s="2" t="s">
        <v>2982</v>
      </c>
      <c r="F2166" s="2" t="s">
        <v>8854</v>
      </c>
    </row>
    <row r="2167" ht="36.0" customHeight="1">
      <c r="A2167" s="3" t="s">
        <v>8855</v>
      </c>
      <c r="B2167" s="3" t="s">
        <v>8794</v>
      </c>
      <c r="C2167" s="3" t="s">
        <v>8856</v>
      </c>
      <c r="D2167" s="3" t="s">
        <v>8857</v>
      </c>
      <c r="E2167" s="3" t="s">
        <v>937</v>
      </c>
      <c r="F2167" s="3" t="s">
        <v>8858</v>
      </c>
    </row>
    <row r="2168" ht="36.0" customHeight="1">
      <c r="A2168" s="2" t="s">
        <v>8859</v>
      </c>
      <c r="B2168" s="2" t="s">
        <v>8794</v>
      </c>
      <c r="C2168" s="2" t="s">
        <v>8860</v>
      </c>
      <c r="D2168" s="2" t="s">
        <v>8861</v>
      </c>
      <c r="E2168" s="2" t="s">
        <v>2126</v>
      </c>
      <c r="F2168" s="2" t="s">
        <v>8862</v>
      </c>
    </row>
    <row r="2169" ht="36.0" customHeight="1">
      <c r="A2169" s="3" t="s">
        <v>8863</v>
      </c>
      <c r="B2169" s="3" t="s">
        <v>8794</v>
      </c>
      <c r="C2169" s="3" t="s">
        <v>8864</v>
      </c>
      <c r="D2169" s="3" t="s">
        <v>8865</v>
      </c>
      <c r="E2169" s="3" t="s">
        <v>2982</v>
      </c>
      <c r="F2169" s="3" t="s">
        <v>8866</v>
      </c>
    </row>
    <row r="2170" ht="36.0" customHeight="1">
      <c r="A2170" s="2" t="s">
        <v>8867</v>
      </c>
      <c r="B2170" s="2" t="s">
        <v>8794</v>
      </c>
      <c r="C2170" s="2" t="s">
        <v>8868</v>
      </c>
      <c r="D2170" s="2" t="s">
        <v>8869</v>
      </c>
      <c r="E2170" s="2" t="s">
        <v>2982</v>
      </c>
      <c r="F2170" s="2" t="s">
        <v>8870</v>
      </c>
    </row>
    <row r="2171" ht="36.0" customHeight="1">
      <c r="A2171" s="3" t="s">
        <v>8871</v>
      </c>
      <c r="B2171" s="3" t="s">
        <v>8794</v>
      </c>
      <c r="C2171" s="3" t="s">
        <v>8872</v>
      </c>
      <c r="D2171" s="3" t="s">
        <v>8873</v>
      </c>
      <c r="E2171" s="3" t="s">
        <v>2982</v>
      </c>
      <c r="F2171" s="3" t="s">
        <v>8874</v>
      </c>
    </row>
    <row r="2172" ht="36.0" customHeight="1">
      <c r="A2172" s="2" t="s">
        <v>8875</v>
      </c>
      <c r="B2172" s="2" t="s">
        <v>8794</v>
      </c>
      <c r="C2172" s="2" t="s">
        <v>8876</v>
      </c>
      <c r="D2172" s="2" t="s">
        <v>8877</v>
      </c>
      <c r="E2172" s="2" t="s">
        <v>96</v>
      </c>
      <c r="F2172" s="2" t="s">
        <v>8878</v>
      </c>
    </row>
    <row r="2173" ht="36.0" customHeight="1">
      <c r="A2173" s="3" t="s">
        <v>8879</v>
      </c>
      <c r="B2173" s="3" t="s">
        <v>8794</v>
      </c>
      <c r="C2173" s="3" t="s">
        <v>8880</v>
      </c>
      <c r="D2173" s="3" t="s">
        <v>8881</v>
      </c>
      <c r="E2173" s="3" t="s">
        <v>96</v>
      </c>
      <c r="F2173" s="3" t="s">
        <v>8882</v>
      </c>
    </row>
    <row r="2174" ht="36.0" customHeight="1">
      <c r="A2174" s="2" t="s">
        <v>8883</v>
      </c>
      <c r="B2174" s="2" t="s">
        <v>8794</v>
      </c>
      <c r="C2174" s="2" t="s">
        <v>8884</v>
      </c>
      <c r="D2174" s="2" t="s">
        <v>8885</v>
      </c>
      <c r="E2174" s="2" t="s">
        <v>96</v>
      </c>
      <c r="F2174" s="2" t="s">
        <v>8886</v>
      </c>
    </row>
    <row r="2175" ht="36.0" customHeight="1">
      <c r="A2175" s="3" t="s">
        <v>8887</v>
      </c>
      <c r="B2175" s="3" t="s">
        <v>8794</v>
      </c>
      <c r="C2175" s="3" t="s">
        <v>8888</v>
      </c>
      <c r="D2175" s="3" t="s">
        <v>8889</v>
      </c>
      <c r="E2175" s="3" t="s">
        <v>2514</v>
      </c>
      <c r="F2175" s="3" t="s">
        <v>8890</v>
      </c>
    </row>
    <row r="2176" ht="36.0" customHeight="1">
      <c r="A2176" s="2" t="s">
        <v>8891</v>
      </c>
      <c r="B2176" s="2" t="s">
        <v>8794</v>
      </c>
      <c r="C2176" s="2" t="s">
        <v>8892</v>
      </c>
      <c r="D2176" s="2" t="s">
        <v>8893</v>
      </c>
      <c r="E2176" s="2" t="s">
        <v>2982</v>
      </c>
      <c r="F2176" s="2" t="s">
        <v>8894</v>
      </c>
    </row>
    <row r="2177" ht="36.0" customHeight="1">
      <c r="A2177" s="3" t="s">
        <v>8895</v>
      </c>
      <c r="B2177" s="3" t="s">
        <v>8794</v>
      </c>
      <c r="C2177" s="3" t="s">
        <v>8896</v>
      </c>
      <c r="D2177" s="3" t="s">
        <v>8897</v>
      </c>
      <c r="E2177" s="3" t="s">
        <v>2982</v>
      </c>
      <c r="F2177" s="3" t="s">
        <v>8898</v>
      </c>
    </row>
    <row r="2178" ht="36.0" customHeight="1">
      <c r="A2178" s="2" t="s">
        <v>8899</v>
      </c>
      <c r="B2178" s="2" t="s">
        <v>8794</v>
      </c>
      <c r="C2178" s="2" t="s">
        <v>8900</v>
      </c>
      <c r="D2178" s="2" t="s">
        <v>8901</v>
      </c>
      <c r="E2178" s="2" t="s">
        <v>2982</v>
      </c>
      <c r="F2178" s="2" t="s">
        <v>8902</v>
      </c>
    </row>
    <row r="2179" ht="36.0" customHeight="1">
      <c r="A2179" s="3" t="s">
        <v>8903</v>
      </c>
      <c r="B2179" s="3" t="s">
        <v>8794</v>
      </c>
      <c r="C2179" s="3" t="s">
        <v>8904</v>
      </c>
      <c r="D2179" s="3" t="s">
        <v>8905</v>
      </c>
      <c r="E2179" s="3" t="s">
        <v>8906</v>
      </c>
      <c r="F2179" s="3" t="s">
        <v>8907</v>
      </c>
    </row>
    <row r="2180" ht="36.0" customHeight="1">
      <c r="A2180" s="2" t="s">
        <v>8908</v>
      </c>
      <c r="B2180" s="2" t="s">
        <v>8794</v>
      </c>
      <c r="C2180" s="2" t="s">
        <v>8909</v>
      </c>
      <c r="D2180" s="2" t="s">
        <v>8910</v>
      </c>
      <c r="E2180" s="2" t="s">
        <v>2855</v>
      </c>
      <c r="F2180" s="2" t="s">
        <v>8911</v>
      </c>
    </row>
    <row r="2181" ht="36.0" customHeight="1">
      <c r="A2181" s="3" t="s">
        <v>8912</v>
      </c>
      <c r="B2181" s="3" t="s">
        <v>8794</v>
      </c>
      <c r="C2181" s="3" t="s">
        <v>8913</v>
      </c>
      <c r="D2181" s="3" t="s">
        <v>8914</v>
      </c>
      <c r="E2181" s="3" t="s">
        <v>2855</v>
      </c>
      <c r="F2181" s="3" t="s">
        <v>8915</v>
      </c>
    </row>
    <row r="2182" ht="36.0" customHeight="1">
      <c r="A2182" s="2" t="s">
        <v>8916</v>
      </c>
      <c r="B2182" s="2" t="s">
        <v>8794</v>
      </c>
      <c r="C2182" s="2" t="s">
        <v>8917</v>
      </c>
      <c r="D2182" s="2" t="s">
        <v>8918</v>
      </c>
      <c r="E2182" s="2" t="s">
        <v>2855</v>
      </c>
      <c r="F2182" s="2" t="s">
        <v>8919</v>
      </c>
    </row>
    <row r="2183" ht="36.0" customHeight="1">
      <c r="A2183" s="3" t="s">
        <v>8920</v>
      </c>
      <c r="B2183" s="3" t="s">
        <v>8794</v>
      </c>
      <c r="C2183" s="3" t="s">
        <v>8921</v>
      </c>
      <c r="D2183" s="3" t="s">
        <v>8922</v>
      </c>
      <c r="E2183" s="3" t="s">
        <v>2855</v>
      </c>
      <c r="F2183" s="3" t="s">
        <v>8923</v>
      </c>
    </row>
    <row r="2184" ht="36.0" customHeight="1">
      <c r="A2184" s="2" t="s">
        <v>8924</v>
      </c>
      <c r="B2184" s="2" t="s">
        <v>8794</v>
      </c>
      <c r="C2184" s="2" t="s">
        <v>8925</v>
      </c>
      <c r="D2184" s="2" t="s">
        <v>8926</v>
      </c>
      <c r="E2184" s="2" t="s">
        <v>2855</v>
      </c>
      <c r="F2184" s="2" t="s">
        <v>8927</v>
      </c>
    </row>
  </sheetData>
  <autoFilter ref="$A$1:$F$2184"/>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29"/>
    <col customWidth="1" min="2" max="2" width="8.86"/>
    <col customWidth="1" min="3" max="3" width="245.86"/>
    <col customWidth="1" min="4" max="4" width="111.14"/>
    <col customWidth="1" min="5" max="5" width="74.57"/>
    <col customWidth="1" min="6" max="6" width="17.29"/>
  </cols>
  <sheetData>
    <row r="1">
      <c r="A1" s="1" t="s">
        <v>0</v>
      </c>
      <c r="B1" s="1" t="s">
        <v>1</v>
      </c>
      <c r="C1" s="1" t="s">
        <v>2</v>
      </c>
      <c r="D1" s="1" t="s">
        <v>3</v>
      </c>
      <c r="E1" s="1" t="s">
        <v>4</v>
      </c>
      <c r="F1" s="1" t="s">
        <v>5</v>
      </c>
    </row>
    <row r="2">
      <c r="A2" s="4" t="str">
        <f>IFERROR(__xludf.DUMMYFUNCTION("FILTER('Danh sach'!A2:F2184, 'Danh sach'!B2:B2184=""Kinh tế"")"),"KTE2026-001")</f>
        <v>KTE2026-001</v>
      </c>
      <c r="B2" s="4" t="str">
        <f>IFERROR(__xludf.DUMMYFUNCTION("""COMPUTED_VALUE"""),"Kinh tế")</f>
        <v>Kinh tế</v>
      </c>
      <c r="C2" s="4" t="str">
        <f>IFERROR(__xludf.DUMMYFUNCTION("""COMPUTED_VALUE"""),"Định danh điện tử, tái sử dụng dữ liệu và chi phí tuân thủ trong giải quyết thủ tục hành chính ở Việt Nam: Khung phân tích “hành chính số phòng vệ”")</f>
        <v>Định danh điện tử, tái sử dụng dữ liệu và chi phí tuân thủ trong giải quyết thủ tục hành chính ở Việt Nam: Khung phân tích “hành chính số phòng vệ”</v>
      </c>
      <c r="D2" s="4" t="str">
        <f>IFERROR(__xludf.DUMMYFUNCTION("""COMPUTED_VALUE"""),"Nguyễn Văn Thắng")</f>
        <v>Nguyễn Văn Thắng</v>
      </c>
      <c r="E2" s="4" t="str">
        <f>IFERROR(__xludf.DUMMYFUNCTION("""COMPUTED_VALUE"""),"Học viện Ngoại giao")</f>
        <v>Học viện Ngoại giao</v>
      </c>
      <c r="F2" s="4" t="str">
        <f>IFERROR(__xludf.DUMMYFUNCTION("""COMPUTED_VALUE"""),"KTE2026-001.png")</f>
        <v>KTE2026-001.png</v>
      </c>
    </row>
    <row r="3">
      <c r="A3" s="4" t="str">
        <f>IFERROR(__xludf.DUMMYFUNCTION("""COMPUTED_VALUE"""),"KTE2026-002")</f>
        <v>KTE2026-002</v>
      </c>
      <c r="B3" s="4" t="str">
        <f>IFERROR(__xludf.DUMMYFUNCTION("""COMPUTED_VALUE"""),"Kinh tế")</f>
        <v>Kinh tế</v>
      </c>
      <c r="C3" s="4" t="str">
        <f>IFERROR(__xludf.DUMMYFUNCTION("""COMPUTED_VALUE"""),"Ưu tiên hóa các năng lực tạo lập, nắm giữ và hiện thực hóa giá trị của doanh nghiệp Việt Nam nhằm củng cố thương hiệu quốc gia Việt Nam: Tiếp cận Delphi-AHP")</f>
        <v>Ưu tiên hóa các năng lực tạo lập, nắm giữ và hiện thực hóa giá trị của doanh nghiệp Việt Nam nhằm củng cố thương hiệu quốc gia Việt Nam: Tiếp cận Delphi-AHP</v>
      </c>
      <c r="D3" s="4" t="str">
        <f>IFERROR(__xludf.DUMMYFUNCTION("""COMPUTED_VALUE"""),"Lê Yến Nhi")</f>
        <v>Lê Yến Nhi</v>
      </c>
      <c r="E3" s="4" t="str">
        <f>IFERROR(__xludf.DUMMYFUNCTION("""COMPUTED_VALUE"""),"Học viện Ngoại giao")</f>
        <v>Học viện Ngoại giao</v>
      </c>
      <c r="F3" s="4" t="str">
        <f>IFERROR(__xludf.DUMMYFUNCTION("""COMPUTED_VALUE"""),"KTE2026-002.png")</f>
        <v>KTE2026-002.png</v>
      </c>
    </row>
    <row r="4">
      <c r="A4" s="4" t="str">
        <f>IFERROR(__xludf.DUMMYFUNCTION("""COMPUTED_VALUE"""),"KTE2026-003")</f>
        <v>KTE2026-003</v>
      </c>
      <c r="B4" s="4" t="str">
        <f>IFERROR(__xludf.DUMMYFUNCTION("""COMPUTED_VALUE"""),"Kinh tế")</f>
        <v>Kinh tế</v>
      </c>
      <c r="C4" s="4" t="str">
        <f>IFERROR(__xludf.DUMMYFUNCTION("""COMPUTED_VALUE"""),"EZBIZ – AI hỗ trợ hộ kinh doanh và buôn bán lẻ")</f>
        <v>EZBIZ – AI hỗ trợ hộ kinh doanh và buôn bán lẻ</v>
      </c>
      <c r="D4" s="4" t="str">
        <f>IFERROR(__xludf.DUMMYFUNCTION("""COMPUTED_VALUE"""),"Võ Lê Hải Đăng; Đỗ Na Tra")</f>
        <v>Võ Lê Hải Đăng; Đỗ Na Tra</v>
      </c>
      <c r="E4" s="4" t="str">
        <f>IFERROR(__xludf.DUMMYFUNCTION("""COMPUTED_VALUE"""),"Trường Đại học Nguyễn Tất Thành")</f>
        <v>Trường Đại học Nguyễn Tất Thành</v>
      </c>
      <c r="F4" s="4" t="str">
        <f>IFERROR(__xludf.DUMMYFUNCTION("""COMPUTED_VALUE"""),"KTE2026-003.png")</f>
        <v>KTE2026-003.png</v>
      </c>
    </row>
    <row r="5">
      <c r="A5" s="4" t="str">
        <f>IFERROR(__xludf.DUMMYFUNCTION("""COMPUTED_VALUE"""),"KTE2026-004")</f>
        <v>KTE2026-004</v>
      </c>
      <c r="B5" s="4" t="str">
        <f>IFERROR(__xludf.DUMMYFUNCTION("""COMPUTED_VALUE"""),"Kinh tế")</f>
        <v>Kinh tế</v>
      </c>
      <c r="C5" s="4" t="str">
        <f>IFERROR(__xludf.DUMMYFUNCTION("""COMPUTED_VALUE"""),"Nghiên cứu và phát triển hệ thống gợi ý sản phẩm thương mại điện tử thích ứng động dựa trên mô hình ngôn ngữ lớn")</f>
        <v>Nghiên cứu và phát triển hệ thống gợi ý sản phẩm thương mại điện tử thích ứng động dựa trên mô hình ngôn ngữ lớn</v>
      </c>
      <c r="D5" s="4" t="str">
        <f>IFERROR(__xludf.DUMMYFUNCTION("""COMPUTED_VALUE"""),"Vũ Quốc Vượng; Dương Thị Ngọc Lan")</f>
        <v>Vũ Quốc Vượng; Dương Thị Ngọc Lan</v>
      </c>
      <c r="E5" s="4" t="str">
        <f>IFERROR(__xludf.DUMMYFUNCTION("""COMPUTED_VALUE"""),"Đại học Phenikaa")</f>
        <v>Đại học Phenikaa</v>
      </c>
      <c r="F5" s="4" t="str">
        <f>IFERROR(__xludf.DUMMYFUNCTION("""COMPUTED_VALUE"""),"KTE2026-004.png")</f>
        <v>KTE2026-004.png</v>
      </c>
    </row>
    <row r="6">
      <c r="A6" s="4" t="str">
        <f>IFERROR(__xludf.DUMMYFUNCTION("""COMPUTED_VALUE"""),"KTE2026-005")</f>
        <v>KTE2026-005</v>
      </c>
      <c r="B6" s="4" t="str">
        <f>IFERROR(__xludf.DUMMYFUNCTION("""COMPUTED_VALUE"""),"Kinh tế")</f>
        <v>Kinh tế</v>
      </c>
      <c r="C6" s="4" t="str">
        <f>IFERROR(__xludf.DUMMYFUNCTION("""COMPUTED_VALUE"""),"Tối ưu hoá đa mục tiêu chi phí, thời gian và phát thải cho định tuyến phương tiện kết hợp lựa chọn kho trung gian trong vận tải chuỗi lạnh bằng thuật toán di truyền lai")</f>
        <v>Tối ưu hoá đa mục tiêu chi phí, thời gian và phát thải cho định tuyến phương tiện kết hợp lựa chọn kho trung gian trong vận tải chuỗi lạnh bằng thuật toán di truyền lai</v>
      </c>
      <c r="D6" s="4" t="str">
        <f>IFERROR(__xludf.DUMMYFUNCTION("""COMPUTED_VALUE"""),"Nguyễn Võ Thùy Trang")</f>
        <v>Nguyễn Võ Thùy Trang</v>
      </c>
      <c r="E6" s="4" t="str">
        <f>IFERROR(__xludf.DUMMYFUNCTION("""COMPUTED_VALUE"""),"Đại học Phenikaa")</f>
        <v>Đại học Phenikaa</v>
      </c>
      <c r="F6" s="4" t="str">
        <f>IFERROR(__xludf.DUMMYFUNCTION("""COMPUTED_VALUE"""),"KTE2026-005.png")</f>
        <v>KTE2026-005.png</v>
      </c>
    </row>
    <row r="7">
      <c r="A7" s="4" t="str">
        <f>IFERROR(__xludf.DUMMYFUNCTION("""COMPUTED_VALUE"""),"KTE2026-006")</f>
        <v>KTE2026-006</v>
      </c>
      <c r="B7" s="4" t="str">
        <f>IFERROR(__xludf.DUMMYFUNCTION("""COMPUTED_VALUE"""),"Kinh tế")</f>
        <v>Kinh tế</v>
      </c>
      <c r="C7" s="4" t="str">
        <f>IFERROR(__xludf.DUMMYFUNCTION("""COMPUTED_VALUE"""),"Phát triển website thương mại điện tử tích hợp AI agent hỗ trợ cá nhân hóa tư vấn khách hàng dựa trên phân tích dữ liệu đa kênh")</f>
        <v>Phát triển website thương mại điện tử tích hợp AI agent hỗ trợ cá nhân hóa tư vấn khách hàng dựa trên phân tích dữ liệu đa kênh</v>
      </c>
      <c r="D7" s="4" t="str">
        <f>IFERROR(__xludf.DUMMYFUNCTION("""COMPUTED_VALUE"""),"Phạm Hữu Cường; Nguyễn Duy An")</f>
        <v>Phạm Hữu Cường; Nguyễn Duy An</v>
      </c>
      <c r="E7" s="4" t="str">
        <f>IFERROR(__xludf.DUMMYFUNCTION("""COMPUTED_VALUE"""),"Đại học Phenikaa")</f>
        <v>Đại học Phenikaa</v>
      </c>
      <c r="F7" s="4" t="str">
        <f>IFERROR(__xludf.DUMMYFUNCTION("""COMPUTED_VALUE"""),"KTE2026-006.png")</f>
        <v>KTE2026-006.png</v>
      </c>
    </row>
    <row r="8">
      <c r="A8" s="4" t="str">
        <f>IFERROR(__xludf.DUMMYFUNCTION("""COMPUTED_VALUE"""),"KTE2026-007")</f>
        <v>KTE2026-007</v>
      </c>
      <c r="B8" s="4" t="str">
        <f>IFERROR(__xludf.DUMMYFUNCTION("""COMPUTED_VALUE"""),"Kinh tế")</f>
        <v>Kinh tế</v>
      </c>
      <c r="C8" s="4" t="str">
        <f>IFERROR(__xludf.DUMMYFUNCTION("""COMPUTED_VALUE"""),"Tác động của logistics xanh đến hiệu quả tài chính của các doanh nghiệp vận tải Việt Nam: Vai trò trung gian của vốn nhân lực xanh, điều tiết của chuyển đổi số và chính sách chính phủ")</f>
        <v>Tác động của logistics xanh đến hiệu quả tài chính của các doanh nghiệp vận tải Việt Nam: Vai trò trung gian của vốn nhân lực xanh, điều tiết của chuyển đổi số và chính sách chính phủ</v>
      </c>
      <c r="D8" s="4" t="str">
        <f>IFERROR(__xludf.DUMMYFUNCTION("""COMPUTED_VALUE"""),"Phan Hữu Khoa; Lại Văn Thiên; Nguyễn Khánh Huyền; Ngô Thùy Linh")</f>
        <v>Phan Hữu Khoa; Lại Văn Thiên; Nguyễn Khánh Huyền; Ngô Thùy Linh</v>
      </c>
      <c r="E8" s="4" t="str">
        <f>IFERROR(__xludf.DUMMYFUNCTION("""COMPUTED_VALUE"""),"Trường Đại học Thăng Long")</f>
        <v>Trường Đại học Thăng Long</v>
      </c>
      <c r="F8" s="4" t="str">
        <f>IFERROR(__xludf.DUMMYFUNCTION("""COMPUTED_VALUE"""),"KTE2026-007.png")</f>
        <v>KTE2026-007.png</v>
      </c>
    </row>
    <row r="9">
      <c r="A9" s="4" t="str">
        <f>IFERROR(__xludf.DUMMYFUNCTION("""COMPUTED_VALUE"""),"KTE2026-008")</f>
        <v>KTE2026-008</v>
      </c>
      <c r="B9" s="4" t="str">
        <f>IFERROR(__xludf.DUMMYFUNCTION("""COMPUTED_VALUE"""),"Kinh tế")</f>
        <v>Kinh tế</v>
      </c>
      <c r="C9" s="4" t="str">
        <f>IFERROR(__xludf.DUMMYFUNCTION("""COMPUTED_VALUE"""),"Ảnh hưởng của dịch vụ logistics xanh đến hành vi mua hàng trong tiêu dùng xanh thông qua ý định mua của Gen Z trong thời đại số")</f>
        <v>Ảnh hưởng của dịch vụ logistics xanh đến hành vi mua hàng trong tiêu dùng xanh thông qua ý định mua của Gen Z trong thời đại số</v>
      </c>
      <c r="D9" s="4" t="str">
        <f>IFERROR(__xludf.DUMMYFUNCTION("""COMPUTED_VALUE"""),"Lê Thị Huỳnh Như; Lê Đỗ Như Ngọc; Mai Thị Mỹ Duyên; Trần Hoàng Tấn")</f>
        <v>Lê Thị Huỳnh Như; Lê Đỗ Như Ngọc; Mai Thị Mỹ Duyên; Trần Hoàng Tấn</v>
      </c>
      <c r="E9" s="4" t="str">
        <f>IFERROR(__xludf.DUMMYFUNCTION("""COMPUTED_VALUE"""),"Trường Đại học Kinh tế - Tài chính TP. Hồ Chí Minh")</f>
        <v>Trường Đại học Kinh tế - Tài chính TP. Hồ Chí Minh</v>
      </c>
      <c r="F9" s="4" t="str">
        <f>IFERROR(__xludf.DUMMYFUNCTION("""COMPUTED_VALUE"""),"KTE2026-008.png")</f>
        <v>KTE2026-008.png</v>
      </c>
    </row>
    <row r="10">
      <c r="A10" s="4" t="str">
        <f>IFERROR(__xludf.DUMMYFUNCTION("""COMPUTED_VALUE"""),"KTE2026-009")</f>
        <v>KTE2026-009</v>
      </c>
      <c r="B10" s="4" t="str">
        <f>IFERROR(__xludf.DUMMYFUNCTION("""COMPUTED_VALUE"""),"Kinh tế")</f>
        <v>Kinh tế</v>
      </c>
      <c r="C10" s="4" t="str">
        <f>IFERROR(__xludf.DUMMYFUNCTION("""COMPUTED_VALUE"""),"Nghiên cứu phát triển kế toán xanh gắn với quản lý phát thải carbon trong bối cảnh biến đổi khí hậu và hội nhập quốc tế")</f>
        <v>Nghiên cứu phát triển kế toán xanh gắn với quản lý phát thải carbon trong bối cảnh biến đổi khí hậu và hội nhập quốc tế</v>
      </c>
      <c r="D10" s="4" t="str">
        <f>IFERROR(__xludf.DUMMYFUNCTION("""COMPUTED_VALUE"""),"Hoàng Thị Phương Hiền; Vũ Thị Thùy Trang")</f>
        <v>Hoàng Thị Phương Hiền; Vũ Thị Thùy Trang</v>
      </c>
      <c r="E10" s="4" t="str">
        <f>IFERROR(__xludf.DUMMYFUNCTION("""COMPUTED_VALUE"""),"Trường Đại học Nghệ An")</f>
        <v>Trường Đại học Nghệ An</v>
      </c>
      <c r="F10" s="4" t="str">
        <f>IFERROR(__xludf.DUMMYFUNCTION("""COMPUTED_VALUE"""),"KTE2026-009.png")</f>
        <v>KTE2026-009.png</v>
      </c>
    </row>
    <row r="11">
      <c r="A11" s="4" t="str">
        <f>IFERROR(__xludf.DUMMYFUNCTION("""COMPUTED_VALUE"""),"KTE2026-010")</f>
        <v>KTE2026-010</v>
      </c>
      <c r="B11" s="4" t="str">
        <f>IFERROR(__xludf.DUMMYFUNCTION("""COMPUTED_VALUE"""),"Kinh tế")</f>
        <v>Kinh tế</v>
      </c>
      <c r="C11" s="4" t="str">
        <f>IFERROR(__xludf.DUMMYFUNCTION("""COMPUTED_VALUE"""),"Ảnh hưởng của nhận thức về thao túng đánh giá trực tuyến đến ý định mua hàng trên Shopee Việt Nam: Vai trò của sự nghi ngờ, niềm tin và hiệu quả xác thực giao dịch")</f>
        <v>Ảnh hưởng của nhận thức về thao túng đánh giá trực tuyến đến ý định mua hàng trên Shopee Việt Nam: Vai trò của sự nghi ngờ, niềm tin và hiệu quả xác thực giao dịch</v>
      </c>
      <c r="D11" s="4" t="str">
        <f>IFERROR(__xludf.DUMMYFUNCTION("""COMPUTED_VALUE"""),"Chế Quang Quốc Bảo; Võ Thị Hòa; Phạm Ngọc Khánh Băng; Huỳnh Nguyễn Nhựt Linh; Ngô Thị Ngọc Trâm")</f>
        <v>Chế Quang Quốc Bảo; Võ Thị Hòa; Phạm Ngọc Khánh Băng; Huỳnh Nguyễn Nhựt Linh; Ngô Thị Ngọc Trâm</v>
      </c>
      <c r="E11" s="4" t="str">
        <f>IFERROR(__xludf.DUMMYFUNCTION("""COMPUTED_VALUE"""),"Trường Đại học Công nghiệp TP. Hồ Chí Minh")</f>
        <v>Trường Đại học Công nghiệp TP. Hồ Chí Minh</v>
      </c>
      <c r="F11" s="4" t="str">
        <f>IFERROR(__xludf.DUMMYFUNCTION("""COMPUTED_VALUE"""),"KTE2026-010.png")</f>
        <v>KTE2026-010.png</v>
      </c>
    </row>
    <row r="12">
      <c r="A12" s="4" t="str">
        <f>IFERROR(__xludf.DUMMYFUNCTION("""COMPUTED_VALUE"""),"KTE2026-011")</f>
        <v>KTE2026-011</v>
      </c>
      <c r="B12" s="4" t="str">
        <f>IFERROR(__xludf.DUMMYFUNCTION("""COMPUTED_VALUE"""),"Kinh tế")</f>
        <v>Kinh tế</v>
      </c>
      <c r="C12" s="4" t="str">
        <f>IFERROR(__xludf.DUMMYFUNCTION("""COMPUTED_VALUE"""),"Từ phong cách lãnh đạo chuyển đổi xanh đến hiệu suất môi trường: Làm rõ cơ chế chánh niệm – hành vi tuần tự")</f>
        <v>Từ phong cách lãnh đạo chuyển đổi xanh đến hiệu suất môi trường: Làm rõ cơ chế chánh niệm – hành vi tuần tự</v>
      </c>
      <c r="D12" s="4" t="str">
        <f>IFERROR(__xludf.DUMMYFUNCTION("""COMPUTED_VALUE"""),"Hoàng Lê Kim Ngân")</f>
        <v>Hoàng Lê Kim Ngân</v>
      </c>
      <c r="E12" s="4" t="str">
        <f>IFERROR(__xludf.DUMMYFUNCTION("""COMPUTED_VALUE"""),"Học viện Hàng không Việt Nam")</f>
        <v>Học viện Hàng không Việt Nam</v>
      </c>
      <c r="F12" s="4" t="str">
        <f>IFERROR(__xludf.DUMMYFUNCTION("""COMPUTED_VALUE"""),"KTE2026-011.png")</f>
        <v>KTE2026-011.png</v>
      </c>
    </row>
    <row r="13">
      <c r="A13" s="4" t="str">
        <f>IFERROR(__xludf.DUMMYFUNCTION("""COMPUTED_VALUE"""),"KTE2026-012")</f>
        <v>KTE2026-012</v>
      </c>
      <c r="B13" s="4" t="str">
        <f>IFERROR(__xludf.DUMMYFUNCTION("""COMPUTED_VALUE"""),"Kinh tế")</f>
        <v>Kinh tế</v>
      </c>
      <c r="C13" s="4" t="str">
        <f>IFERROR(__xludf.DUMMYFUNCTION("""COMPUTED_VALUE"""),"Ảnh hưởng của giá trị cảm nhận và chi phí đến sự hài lòng của khách hàng đối với dịch vụ logistics thương mại điện tử tại TP. Hồ Chí Minh")</f>
        <v>Ảnh hưởng của giá trị cảm nhận và chi phí đến sự hài lòng của khách hàng đối với dịch vụ logistics thương mại điện tử tại TP. Hồ Chí Minh</v>
      </c>
      <c r="D13" s="4" t="str">
        <f>IFERROR(__xludf.DUMMYFUNCTION("""COMPUTED_VALUE"""),"Lê Quang Khánh; Nguyễn Đình Thông; Nguyễn Nhật Quang")</f>
        <v>Lê Quang Khánh; Nguyễn Đình Thông; Nguyễn Nhật Quang</v>
      </c>
      <c r="E13" s="4" t="str">
        <f>IFERROR(__xludf.DUMMYFUNCTION("""COMPUTED_VALUE"""),"Trường Đại học Công nghệ TP. Hồ Chí Minh")</f>
        <v>Trường Đại học Công nghệ TP. Hồ Chí Minh</v>
      </c>
      <c r="F13" s="4" t="str">
        <f>IFERROR(__xludf.DUMMYFUNCTION("""COMPUTED_VALUE"""),"KTE2026-012.png")</f>
        <v>KTE2026-012.png</v>
      </c>
    </row>
    <row r="14">
      <c r="A14" s="4" t="str">
        <f>IFERROR(__xludf.DUMMYFUNCTION("""COMPUTED_VALUE"""),"KTE2026-013")</f>
        <v>KTE2026-013</v>
      </c>
      <c r="B14" s="4" t="str">
        <f>IFERROR(__xludf.DUMMYFUNCTION("""COMPUTED_VALUE"""),"Kinh tế")</f>
        <v>Kinh tế</v>
      </c>
      <c r="C14" s="4" t="str">
        <f>IFERROR(__xludf.DUMMYFUNCTION("""COMPUTED_VALUE"""),"Tác động của nhận thức về “tẩy xanh” đến ý định nghỉ việc của nhân viên ngành nhà hàng và dịch vụ ăn uống tại thành phố Hồ Chí Minh")</f>
        <v>Tác động của nhận thức về “tẩy xanh” đến ý định nghỉ việc của nhân viên ngành nhà hàng và dịch vụ ăn uống tại thành phố Hồ Chí Minh</v>
      </c>
      <c r="D14" s="4" t="str">
        <f>IFERROR(__xludf.DUMMYFUNCTION("""COMPUTED_VALUE"""),"Quang Bảo Nghi; Nguyễn Anh Thư; Dương Nguyễn Bảo Ngân; Nguyễn Thị Vân Anh; Nguyễn Huỳnh Hồng Cẩm")</f>
        <v>Quang Bảo Nghi; Nguyễn Anh Thư; Dương Nguyễn Bảo Ngân; Nguyễn Thị Vân Anh; Nguyễn Huỳnh Hồng Cẩm</v>
      </c>
      <c r="E14" s="4" t="str">
        <f>IFERROR(__xludf.DUMMYFUNCTION("""COMPUTED_VALUE"""),"Học viện Hàng không Việt Nam")</f>
        <v>Học viện Hàng không Việt Nam</v>
      </c>
      <c r="F14" s="4" t="str">
        <f>IFERROR(__xludf.DUMMYFUNCTION("""COMPUTED_VALUE"""),"KTE2026-013.png")</f>
        <v>KTE2026-013.png</v>
      </c>
    </row>
    <row r="15">
      <c r="A15" s="4" t="str">
        <f>IFERROR(__xludf.DUMMYFUNCTION("""COMPUTED_VALUE"""),"KTE2026-014")</f>
        <v>KTE2026-014</v>
      </c>
      <c r="B15" s="4" t="str">
        <f>IFERROR(__xludf.DUMMYFUNCTION("""COMPUTED_VALUE"""),"Kinh tế")</f>
        <v>Kinh tế</v>
      </c>
      <c r="C15" s="4" t="str">
        <f>IFERROR(__xludf.DUMMYFUNCTION("""COMPUTED_VALUE"""),"Đánh giá hiệu quả các mô hình AI trong dự báo các chỉ tiêu kinh tế tài chính ngắn hạn")</f>
        <v>Đánh giá hiệu quả các mô hình AI trong dự báo các chỉ tiêu kinh tế tài chính ngắn hạn</v>
      </c>
      <c r="D15" s="4" t="str">
        <f>IFERROR(__xludf.DUMMYFUNCTION("""COMPUTED_VALUE"""),"Dương Thúy An; Vũ Đăng Khoa; Trần Bảo Khánh; Nghiêm Thu Thủy")</f>
        <v>Dương Thúy An; Vũ Đăng Khoa; Trần Bảo Khánh; Nghiêm Thu Thủy</v>
      </c>
      <c r="E15" s="4" t="str">
        <f>IFERROR(__xludf.DUMMYFUNCTION("""COMPUTED_VALUE"""),"Học viện Tài chính")</f>
        <v>Học viện Tài chính</v>
      </c>
      <c r="F15" s="4" t="str">
        <f>IFERROR(__xludf.DUMMYFUNCTION("""COMPUTED_VALUE"""),"KTE2026-014.png")</f>
        <v>KTE2026-014.png</v>
      </c>
    </row>
    <row r="16">
      <c r="A16" s="4" t="str">
        <f>IFERROR(__xludf.DUMMYFUNCTION("""COMPUTED_VALUE"""),"KTE2026-015")</f>
        <v>KTE2026-015</v>
      </c>
      <c r="B16" s="4" t="str">
        <f>IFERROR(__xludf.DUMMYFUNCTION("""COMPUTED_VALUE"""),"Kinh tế")</f>
        <v>Kinh tế</v>
      </c>
      <c r="C16" s="4" t="str">
        <f>IFERROR(__xludf.DUMMYFUNCTION("""COMPUTED_VALUE"""),"Nghiên cứu các yếu tố ảnh hưởng đến năng lực ứng dụng generative AI trong hỗ trợ phân loại hàng hóa và xác định mã HS: Vai trò của AI literacy")</f>
        <v>Nghiên cứu các yếu tố ảnh hưởng đến năng lực ứng dụng generative AI trong hỗ trợ phân loại hàng hóa và xác định mã HS: Vai trò của AI literacy</v>
      </c>
      <c r="D16" s="4" t="str">
        <f>IFERROR(__xludf.DUMMYFUNCTION("""COMPUTED_VALUE"""),"Phạm Tuyết Mai; Hoàng Thị Thanh Nga; Hoàng Ngọc Hoa; Đoàn Thị Bảo Châu; Bùi Huyền Băng")</f>
        <v>Phạm Tuyết Mai; Hoàng Thị Thanh Nga; Hoàng Ngọc Hoa; Đoàn Thị Bảo Châu; Bùi Huyền Băng</v>
      </c>
      <c r="E16" s="4" t="str">
        <f>IFERROR(__xludf.DUMMYFUNCTION("""COMPUTED_VALUE"""),"Học viện Chính sách và Phát triển")</f>
        <v>Học viện Chính sách và Phát triển</v>
      </c>
      <c r="F16" s="4" t="str">
        <f>IFERROR(__xludf.DUMMYFUNCTION("""COMPUTED_VALUE"""),"KTE2026-015.png")</f>
        <v>KTE2026-015.png</v>
      </c>
    </row>
    <row r="17">
      <c r="A17" s="4" t="str">
        <f>IFERROR(__xludf.DUMMYFUNCTION("""COMPUTED_VALUE"""),"KTE2026-016")</f>
        <v>KTE2026-016</v>
      </c>
      <c r="B17" s="4" t="str">
        <f>IFERROR(__xludf.DUMMYFUNCTION("""COMPUTED_VALUE"""),"Kinh tế")</f>
        <v>Kinh tế</v>
      </c>
      <c r="C17" s="4" t="str">
        <f>IFERROR(__xludf.DUMMYFUNCTION("""COMPUTED_VALUE"""),"Đánh giá tác động của điểm số ESG kết hợp cảm xúc người tiêu dùng đến hiệu quả hoạt động của ngân hàng thương mại tại Việt Nam")</f>
        <v>Đánh giá tác động của điểm số ESG kết hợp cảm xúc người tiêu dùng đến hiệu quả hoạt động của ngân hàng thương mại tại Việt Nam</v>
      </c>
      <c r="D17" s="4" t="str">
        <f>IFERROR(__xludf.DUMMYFUNCTION("""COMPUTED_VALUE"""),"Dương Phước Tài; Đoàn Công Vinh; Trần Đình Vũ; Nguyễn Phạm Thùy Trang")</f>
        <v>Dương Phước Tài; Đoàn Công Vinh; Trần Đình Vũ; Nguyễn Phạm Thùy Trang</v>
      </c>
      <c r="E17" s="4" t="str">
        <f>IFERROR(__xludf.DUMMYFUNCTION("""COMPUTED_VALUE"""),"Trường Đại học Kinh tế - Luật, ĐHQG-HCM")</f>
        <v>Trường Đại học Kinh tế - Luật, ĐHQG-HCM</v>
      </c>
      <c r="F17" s="4" t="str">
        <f>IFERROR(__xludf.DUMMYFUNCTION("""COMPUTED_VALUE"""),"KTE2026-016.png")</f>
        <v>KTE2026-016.png</v>
      </c>
    </row>
    <row r="18">
      <c r="A18" s="4" t="str">
        <f>IFERROR(__xludf.DUMMYFUNCTION("""COMPUTED_VALUE"""),"KTE2026-017")</f>
        <v>KTE2026-017</v>
      </c>
      <c r="B18" s="4" t="str">
        <f>IFERROR(__xludf.DUMMYFUNCTION("""COMPUTED_VALUE"""),"Kinh tế")</f>
        <v>Kinh tế</v>
      </c>
      <c r="C18" s="4" t="str">
        <f>IFERROR(__xludf.DUMMYFUNCTION("""COMPUTED_VALUE"""),"Ứng dụng công nghệ blockchain nhằm thúc đẩy hiệu suất chuỗi cung ứng xanh: Bằng chứng thực nghiệm từ ngành thủy sản xuất khẩu Việt Nam")</f>
        <v>Ứng dụng công nghệ blockchain nhằm thúc đẩy hiệu suất chuỗi cung ứng xanh: Bằng chứng thực nghiệm từ ngành thủy sản xuất khẩu Việt Nam</v>
      </c>
      <c r="D18" s="4" t="str">
        <f>IFERROR(__xludf.DUMMYFUNCTION("""COMPUTED_VALUE"""),"Trần Quang Huy; Nguyễn Ngọc Phúc An; Chu Thị Hồng Anh; Đỗ Hương Giang; Nguyễn Thị Huyền Trang")</f>
        <v>Trần Quang Huy; Nguyễn Ngọc Phúc An; Chu Thị Hồng Anh; Đỗ Hương Giang; Nguyễn Thị Huyền Trang</v>
      </c>
      <c r="E18" s="4" t="str">
        <f>IFERROR(__xludf.DUMMYFUNCTION("""COMPUTED_VALUE"""),"Đại học Kinh tế Quốc dân")</f>
        <v>Đại học Kinh tế Quốc dân</v>
      </c>
      <c r="F18" s="4" t="str">
        <f>IFERROR(__xludf.DUMMYFUNCTION("""COMPUTED_VALUE"""),"KTE2026-017.png")</f>
        <v>KTE2026-017.png</v>
      </c>
    </row>
    <row r="19">
      <c r="A19" s="4" t="str">
        <f>IFERROR(__xludf.DUMMYFUNCTION("""COMPUTED_VALUE"""),"KTE2026-018")</f>
        <v>KTE2026-018</v>
      </c>
      <c r="B19" s="4" t="str">
        <f>IFERROR(__xludf.DUMMYFUNCTION("""COMPUTED_VALUE"""),"Kinh tế")</f>
        <v>Kinh tế</v>
      </c>
      <c r="C19" s="4" t="str">
        <f>IFERROR(__xludf.DUMMYFUNCTION("""COMPUTED_VALUE"""),"Phân tích chi phí đối với người bệnh đột quỵ điều trị nội trú tại Bệnh viện Thống Nhất thành phố Hồ Chí Minh")</f>
        <v>Phân tích chi phí đối với người bệnh đột quỵ điều trị nội trú tại Bệnh viện Thống Nhất thành phố Hồ Chí Minh</v>
      </c>
      <c r="D19" s="4" t="str">
        <f>IFERROR(__xludf.DUMMYFUNCTION("""COMPUTED_VALUE"""),"Nguyễn Thị Hồng Lan Thảo; Phạm Hoàng Việt Khanh; Lưu Gia Mẫn; Bùi Ngọc Lan Nhi; Phạm Quang Minh")</f>
        <v>Nguyễn Thị Hồng Lan Thảo; Phạm Hoàng Việt Khanh; Lưu Gia Mẫn; Bùi Ngọc Lan Nhi; Phạm Quang Minh</v>
      </c>
      <c r="E19" s="4" t="str">
        <f>IFERROR(__xludf.DUMMYFUNCTION("""COMPUTED_VALUE"""),"Đại học Y Dược TP. Hồ Chí Minh")</f>
        <v>Đại học Y Dược TP. Hồ Chí Minh</v>
      </c>
      <c r="F19" s="4" t="str">
        <f>IFERROR(__xludf.DUMMYFUNCTION("""COMPUTED_VALUE"""),"KTE2026-018.png")</f>
        <v>KTE2026-018.png</v>
      </c>
    </row>
    <row r="20">
      <c r="A20" s="4" t="str">
        <f>IFERROR(__xludf.DUMMYFUNCTION("""COMPUTED_VALUE"""),"KTE2026-019")</f>
        <v>KTE2026-019</v>
      </c>
      <c r="B20" s="4" t="str">
        <f>IFERROR(__xludf.DUMMYFUNCTION("""COMPUTED_VALUE"""),"Kinh tế")</f>
        <v>Kinh tế</v>
      </c>
      <c r="C20" s="4" t="str">
        <f>IFERROR(__xludf.DUMMYFUNCTION("""COMPUTED_VALUE"""),"Tác động của chuyển đổi số và tích hợp chuỗi cung ứng đến hiệu suất chuỗi cung ứng, trong đó xem xét vai trò trung gian của chia sẻ thông tin và tính linh hoạt")</f>
        <v>Tác động của chuyển đổi số và tích hợp chuỗi cung ứng đến hiệu suất chuỗi cung ứng, trong đó xem xét vai trò trung gian của chia sẻ thông tin và tính linh hoạt</v>
      </c>
      <c r="D20" s="4" t="str">
        <f>IFERROR(__xludf.DUMMYFUNCTION("""COMPUTED_VALUE"""),"Nguyễn Nhật Lập; Nguyễn Thành Lâm; Trần Thị Kim Ngân")</f>
        <v>Nguyễn Nhật Lập; Nguyễn Thành Lâm; Trần Thị Kim Ngân</v>
      </c>
      <c r="E20" s="4" t="str">
        <f>IFERROR(__xludf.DUMMYFUNCTION("""COMPUTED_VALUE"""),"Trường Đại học Công nghệ Kỹ thuật TP. Hồ Chí Minh")</f>
        <v>Trường Đại học Công nghệ Kỹ thuật TP. Hồ Chí Minh</v>
      </c>
      <c r="F20" s="4" t="str">
        <f>IFERROR(__xludf.DUMMYFUNCTION("""COMPUTED_VALUE"""),"KTE2026-019.png")</f>
        <v>KTE2026-019.png</v>
      </c>
    </row>
    <row r="21">
      <c r="A21" s="4" t="str">
        <f>IFERROR(__xludf.DUMMYFUNCTION("""COMPUTED_VALUE"""),"KTE2026-020")</f>
        <v>KTE2026-020</v>
      </c>
      <c r="B21" s="4" t="str">
        <f>IFERROR(__xludf.DUMMYFUNCTION("""COMPUTED_VALUE"""),"Kinh tế")</f>
        <v>Kinh tế</v>
      </c>
      <c r="C21" s="4" t="str">
        <f>IFERROR(__xludf.DUMMYFUNCTION("""COMPUTED_VALUE"""),"Ứng dụng UAV vào kiểm kê kho logistics tầng cao")</f>
        <v>Ứng dụng UAV vào kiểm kê kho logistics tầng cao</v>
      </c>
      <c r="D21" s="4" t="str">
        <f>IFERROR(__xludf.DUMMYFUNCTION("""COMPUTED_VALUE"""),"Nguyễn Hồng Lam; La Trường Khánh; Văn Minh Thắng; Lê Trần Quỳnh Châu")</f>
        <v>Nguyễn Hồng Lam; La Trường Khánh; Văn Minh Thắng; Lê Trần Quỳnh Châu</v>
      </c>
      <c r="E21" s="4" t="str">
        <f>IFERROR(__xludf.DUMMYFUNCTION("""COMPUTED_VALUE"""),"Trường Đại học Giao thông vận tải TP. Hồ Chí Minh")</f>
        <v>Trường Đại học Giao thông vận tải TP. Hồ Chí Minh</v>
      </c>
      <c r="F21" s="4" t="str">
        <f>IFERROR(__xludf.DUMMYFUNCTION("""COMPUTED_VALUE"""),"KTE2026-020.png")</f>
        <v>KTE2026-020.png</v>
      </c>
    </row>
    <row r="22">
      <c r="A22" s="4" t="str">
        <f>IFERROR(__xludf.DUMMYFUNCTION("""COMPUTED_VALUE"""),"KTE2026-021")</f>
        <v>KTE2026-021</v>
      </c>
      <c r="B22" s="4" t="str">
        <f>IFERROR(__xludf.DUMMYFUNCTION("""COMPUTED_VALUE"""),"Kinh tế")</f>
        <v>Kinh tế</v>
      </c>
      <c r="C22" s="4" t="str">
        <f>IFERROR(__xludf.DUMMYFUNCTION("""COMPUTED_VALUE"""),"Đề xuất các biện pháp để tối ưu hóa carbon footprint trong giao hàng chặng cuối (last mile delivery) ở Việt Nam")</f>
        <v>Đề xuất các biện pháp để tối ưu hóa carbon footprint trong giao hàng chặng cuối (last mile delivery) ở Việt Nam</v>
      </c>
      <c r="D22" s="4" t="str">
        <f>IFERROR(__xludf.DUMMYFUNCTION("""COMPUTED_VALUE"""),"Võ Ngọc Phương Thanh; Nguyễn Thị Mỹ Quỳnh; Đặng Chí Tâm; Nguyễn Thị Như Quỳnh")</f>
        <v>Võ Ngọc Phương Thanh; Nguyễn Thị Mỹ Quỳnh; Đặng Chí Tâm; Nguyễn Thị Như Quỳnh</v>
      </c>
      <c r="E22" s="4" t="str">
        <f>IFERROR(__xludf.DUMMYFUNCTION("""COMPUTED_VALUE"""),"Trường Đại học Giao thông vận tải TP. Hồ Chí Minh")</f>
        <v>Trường Đại học Giao thông vận tải TP. Hồ Chí Minh</v>
      </c>
      <c r="F22" s="4" t="str">
        <f>IFERROR(__xludf.DUMMYFUNCTION("""COMPUTED_VALUE"""),"KTE2026-021.png")</f>
        <v>KTE2026-021.png</v>
      </c>
    </row>
    <row r="23">
      <c r="A23" s="4" t="str">
        <f>IFERROR(__xludf.DUMMYFUNCTION("""COMPUTED_VALUE"""),"KTE2026-022")</f>
        <v>KTE2026-022</v>
      </c>
      <c r="B23" s="4" t="str">
        <f>IFERROR(__xludf.DUMMYFUNCTION("""COMPUTED_VALUE"""),"Kinh tế")</f>
        <v>Kinh tế</v>
      </c>
      <c r="C23" s="4" t="str">
        <f>IFERROR(__xludf.DUMMYFUNCTION("""COMPUTED_VALUE"""),"Thực trạng và nguyên nhân thiếu hụt nguồn cung nhà ở xã hội trên địa bàn thành phố Hà Nội")</f>
        <v>Thực trạng và nguyên nhân thiếu hụt nguồn cung nhà ở xã hội trên địa bàn thành phố Hà Nội</v>
      </c>
      <c r="D23" s="4" t="str">
        <f>IFERROR(__xludf.DUMMYFUNCTION("""COMPUTED_VALUE"""),"Lê Mai Ái Vân; Nguyễn Thị Thanh; Phạm Thị Quỳnh Anh; Nguyễn Thị Ảnh; Trần Thị Phương Thu")</f>
        <v>Lê Mai Ái Vân; Nguyễn Thị Thanh; Phạm Thị Quỳnh Anh; Nguyễn Thị Ảnh; Trần Thị Phương Thu</v>
      </c>
      <c r="E23" s="4" t="str">
        <f>IFERROR(__xludf.DUMMYFUNCTION("""COMPUTED_VALUE"""),"Trường Đại học Kiến trúc Hà Nội")</f>
        <v>Trường Đại học Kiến trúc Hà Nội</v>
      </c>
      <c r="F23" s="4" t="str">
        <f>IFERROR(__xludf.DUMMYFUNCTION("""COMPUTED_VALUE"""),"KTE2026-022.png")</f>
        <v>KTE2026-022.png</v>
      </c>
    </row>
    <row r="24">
      <c r="A24" s="4" t="str">
        <f>IFERROR(__xludf.DUMMYFUNCTION("""COMPUTED_VALUE"""),"KTE2026-023")</f>
        <v>KTE2026-023</v>
      </c>
      <c r="B24" s="4" t="str">
        <f>IFERROR(__xludf.DUMMYFUNCTION("""COMPUTED_VALUE"""),"Kinh tế")</f>
        <v>Kinh tế</v>
      </c>
      <c r="C24" s="4" t="str">
        <f>IFERROR(__xludf.DUMMYFUNCTION("""COMPUTED_VALUE"""),"Nghiên cứu ảnh hưởng của chính sách và khung pháp lý đối với việc sử dụng kết quả định giá bằng công cụ AVMs trong hoạt động cho vay thế chấp tại ngân hàng teccombank")</f>
        <v>Nghiên cứu ảnh hưởng của chính sách và khung pháp lý đối với việc sử dụng kết quả định giá bằng công cụ AVMs trong hoạt động cho vay thế chấp tại ngân hàng teccombank</v>
      </c>
      <c r="D24" s="4" t="str">
        <f>IFERROR(__xludf.DUMMYFUNCTION("""COMPUTED_VALUE"""),"Nguyễn Thu Hường; Nguyễn Minh Hằng; Lê Thị Ngọc Khánh; Lê Đỗ Ngọc Linh")</f>
        <v>Nguyễn Thu Hường; Nguyễn Minh Hằng; Lê Thị Ngọc Khánh; Lê Đỗ Ngọc Linh</v>
      </c>
      <c r="E24" s="4" t="str">
        <f>IFERROR(__xludf.DUMMYFUNCTION("""COMPUTED_VALUE"""),"Trường Đại học Kiến trúc Hà Nội")</f>
        <v>Trường Đại học Kiến trúc Hà Nội</v>
      </c>
      <c r="F24" s="4" t="str">
        <f>IFERROR(__xludf.DUMMYFUNCTION("""COMPUTED_VALUE"""),"KTE2026-023.png")</f>
        <v>KTE2026-023.png</v>
      </c>
    </row>
    <row r="25">
      <c r="A25" s="4" t="str">
        <f>IFERROR(__xludf.DUMMYFUNCTION("""COMPUTED_VALUE"""),"KTE2026-024")</f>
        <v>KTE2026-024</v>
      </c>
      <c r="B25" s="4" t="str">
        <f>IFERROR(__xludf.DUMMYFUNCTION("""COMPUTED_VALUE"""),"Kinh tế")</f>
        <v>Kinh tế</v>
      </c>
      <c r="C25" s="4" t="str">
        <f>IFERROR(__xludf.DUMMYFUNCTION("""COMPUTED_VALUE"""),"Nghiên cứu động lực chuyển đổi phương tiện giao thông cá nhân của người dân thành phố Hà Nội trong bối cảnh biến đổi khí hậu")</f>
        <v>Nghiên cứu động lực chuyển đổi phương tiện giao thông cá nhân của người dân thành phố Hà Nội trong bối cảnh biến đổi khí hậu</v>
      </c>
      <c r="D25" s="4" t="str">
        <f>IFERROR(__xludf.DUMMYFUNCTION("""COMPUTED_VALUE"""),"Vũ Thế Vũ; Bùi Thị Quỳnh Anh; Trần Thị Ngọc Linh")</f>
        <v>Vũ Thế Vũ; Bùi Thị Quỳnh Anh; Trần Thị Ngọc Linh</v>
      </c>
      <c r="E25" s="4" t="str">
        <f>IFERROR(__xludf.DUMMYFUNCTION("""COMPUTED_VALUE"""),"Trường Đại học Kiến trúc Hà Nội")</f>
        <v>Trường Đại học Kiến trúc Hà Nội</v>
      </c>
      <c r="F25" s="4" t="str">
        <f>IFERROR(__xludf.DUMMYFUNCTION("""COMPUTED_VALUE"""),"KTE2026-024.png")</f>
        <v>KTE2026-024.png</v>
      </c>
    </row>
    <row r="26">
      <c r="A26" s="4" t="str">
        <f>IFERROR(__xludf.DUMMYFUNCTION("""COMPUTED_VALUE"""),"KTE2026-025")</f>
        <v>KTE2026-025</v>
      </c>
      <c r="B26" s="4" t="str">
        <f>IFERROR(__xludf.DUMMYFUNCTION("""COMPUTED_VALUE"""),"Kinh tế")</f>
        <v>Kinh tế</v>
      </c>
      <c r="C26" s="4" t="str">
        <f>IFERROR(__xludf.DUMMYFUNCTION("""COMPUTED_VALUE"""),"Ứng dụng công nghệ số trong quản lý thực phẩm cận date gắn với logistics ngược tại siêu thị Tops Market, phường Hà Đông, Hà Nội")</f>
        <v>Ứng dụng công nghệ số trong quản lý thực phẩm cận date gắn với logistics ngược tại siêu thị Tops Market, phường Hà Đông, Hà Nội</v>
      </c>
      <c r="D26" s="4" t="str">
        <f>IFERROR(__xludf.DUMMYFUNCTION("""COMPUTED_VALUE"""),"Võ Thị Ngọc Vinh; Trần Mai Thu Hoài; Nguyễn Bình Yên")</f>
        <v>Võ Thị Ngọc Vinh; Trần Mai Thu Hoài; Nguyễn Bình Yên</v>
      </c>
      <c r="E26" s="4" t="str">
        <f>IFERROR(__xludf.DUMMYFUNCTION("""COMPUTED_VALUE"""),"Trường Đại học Kiến trúc Hà Nội")</f>
        <v>Trường Đại học Kiến trúc Hà Nội</v>
      </c>
      <c r="F26" s="4" t="str">
        <f>IFERROR(__xludf.DUMMYFUNCTION("""COMPUTED_VALUE"""),"KTE2026-025.png")</f>
        <v>KTE2026-025.png</v>
      </c>
    </row>
    <row r="27">
      <c r="A27" s="4" t="str">
        <f>IFERROR(__xludf.DUMMYFUNCTION("""COMPUTED_VALUE"""),"KTE2026-026")</f>
        <v>KTE2026-026</v>
      </c>
      <c r="B27" s="4" t="str">
        <f>IFERROR(__xludf.DUMMYFUNCTION("""COMPUTED_VALUE"""),"Kinh tế")</f>
        <v>Kinh tế</v>
      </c>
      <c r="C27" s="4" t="str">
        <f>IFERROR(__xludf.DUMMYFUNCTION("""COMPUTED_VALUE"""),"Ứng dụng công nghệ số trong quản trị logistics ngược: Nghiên cứu trường hợp xử lý hàng trả của công ty TNHH Shopee tại Việt Nam")</f>
        <v>Ứng dụng công nghệ số trong quản trị logistics ngược: Nghiên cứu trường hợp xử lý hàng trả của công ty TNHH Shopee tại Việt Nam</v>
      </c>
      <c r="D27" s="4" t="str">
        <f>IFERROR(__xludf.DUMMYFUNCTION("""COMPUTED_VALUE"""),"Phạm Nhật Vỹ; Vũ Duy Hoàn; Phạm Hà Vy; Mai Thị Phương Thảo")</f>
        <v>Phạm Nhật Vỹ; Vũ Duy Hoàn; Phạm Hà Vy; Mai Thị Phương Thảo</v>
      </c>
      <c r="E27" s="4" t="str">
        <f>IFERROR(__xludf.DUMMYFUNCTION("""COMPUTED_VALUE"""),"Trường Đại học Kiến trúc Hà Nội")</f>
        <v>Trường Đại học Kiến trúc Hà Nội</v>
      </c>
      <c r="F27" s="4" t="str">
        <f>IFERROR(__xludf.DUMMYFUNCTION("""COMPUTED_VALUE"""),"KTE2026-026.png")</f>
        <v>KTE2026-026.png</v>
      </c>
    </row>
    <row r="28">
      <c r="A28" s="4" t="str">
        <f>IFERROR(__xludf.DUMMYFUNCTION("""COMPUTED_VALUE"""),"KTE2026-027")</f>
        <v>KTE2026-027</v>
      </c>
      <c r="B28" s="4" t="str">
        <f>IFERROR(__xludf.DUMMYFUNCTION("""COMPUTED_VALUE"""),"Kinh tế")</f>
        <v>Kinh tế</v>
      </c>
      <c r="C28" s="4" t="str">
        <f>IFERROR(__xludf.DUMMYFUNCTION("""COMPUTED_VALUE"""),"Các nhân tố ảnh hưởng đến hành vi mua hàng ngẫu hứng trên sàn thương mại điện tử TikTok Shop với sinh viên 1 trường ĐH khối kỹ thuật - kiến trúc tại Hà Nội dưới sự tác động của trí tuệ nhân tạo")</f>
        <v>Các nhân tố ảnh hưởng đến hành vi mua hàng ngẫu hứng trên sàn thương mại điện tử TikTok Shop với sinh viên 1 trường ĐH khối kỹ thuật - kiến trúc tại Hà Nội dưới sự tác động của trí tuệ nhân tạo</v>
      </c>
      <c r="D28" s="4" t="str">
        <f>IFERROR(__xludf.DUMMYFUNCTION("""COMPUTED_VALUE"""),"Phạm Mai Hương; Trần Hải Đăng; Lê Thị Bảo Nhật; Vũ Duy Hiệp")</f>
        <v>Phạm Mai Hương; Trần Hải Đăng; Lê Thị Bảo Nhật; Vũ Duy Hiệp</v>
      </c>
      <c r="E28" s="4" t="str">
        <f>IFERROR(__xludf.DUMMYFUNCTION("""COMPUTED_VALUE"""),"Trường Đại học Kiến trúc Hà Nội")</f>
        <v>Trường Đại học Kiến trúc Hà Nội</v>
      </c>
      <c r="F28" s="4" t="str">
        <f>IFERROR(__xludf.DUMMYFUNCTION("""COMPUTED_VALUE"""),"KTE2026-027.png")</f>
        <v>KTE2026-027.png</v>
      </c>
    </row>
    <row r="29">
      <c r="A29" s="4" t="str">
        <f>IFERROR(__xludf.DUMMYFUNCTION("""COMPUTED_VALUE"""),"KTE2026-028")</f>
        <v>KTE2026-028</v>
      </c>
      <c r="B29" s="4" t="str">
        <f>IFERROR(__xludf.DUMMYFUNCTION("""COMPUTED_VALUE"""),"Kinh tế")</f>
        <v>Kinh tế</v>
      </c>
      <c r="C29" s="4" t="str">
        <f>IFERROR(__xludf.DUMMYFUNCTION("""COMPUTED_VALUE"""),"Nghiên cứu ứng dụng mô hình kho xanh trong phát triển logistics bền vững tại Công ty Cổ phần Dịch vụ Hàng hóa Sài Gòn")</f>
        <v>Nghiên cứu ứng dụng mô hình kho xanh trong phát triển logistics bền vững tại Công ty Cổ phần Dịch vụ Hàng hóa Sài Gòn</v>
      </c>
      <c r="D29" s="4" t="str">
        <f>IFERROR(__xludf.DUMMYFUNCTION("""COMPUTED_VALUE"""),"Nguyễn Quốc Thống; Lê Tuyết Diễm; Lê Anh Trường; Lê Minh Thư; Lê Nguyễn Quốc Thắng")</f>
        <v>Nguyễn Quốc Thống; Lê Tuyết Diễm; Lê Anh Trường; Lê Minh Thư; Lê Nguyễn Quốc Thắng</v>
      </c>
      <c r="E29" s="4" t="str">
        <f>IFERROR(__xludf.DUMMYFUNCTION("""COMPUTED_VALUE"""),"Trường Đại học Giao thông vận tải TP. Hồ Chí Minh")</f>
        <v>Trường Đại học Giao thông vận tải TP. Hồ Chí Minh</v>
      </c>
      <c r="F29" s="4" t="str">
        <f>IFERROR(__xludf.DUMMYFUNCTION("""COMPUTED_VALUE"""),"KTE2026-028.png")</f>
        <v>KTE2026-028.png</v>
      </c>
    </row>
    <row r="30">
      <c r="A30" s="4" t="str">
        <f>IFERROR(__xludf.DUMMYFUNCTION("""COMPUTED_VALUE"""),"KTE2026-029")</f>
        <v>KTE2026-029</v>
      </c>
      <c r="B30" s="4" t="str">
        <f>IFERROR(__xludf.DUMMYFUNCTION("""COMPUTED_VALUE"""),"Kinh tế")</f>
        <v>Kinh tế</v>
      </c>
      <c r="C30" s="4" t="str">
        <f>IFERROR(__xludf.DUMMYFUNCTION("""COMPUTED_VALUE"""),"Tác động của trí tuệ nhân tạo và chuyển đổi số đến định hướng nghề nghiệp của sinh viên Việt Nam trong thời đại 4.0")</f>
        <v>Tác động của trí tuệ nhân tạo và chuyển đổi số đến định hướng nghề nghiệp của sinh viên Việt Nam trong thời đại 4.0</v>
      </c>
      <c r="D30" s="4" t="str">
        <f>IFERROR(__xludf.DUMMYFUNCTION("""COMPUTED_VALUE"""),"Nguyễn Anh Thư; Trần Thị Ngọc Bích; Nguyễn Thanh Bình; Nguyễn Ngọc Xuân Nghi; Lê Ngọc Phương Thảo")</f>
        <v>Nguyễn Anh Thư; Trần Thị Ngọc Bích; Nguyễn Thanh Bình; Nguyễn Ngọc Xuân Nghi; Lê Ngọc Phương Thảo</v>
      </c>
      <c r="E30" s="4" t="str">
        <f>IFERROR(__xludf.DUMMYFUNCTION("""COMPUTED_VALUE"""),"Trường Đại học Tài chính - Marketing")</f>
        <v>Trường Đại học Tài chính - Marketing</v>
      </c>
      <c r="F30" s="4" t="str">
        <f>IFERROR(__xludf.DUMMYFUNCTION("""COMPUTED_VALUE"""),"KTE2026-029.png")</f>
        <v>KTE2026-029.png</v>
      </c>
    </row>
    <row r="31">
      <c r="A31" s="4" t="str">
        <f>IFERROR(__xludf.DUMMYFUNCTION("""COMPUTED_VALUE"""),"KTE2026-030")</f>
        <v>KTE2026-030</v>
      </c>
      <c r="B31" s="4" t="str">
        <f>IFERROR(__xludf.DUMMYFUNCTION("""COMPUTED_VALUE"""),"Kinh tế")</f>
        <v>Kinh tế</v>
      </c>
      <c r="C31" s="4" t="str">
        <f>IFERROR(__xludf.DUMMYFUNCTION("""COMPUTED_VALUE"""),"Chảy chất xám vùng miền tại Việt Nam: Phân tích tác động của thu nhập và điều kiện kinh tế vùng đến hành vi di cư của người học vị cao")</f>
        <v>Chảy chất xám vùng miền tại Việt Nam: Phân tích tác động của thu nhập và điều kiện kinh tế vùng đến hành vi di cư của người học vị cao</v>
      </c>
      <c r="D31" s="4" t="str">
        <f>IFERROR(__xludf.DUMMYFUNCTION("""COMPUTED_VALUE"""),"Tạ Minh Công; Nguyễn Thùy Dương; Trần Phú Đông; Phạm Ngọc Phương Nghi; Nguyễn Phước Quý Sơn")</f>
        <v>Tạ Minh Công; Nguyễn Thùy Dương; Trần Phú Đông; Phạm Ngọc Phương Nghi; Nguyễn Phước Quý Sơn</v>
      </c>
      <c r="E31" s="4" t="str">
        <f>IFERROR(__xludf.DUMMYFUNCTION("""COMPUTED_VALUE"""),"Trường Đại học Tài chính - Marketing")</f>
        <v>Trường Đại học Tài chính - Marketing</v>
      </c>
      <c r="F31" s="4" t="str">
        <f>IFERROR(__xludf.DUMMYFUNCTION("""COMPUTED_VALUE"""),"KTE2026-030.png")</f>
        <v>KTE2026-030.png</v>
      </c>
    </row>
    <row r="32">
      <c r="A32" s="4" t="str">
        <f>IFERROR(__xludf.DUMMYFUNCTION("""COMPUTED_VALUE"""),"KTE2026-031")</f>
        <v>KTE2026-031</v>
      </c>
      <c r="B32" s="4" t="str">
        <f>IFERROR(__xludf.DUMMYFUNCTION("""COMPUTED_VALUE"""),"Kinh tế")</f>
        <v>Kinh tế</v>
      </c>
      <c r="C32" s="4" t="str">
        <f>IFERROR(__xludf.DUMMYFUNCTION("""COMPUTED_VALUE"""),"Greenfield warehouse location &amp; allocation using center-of-gravity and factor rating method")</f>
        <v>Greenfield warehouse location &amp; allocation using center-of-gravity and factor rating method</v>
      </c>
      <c r="D32" s="4" t="str">
        <f>IFERROR(__xludf.DUMMYFUNCTION("""COMPUTED_VALUE"""),"Trương Nhật Hà; Phạm Bùi Đông Linh; Hà Ngọc Thanh Tâm")</f>
        <v>Trương Nhật Hà; Phạm Bùi Đông Linh; Hà Ngọc Thanh Tâm</v>
      </c>
      <c r="E32" s="4" t="str">
        <f>IFERROR(__xludf.DUMMYFUNCTION("""COMPUTED_VALUE"""),"Trường Đại học Quốc tế, ĐHQG-HCM")</f>
        <v>Trường Đại học Quốc tế, ĐHQG-HCM</v>
      </c>
      <c r="F32" s="4" t="str">
        <f>IFERROR(__xludf.DUMMYFUNCTION("""COMPUTED_VALUE"""),"KTE2026-031.png")</f>
        <v>KTE2026-031.png</v>
      </c>
    </row>
    <row r="33">
      <c r="A33" s="4" t="str">
        <f>IFERROR(__xludf.DUMMYFUNCTION("""COMPUTED_VALUE"""),"KTE2026-032")</f>
        <v>KTE2026-032</v>
      </c>
      <c r="B33" s="4" t="str">
        <f>IFERROR(__xludf.DUMMYFUNCTION("""COMPUTED_VALUE"""),"Kinh tế")</f>
        <v>Kinh tế</v>
      </c>
      <c r="C33" s="4" t="str">
        <f>IFERROR(__xludf.DUMMYFUNCTION("""COMPUTED_VALUE"""),"Repurchase behavior toward Vietnam's OCOP products in the digital transformation context: The role of consumer ethnocentrism")</f>
        <v>Repurchase behavior toward Vietnam's OCOP products in the digital transformation context: The role of consumer ethnocentrism</v>
      </c>
      <c r="D33" s="4" t="str">
        <f>IFERROR(__xludf.DUMMYFUNCTION("""COMPUTED_VALUE"""),"Nguyễn Hoàng Hiền; Nguyễn Phú Mạnh; Phạm Khánh Vy; Phạm Nguyễn Tố Uyên")</f>
        <v>Nguyễn Hoàng Hiền; Nguyễn Phú Mạnh; Phạm Khánh Vy; Phạm Nguyễn Tố Uyên</v>
      </c>
      <c r="E33" s="4" t="str">
        <f>IFERROR(__xludf.DUMMYFUNCTION("""COMPUTED_VALUE"""),"Trường Đại học Bách khoa, ĐHQG-HCM")</f>
        <v>Trường Đại học Bách khoa, ĐHQG-HCM</v>
      </c>
      <c r="F33" s="4" t="str">
        <f>IFERROR(__xludf.DUMMYFUNCTION("""COMPUTED_VALUE"""),"KTE2026-032.png")</f>
        <v>KTE2026-032.png</v>
      </c>
    </row>
    <row r="34">
      <c r="A34" s="4" t="str">
        <f>IFERROR(__xludf.DUMMYFUNCTION("""COMPUTED_VALUE"""),"KTE2026-033")</f>
        <v>KTE2026-033</v>
      </c>
      <c r="B34" s="4" t="str">
        <f>IFERROR(__xludf.DUMMYFUNCTION("""COMPUTED_VALUE"""),"Kinh tế")</f>
        <v>Kinh tế</v>
      </c>
      <c r="C34" s="4" t="str">
        <f>IFERROR(__xludf.DUMMYFUNCTION("""COMPUTED_VALUE"""),"Application of geographic information systems (GIS) and mixed-integer linear programming for optimizing biomass factory location mapping in the Mekong Delta region, Vietnam")</f>
        <v>Application of geographic information systems (GIS) and mixed-integer linear programming for optimizing biomass factory location mapping in the Mekong Delta region, Vietnam</v>
      </c>
      <c r="D34" s="4" t="str">
        <f>IFERROR(__xludf.DUMMYFUNCTION("""COMPUTED_VALUE"""),"Văn Nguyễn Công Hùng; Trần Lê Kim Ngọc; Nguyễn Ngọc Thái Ngân")</f>
        <v>Văn Nguyễn Công Hùng; Trần Lê Kim Ngọc; Nguyễn Ngọc Thái Ngân</v>
      </c>
      <c r="E34" s="4" t="str">
        <f>IFERROR(__xludf.DUMMYFUNCTION("""COMPUTED_VALUE"""),"Trường Đại học Bách khoa, ĐHQG-HCM")</f>
        <v>Trường Đại học Bách khoa, ĐHQG-HCM</v>
      </c>
      <c r="F34" s="4" t="str">
        <f>IFERROR(__xludf.DUMMYFUNCTION("""COMPUTED_VALUE"""),"KTE2026-033.png")</f>
        <v>KTE2026-033.png</v>
      </c>
    </row>
    <row r="35">
      <c r="A35" s="4" t="str">
        <f>IFERROR(__xludf.DUMMYFUNCTION("""COMPUTED_VALUE"""),"KTE2026-034")</f>
        <v>KTE2026-034</v>
      </c>
      <c r="B35" s="4" t="str">
        <f>IFERROR(__xludf.DUMMYFUNCTION("""COMPUTED_VALUE"""),"Kinh tế")</f>
        <v>Kinh tế</v>
      </c>
      <c r="C35" s="4" t="str">
        <f>IFERROR(__xludf.DUMMYFUNCTION("""COMPUTED_VALUE"""),"Hệ thống truy xuất nguồn gốc và đánh giá tính bền vững cho chuỗi cung ứng nông sản")</f>
        <v>Hệ thống truy xuất nguồn gốc và đánh giá tính bền vững cho chuỗi cung ứng nông sản</v>
      </c>
      <c r="D35" s="4" t="str">
        <f>IFERROR(__xludf.DUMMYFUNCTION("""COMPUTED_VALUE"""),"Nguyễn Dạ Thảo; Nguyễn Thế Hoàng; Đàm Tiến Vũ; Khúc Thế Hồng Phong")</f>
        <v>Nguyễn Dạ Thảo; Nguyễn Thế Hoàng; Đàm Tiến Vũ; Khúc Thế Hồng Phong</v>
      </c>
      <c r="E35" s="4" t="str">
        <f>IFERROR(__xludf.DUMMYFUNCTION("""COMPUTED_VALUE"""),"Trường Đại học Bách khoa, ĐHQG-HCM")</f>
        <v>Trường Đại học Bách khoa, ĐHQG-HCM</v>
      </c>
      <c r="F35" s="4" t="str">
        <f>IFERROR(__xludf.DUMMYFUNCTION("""COMPUTED_VALUE"""),"KTE2026-034.png")</f>
        <v>KTE2026-034.png</v>
      </c>
    </row>
    <row r="36">
      <c r="A36" s="4" t="str">
        <f>IFERROR(__xludf.DUMMYFUNCTION("""COMPUTED_VALUE"""),"KTE2026-035")</f>
        <v>KTE2026-035</v>
      </c>
      <c r="B36" s="4" t="str">
        <f>IFERROR(__xludf.DUMMYFUNCTION("""COMPUTED_VALUE"""),"Kinh tế")</f>
        <v>Kinh tế</v>
      </c>
      <c r="C36" s="4" t="str">
        <f>IFERROR(__xludf.DUMMYFUNCTION("""COMPUTED_VALUE"""),"Tác động của thương mại quốc tế đến sự sẵn sàng của chính phủ về trí thông minh nhân tạo (AI): Vai trò của thể chế")</f>
        <v>Tác động của thương mại quốc tế đến sự sẵn sàng của chính phủ về trí thông minh nhân tạo (AI): Vai trò của thể chế</v>
      </c>
      <c r="D36" s="4" t="str">
        <f>IFERROR(__xludf.DUMMYFUNCTION("""COMPUTED_VALUE"""),"Nguyễn Thị Vân; Trương Ngọc Trâm")</f>
        <v>Nguyễn Thị Vân; Trương Ngọc Trâm</v>
      </c>
      <c r="E36" s="4" t="str">
        <f>IFERROR(__xludf.DUMMYFUNCTION("""COMPUTED_VALUE"""),"Trường Đại học Hoa Sen")</f>
        <v>Trường Đại học Hoa Sen</v>
      </c>
      <c r="F36" s="4" t="str">
        <f>IFERROR(__xludf.DUMMYFUNCTION("""COMPUTED_VALUE"""),"KTE2026-035.png")</f>
        <v>KTE2026-035.png</v>
      </c>
    </row>
    <row r="37">
      <c r="A37" s="4" t="str">
        <f>IFERROR(__xludf.DUMMYFUNCTION("""COMPUTED_VALUE"""),"KTE2026-036")</f>
        <v>KTE2026-036</v>
      </c>
      <c r="B37" s="4" t="str">
        <f>IFERROR(__xludf.DUMMYFUNCTION("""COMPUTED_VALUE"""),"Kinh tế")</f>
        <v>Kinh tế</v>
      </c>
      <c r="C37" s="4" t="str">
        <f>IFERROR(__xludf.DUMMYFUNCTION("""COMPUTED_VALUE"""),"Tác động của thiên tai đối với thương mại quốc tế hàng hoá nông nghiệp")</f>
        <v>Tác động của thiên tai đối với thương mại quốc tế hàng hoá nông nghiệp</v>
      </c>
      <c r="D37" s="4" t="str">
        <f>IFERROR(__xludf.DUMMYFUNCTION("""COMPUTED_VALUE"""),"Phạm Minh Thơ; Nguyễn Trần Mỹ Tâm")</f>
        <v>Phạm Minh Thơ; Nguyễn Trần Mỹ Tâm</v>
      </c>
      <c r="E37" s="4" t="str">
        <f>IFERROR(__xludf.DUMMYFUNCTION("""COMPUTED_VALUE"""),"Trường Đại học Hoa Sen")</f>
        <v>Trường Đại học Hoa Sen</v>
      </c>
      <c r="F37" s="4" t="str">
        <f>IFERROR(__xludf.DUMMYFUNCTION("""COMPUTED_VALUE"""),"KTE2026-036.png")</f>
        <v>KTE2026-036.png</v>
      </c>
    </row>
    <row r="38">
      <c r="A38" s="4" t="str">
        <f>IFERROR(__xludf.DUMMYFUNCTION("""COMPUTED_VALUE"""),"KTE2026-037")</f>
        <v>KTE2026-037</v>
      </c>
      <c r="B38" s="4" t="str">
        <f>IFERROR(__xludf.DUMMYFUNCTION("""COMPUTED_VALUE"""),"Kinh tế")</f>
        <v>Kinh tế</v>
      </c>
      <c r="C38" s="4" t="str">
        <f>IFERROR(__xludf.DUMMYFUNCTION("""COMPUTED_VALUE"""),"Mối quan hệ giữa đổi mới sáng tạo và xuất khẩu: Nghiên cứu thực nghiệm trường hợp các doanh nghiệp Việt Nam bằng phương pháp hệ phương trình đồng thời 3SLS")</f>
        <v>Mối quan hệ giữa đổi mới sáng tạo và xuất khẩu: Nghiên cứu thực nghiệm trường hợp các doanh nghiệp Việt Nam bằng phương pháp hệ phương trình đồng thời 3SLS</v>
      </c>
      <c r="D38" s="4" t="str">
        <f>IFERROR(__xludf.DUMMYFUNCTION("""COMPUTED_VALUE"""),"Nguyễn Dương Thị Anh Thư; Trần Thị Anh Thư; Phạm Thảo Nhi; Mai Nguyễn Ngọc Thảo; Lê Thu Trang")</f>
        <v>Nguyễn Dương Thị Anh Thư; Trần Thị Anh Thư; Phạm Thảo Nhi; Mai Nguyễn Ngọc Thảo; Lê Thu Trang</v>
      </c>
      <c r="E38" s="4"/>
      <c r="F38" s="4" t="str">
        <f>IFERROR(__xludf.DUMMYFUNCTION("""COMPUTED_VALUE"""),"KTE2026-037.png")</f>
        <v>KTE2026-037.png</v>
      </c>
    </row>
    <row r="39">
      <c r="A39" s="4" t="str">
        <f>IFERROR(__xludf.DUMMYFUNCTION("""COMPUTED_VALUE"""),"KTE2026-038")</f>
        <v>KTE2026-038</v>
      </c>
      <c r="B39" s="4" t="str">
        <f>IFERROR(__xludf.DUMMYFUNCTION("""COMPUTED_VALUE"""),"Kinh tế")</f>
        <v>Kinh tế</v>
      </c>
      <c r="C39" s="4" t="str">
        <f>IFERROR(__xludf.DUMMYFUNCTION("""COMPUTED_VALUE"""),"The moderating role of foreign ownership in the export-employment growth nexus of Vietnamese firms and implications for the double-digit growth target")</f>
        <v>The moderating role of foreign ownership in the export-employment growth nexus of Vietnamese firms and implications for the double-digit growth target</v>
      </c>
      <c r="D39" s="4" t="str">
        <f>IFERROR(__xludf.DUMMYFUNCTION("""COMPUTED_VALUE"""),"Lưu Phương Trang; Phạm Thị Minh Trang; Đoàn Anh Vũ; Nguyễn Minh Châu; Quách Phan Châu Anh")</f>
        <v>Lưu Phương Trang; Phạm Thị Minh Trang; Đoàn Anh Vũ; Nguyễn Minh Châu; Quách Phan Châu Anh</v>
      </c>
      <c r="E39" s="4" t="str">
        <f>IFERROR(__xludf.DUMMYFUNCTION("""COMPUTED_VALUE"""),"Học viện Ngoại giao")</f>
        <v>Học viện Ngoại giao</v>
      </c>
      <c r="F39" s="4" t="str">
        <f>IFERROR(__xludf.DUMMYFUNCTION("""COMPUTED_VALUE"""),"KTE2026-038.png")</f>
        <v>KTE2026-038.png</v>
      </c>
    </row>
    <row r="40">
      <c r="A40" s="4" t="str">
        <f>IFERROR(__xludf.DUMMYFUNCTION("""COMPUTED_VALUE"""),"KTE2026-039")</f>
        <v>KTE2026-039</v>
      </c>
      <c r="B40" s="4" t="str">
        <f>IFERROR(__xludf.DUMMYFUNCTION("""COMPUTED_VALUE"""),"Kinh tế")</f>
        <v>Kinh tế</v>
      </c>
      <c r="C40" s="4" t="str">
        <f>IFERROR(__xludf.DUMMYFUNCTION("""COMPUTED_VALUE"""),"Phân bổ hạn ngạch và điều kiện hình thành giá trên thị trường các-bon Việt Nam: Bằng chứng từ 110 cơ sở và phiên giao dịch đầu tiên")</f>
        <v>Phân bổ hạn ngạch và điều kiện hình thành giá trên thị trường các-bon Việt Nam: Bằng chứng từ 110 cơ sở và phiên giao dịch đầu tiên</v>
      </c>
      <c r="D40" s="4" t="str">
        <f>IFERROR(__xludf.DUMMYFUNCTION("""COMPUTED_VALUE"""),"Phạm Vũ Ngọc Linh; Nguyễn Quyết Tiến")</f>
        <v>Phạm Vũ Ngọc Linh; Nguyễn Quyết Tiến</v>
      </c>
      <c r="E40" s="4" t="str">
        <f>IFERROR(__xludf.DUMMYFUNCTION("""COMPUTED_VALUE"""),"Học viện Ngoại giao")</f>
        <v>Học viện Ngoại giao</v>
      </c>
      <c r="F40" s="4" t="str">
        <f>IFERROR(__xludf.DUMMYFUNCTION("""COMPUTED_VALUE"""),"KTE2026-039.png")</f>
        <v>KTE2026-039.png</v>
      </c>
    </row>
    <row r="41">
      <c r="A41" s="4" t="str">
        <f>IFERROR(__xludf.DUMMYFUNCTION("""COMPUTED_VALUE"""),"KTE2026-040")</f>
        <v>KTE2026-040</v>
      </c>
      <c r="B41" s="4" t="str">
        <f>IFERROR(__xludf.DUMMYFUNCTION("""COMPUTED_VALUE"""),"Kinh tế")</f>
        <v>Kinh tế</v>
      </c>
      <c r="C41" s="4" t="str">
        <f>IFERROR(__xludf.DUMMYFUNCTION("""COMPUTED_VALUE"""),"Foreign direct investment, absorptive capacity and productivity: Cross-country evidence and implications for Viet Nam’s double-digit growth target")</f>
        <v>Foreign direct investment, absorptive capacity and productivity: Cross-country evidence and implications for Viet Nam’s double-digit growth target</v>
      </c>
      <c r="D41" s="4" t="str">
        <f>IFERROR(__xludf.DUMMYFUNCTION("""COMPUTED_VALUE"""),"Nguyễn Minh Châu; Đoàn Anh Vũ; Quách Phan Châu Anh; Phạm Thị Minh Trang; Lưu Phương Trang")</f>
        <v>Nguyễn Minh Châu; Đoàn Anh Vũ; Quách Phan Châu Anh; Phạm Thị Minh Trang; Lưu Phương Trang</v>
      </c>
      <c r="E41" s="4" t="str">
        <f>IFERROR(__xludf.DUMMYFUNCTION("""COMPUTED_VALUE"""),"Học viện Ngoại giao")</f>
        <v>Học viện Ngoại giao</v>
      </c>
      <c r="F41" s="4" t="str">
        <f>IFERROR(__xludf.DUMMYFUNCTION("""COMPUTED_VALUE"""),"KTE2026-040.png")</f>
        <v>KTE2026-040.png</v>
      </c>
    </row>
    <row r="42">
      <c r="A42" s="4" t="str">
        <f>IFERROR(__xludf.DUMMYFUNCTION("""COMPUTED_VALUE"""),"KTE2026-041")</f>
        <v>KTE2026-041</v>
      </c>
      <c r="B42" s="4" t="str">
        <f>IFERROR(__xludf.DUMMYFUNCTION("""COMPUTED_VALUE"""),"Kinh tế")</f>
        <v>Kinh tế</v>
      </c>
      <c r="C42" s="4" t="str">
        <f>IFERROR(__xludf.DUMMYFUNCTION("""COMPUTED_VALUE"""),"From AI foundations to GenAI adoption in logistics: Evidence from China and Vietnam")</f>
        <v>From AI foundations to GenAI adoption in logistics: Evidence from China and Vietnam</v>
      </c>
      <c r="D42" s="4" t="str">
        <f>IFERROR(__xludf.DUMMYFUNCTION("""COMPUTED_VALUE"""),"Nguyễn Thu Hương; Lưu Nguyễn Ngọc Nhi")</f>
        <v>Nguyễn Thu Hương; Lưu Nguyễn Ngọc Nhi</v>
      </c>
      <c r="E42" s="4" t="str">
        <f>IFERROR(__xludf.DUMMYFUNCTION("""COMPUTED_VALUE"""),"Học viện Ngoại giao")</f>
        <v>Học viện Ngoại giao</v>
      </c>
      <c r="F42" s="4" t="str">
        <f>IFERROR(__xludf.DUMMYFUNCTION("""COMPUTED_VALUE"""),"KTE2026-041.png")</f>
        <v>KTE2026-041.png</v>
      </c>
    </row>
    <row r="43">
      <c r="A43" s="4" t="str">
        <f>IFERROR(__xludf.DUMMYFUNCTION("""COMPUTED_VALUE"""),"KTE2026-042")</f>
        <v>KTE2026-042</v>
      </c>
      <c r="B43" s="4" t="str">
        <f>IFERROR(__xludf.DUMMYFUNCTION("""COMPUTED_VALUE"""),"Kinh tế")</f>
        <v>Kinh tế</v>
      </c>
      <c r="C43" s="4" t="str">
        <f>IFERROR(__xludf.DUMMYFUNCTION("""COMPUTED_VALUE"""),"Geoeconomic fragmentation and energy transition: A panel threshold analysis of environmental policy stringency")</f>
        <v>Geoeconomic fragmentation and energy transition: A panel threshold analysis of environmental policy stringency</v>
      </c>
      <c r="D43" s="4" t="str">
        <f>IFERROR(__xludf.DUMMYFUNCTION("""COMPUTED_VALUE"""),"Lê Thị Ngọc Diệp; Phan Thị Quỳnh Anh; Lê Thu Quỳnh")</f>
        <v>Lê Thị Ngọc Diệp; Phan Thị Quỳnh Anh; Lê Thu Quỳnh</v>
      </c>
      <c r="E43" s="4" t="str">
        <f>IFERROR(__xludf.DUMMYFUNCTION("""COMPUTED_VALUE"""),"Học viện Ngoại giao")</f>
        <v>Học viện Ngoại giao</v>
      </c>
      <c r="F43" s="4" t="str">
        <f>IFERROR(__xludf.DUMMYFUNCTION("""COMPUTED_VALUE"""),"KTE2026-042.png")</f>
        <v>KTE2026-042.png</v>
      </c>
    </row>
    <row r="44">
      <c r="A44" s="4" t="str">
        <f>IFERROR(__xludf.DUMMYFUNCTION("""COMPUTED_VALUE"""),"KTE2026-043")</f>
        <v>KTE2026-043</v>
      </c>
      <c r="B44" s="4" t="str">
        <f>IFERROR(__xludf.DUMMYFUNCTION("""COMPUTED_VALUE"""),"Kinh tế")</f>
        <v>Kinh tế</v>
      </c>
      <c r="C44" s="4" t="str">
        <f>IFERROR(__xludf.DUMMYFUNCTION("""COMPUTED_VALUE"""),"Nghiên cứu các yếu tố ảnh hưởng đến quyết định tham gia nền kinh tế gig của sinh viên Trường Đại học Nghệ An")</f>
        <v>Nghiên cứu các yếu tố ảnh hưởng đến quyết định tham gia nền kinh tế gig của sinh viên Trường Đại học Nghệ An</v>
      </c>
      <c r="D44" s="4" t="str">
        <f>IFERROR(__xludf.DUMMYFUNCTION("""COMPUTED_VALUE"""),"Nguyễn Thị Hồng; Phạm Thị Thanh Phương")</f>
        <v>Nguyễn Thị Hồng; Phạm Thị Thanh Phương</v>
      </c>
      <c r="E44" s="4" t="str">
        <f>IFERROR(__xludf.DUMMYFUNCTION("""COMPUTED_VALUE"""),"Trường Đại học Nghệ An")</f>
        <v>Trường Đại học Nghệ An</v>
      </c>
      <c r="F44" s="4" t="str">
        <f>IFERROR(__xludf.DUMMYFUNCTION("""COMPUTED_VALUE"""),"KTE2026-043.png")</f>
        <v>KTE2026-043.png</v>
      </c>
    </row>
    <row r="45">
      <c r="A45" s="4" t="str">
        <f>IFERROR(__xludf.DUMMYFUNCTION("""COMPUTED_VALUE"""),"KTE2026-044")</f>
        <v>KTE2026-044</v>
      </c>
      <c r="B45" s="4" t="str">
        <f>IFERROR(__xludf.DUMMYFUNCTION("""COMPUTED_VALUE"""),"Kinh tế")</f>
        <v>Kinh tế</v>
      </c>
      <c r="C45" s="4" t="str">
        <f>IFERROR(__xludf.DUMMYFUNCTION("""COMPUTED_VALUE"""),"Ý định mua chương trình bù trừ carbon tự nguyện của hành khách hàng không Việt Nam: Vai trò của chuẩn mực đạo đức và kiến thức môi trường")</f>
        <v>Ý định mua chương trình bù trừ carbon tự nguyện của hành khách hàng không Việt Nam: Vai trò của chuẩn mực đạo đức và kiến thức môi trường</v>
      </c>
      <c r="D45" s="4" t="str">
        <f>IFERROR(__xludf.DUMMYFUNCTION("""COMPUTED_VALUE"""),"Bùi Viết Thanh Vy; Trần Hửu Vinh; Nguyễn Khánh Linh; Nguyễn Đình Thế Anh")</f>
        <v>Bùi Viết Thanh Vy; Trần Hửu Vinh; Nguyễn Khánh Linh; Nguyễn Đình Thế Anh</v>
      </c>
      <c r="E45" s="4" t="str">
        <f>IFERROR(__xludf.DUMMYFUNCTION("""COMPUTED_VALUE"""),"Học viện Hàng không Việt Nam")</f>
        <v>Học viện Hàng không Việt Nam</v>
      </c>
      <c r="F45" s="4" t="str">
        <f>IFERROR(__xludf.DUMMYFUNCTION("""COMPUTED_VALUE"""),"KTE2026-044.png")</f>
        <v>KTE2026-044.png</v>
      </c>
    </row>
    <row r="46">
      <c r="A46" s="4" t="str">
        <f>IFERROR(__xludf.DUMMYFUNCTION("""COMPUTED_VALUE"""),"KTE2026-045")</f>
        <v>KTE2026-045</v>
      </c>
      <c r="B46" s="4" t="str">
        <f>IFERROR(__xludf.DUMMYFUNCTION("""COMPUTED_VALUE"""),"Kinh tế")</f>
        <v>Kinh tế</v>
      </c>
      <c r="C46" s="4" t="str">
        <f>IFERROR(__xludf.DUMMYFUNCTION("""COMPUTED_VALUE"""),"A study on the influence of traditional northern Vietnamese accumulation values on the formation of emergency funds among young university students at Vietnam National University, Hanoi")</f>
        <v>A study on the influence of traditional northern Vietnamese accumulation values on the formation of emergency funds among young university students at Vietnam National University, Hanoi</v>
      </c>
      <c r="D46" s="4" t="str">
        <f>IFERROR(__xludf.DUMMYFUNCTION("""COMPUTED_VALUE"""),"Lương Minh Hà Phương; Nguyễn Thị Trà My")</f>
        <v>Lương Minh Hà Phương; Nguyễn Thị Trà My</v>
      </c>
      <c r="E46" s="4" t="str">
        <f>IFERROR(__xludf.DUMMYFUNCTION("""COMPUTED_VALUE"""),"Trường Quốc tế, ĐHQG Hà Nội")</f>
        <v>Trường Quốc tế, ĐHQG Hà Nội</v>
      </c>
      <c r="F46" s="4" t="str">
        <f>IFERROR(__xludf.DUMMYFUNCTION("""COMPUTED_VALUE"""),"KTE2026-045.png")</f>
        <v>KTE2026-045.png</v>
      </c>
    </row>
    <row r="47">
      <c r="A47" s="4" t="str">
        <f>IFERROR(__xludf.DUMMYFUNCTION("""COMPUTED_VALUE"""),"KTE2026-046")</f>
        <v>KTE2026-046</v>
      </c>
      <c r="B47" s="4" t="str">
        <f>IFERROR(__xludf.DUMMYFUNCTION("""COMPUTED_VALUE"""),"Kinh tế")</f>
        <v>Kinh tế</v>
      </c>
      <c r="C47" s="4" t="str">
        <f>IFERROR(__xludf.DUMMYFUNCTION("""COMPUTED_VALUE"""),"Geopolitical risk, leverage, and corporate volatility: Firm-level evidence from Vietnam")</f>
        <v>Geopolitical risk, leverage, and corporate volatility: Firm-level evidence from Vietnam</v>
      </c>
      <c r="D47" s="4" t="str">
        <f>IFERROR(__xludf.DUMMYFUNCTION("""COMPUTED_VALUE"""),"Đinh Thị Ngọc Hiếu; Mai Hồng Hà; Trần Thị Ngọc Ánh")</f>
        <v>Đinh Thị Ngọc Hiếu; Mai Hồng Hà; Trần Thị Ngọc Ánh</v>
      </c>
      <c r="E47" s="4" t="str">
        <f>IFERROR(__xludf.DUMMYFUNCTION("""COMPUTED_VALUE"""),"Trường Đại học Kinh tế - Tài chính TP. Hồ Chí Minh")</f>
        <v>Trường Đại học Kinh tế - Tài chính TP. Hồ Chí Minh</v>
      </c>
      <c r="F47" s="4" t="str">
        <f>IFERROR(__xludf.DUMMYFUNCTION("""COMPUTED_VALUE"""),"KTE2026-046.png")</f>
        <v>KTE2026-046.png</v>
      </c>
    </row>
    <row r="48">
      <c r="A48" s="4" t="str">
        <f>IFERROR(__xludf.DUMMYFUNCTION("""COMPUTED_VALUE"""),"KTE2026-047")</f>
        <v>KTE2026-047</v>
      </c>
      <c r="B48" s="4" t="str">
        <f>IFERROR(__xludf.DUMMYFUNCTION("""COMPUTED_VALUE"""),"Kinh tế")</f>
        <v>Kinh tế</v>
      </c>
      <c r="C48" s="4" t="str">
        <f>IFERROR(__xludf.DUMMYFUNCTION("""COMPUTED_VALUE"""),"Enhancing competitiveness through the ESG lens: A multi-method analysis of logistics enterprises in Ho Chi Minh City")</f>
        <v>Enhancing competitiveness through the ESG lens: A multi-method analysis of logistics enterprises in Ho Chi Minh City</v>
      </c>
      <c r="D48" s="4" t="str">
        <f>IFERROR(__xludf.DUMMYFUNCTION("""COMPUTED_VALUE"""),"Lê Diệp Tín Nghĩa; Nguyễn Yến Ngọc; Trần Trung Hiếu; Lý Minh Thư; Nguyễn Hiền Ninh")</f>
        <v>Lê Diệp Tín Nghĩa; Nguyễn Yến Ngọc; Trần Trung Hiếu; Lý Minh Thư; Nguyễn Hiền Ninh</v>
      </c>
      <c r="E48" s="4" t="str">
        <f>IFERROR(__xludf.DUMMYFUNCTION("""COMPUTED_VALUE"""),"Trường Đại học Kinh tế - Tài chính TP. Hồ Chí Minh")</f>
        <v>Trường Đại học Kinh tế - Tài chính TP. Hồ Chí Minh</v>
      </c>
      <c r="F48" s="4" t="str">
        <f>IFERROR(__xludf.DUMMYFUNCTION("""COMPUTED_VALUE"""),"KTE2026-047.png")</f>
        <v>KTE2026-047.png</v>
      </c>
    </row>
    <row r="49">
      <c r="A49" s="4" t="str">
        <f>IFERROR(__xludf.DUMMYFUNCTION("""COMPUTED_VALUE"""),"KTE2026-048")</f>
        <v>KTE2026-048</v>
      </c>
      <c r="B49" s="4" t="str">
        <f>IFERROR(__xludf.DUMMYFUNCTION("""COMPUTED_VALUE"""),"Kinh tế")</f>
        <v>Kinh tế</v>
      </c>
      <c r="C49" s="4" t="str">
        <f>IFERROR(__xludf.DUMMYFUNCTION("""COMPUTED_VALUE"""),"Nghiên cứu sự sẵn lòng chi trả thuế carbon đối với xăng dầu dùng cho phương tiện lưu thông tại thành phố Hồ Chí Minh")</f>
        <v>Nghiên cứu sự sẵn lòng chi trả thuế carbon đối với xăng dầu dùng cho phương tiện lưu thông tại thành phố Hồ Chí Minh</v>
      </c>
      <c r="D49" s="4" t="str">
        <f>IFERROR(__xludf.DUMMYFUNCTION("""COMPUTED_VALUE"""),"Nguyễn Bạch Vinh Lan; Đoàn Ngọc Như Hảo; Trần Thành Đạt; Phan Nguyễn Trà My")</f>
        <v>Nguyễn Bạch Vinh Lan; Đoàn Ngọc Như Hảo; Trần Thành Đạt; Phan Nguyễn Trà My</v>
      </c>
      <c r="E49" s="4" t="str">
        <f>IFERROR(__xludf.DUMMYFUNCTION("""COMPUTED_VALUE"""),"Trường Đại học Kinh tế - Tài chính TP. Hồ Chí Minh")</f>
        <v>Trường Đại học Kinh tế - Tài chính TP. Hồ Chí Minh</v>
      </c>
      <c r="F49" s="4" t="str">
        <f>IFERROR(__xludf.DUMMYFUNCTION("""COMPUTED_VALUE"""),"KTE2026-048.png")</f>
        <v>KTE2026-048.png</v>
      </c>
    </row>
    <row r="50">
      <c r="A50" s="4" t="str">
        <f>IFERROR(__xludf.DUMMYFUNCTION("""COMPUTED_VALUE"""),"KTE2026-049")</f>
        <v>KTE2026-049</v>
      </c>
      <c r="B50" s="4" t="str">
        <f>IFERROR(__xludf.DUMMYFUNCTION("""COMPUTED_VALUE"""),"Kinh tế")</f>
        <v>Kinh tế</v>
      </c>
      <c r="C50" s="4" t="str">
        <f>IFERROR(__xludf.DUMMYFUNCTION("""COMPUTED_VALUE"""),"Ảnh hưởng của đầu tư công đến đầu tư tư nhân - nghiên cứu hiện tượng chi tiêu lấn át")</f>
        <v>Ảnh hưởng của đầu tư công đến đầu tư tư nhân - nghiên cứu hiện tượng chi tiêu lấn át</v>
      </c>
      <c r="D50" s="4" t="str">
        <f>IFERROR(__xludf.DUMMYFUNCTION("""COMPUTED_VALUE"""),"Tạ Thị Kiều Duyên; Trần Thu Huyền; Phan Thu Thảo; Nguyễn Hà Kim Thư")</f>
        <v>Tạ Thị Kiều Duyên; Trần Thu Huyền; Phan Thu Thảo; Nguyễn Hà Kim Thư</v>
      </c>
      <c r="E50" s="4" t="str">
        <f>IFERROR(__xludf.DUMMYFUNCTION("""COMPUTED_VALUE"""),"Trường Đại học Mở TP. Hồ Chí Minh")</f>
        <v>Trường Đại học Mở TP. Hồ Chí Minh</v>
      </c>
      <c r="F50" s="4" t="str">
        <f>IFERROR(__xludf.DUMMYFUNCTION("""COMPUTED_VALUE"""),"KTE2026-049.png")</f>
        <v>KTE2026-049.png</v>
      </c>
    </row>
    <row r="51">
      <c r="A51" s="4" t="str">
        <f>IFERROR(__xludf.DUMMYFUNCTION("""COMPUTED_VALUE"""),"KTE2026-050")</f>
        <v>KTE2026-050</v>
      </c>
      <c r="B51" s="4" t="str">
        <f>IFERROR(__xludf.DUMMYFUNCTION("""COMPUTED_VALUE"""),"Kinh tế")</f>
        <v>Kinh tế</v>
      </c>
      <c r="C51" s="4" t="str">
        <f>IFERROR(__xludf.DUMMYFUNCTION("""COMPUTED_VALUE"""),"Các yếu tố tác động đến xuất khẩu gỗ từ Việt Nam sang EU: Vai trò của logistics")</f>
        <v>Các yếu tố tác động đến xuất khẩu gỗ từ Việt Nam sang EU: Vai trò của logistics</v>
      </c>
      <c r="D51" s="4" t="str">
        <f>IFERROR(__xludf.DUMMYFUNCTION("""COMPUTED_VALUE"""),"Lê Nhật Anh; Nguyễn Trung Nhân; Phạm Thị Tề Mi")</f>
        <v>Lê Nhật Anh; Nguyễn Trung Nhân; Phạm Thị Tề Mi</v>
      </c>
      <c r="E51" s="4" t="str">
        <f>IFERROR(__xludf.DUMMYFUNCTION("""COMPUTED_VALUE"""),"Trường Đại học Văn Lang")</f>
        <v>Trường Đại học Văn Lang</v>
      </c>
      <c r="F51" s="4" t="str">
        <f>IFERROR(__xludf.DUMMYFUNCTION("""COMPUTED_VALUE"""),"KTE2026-050.png")</f>
        <v>KTE2026-050.png</v>
      </c>
    </row>
    <row r="52">
      <c r="A52" s="4" t="str">
        <f>IFERROR(__xludf.DUMMYFUNCTION("""COMPUTED_VALUE"""),"KTE2026-051")</f>
        <v>KTE2026-051</v>
      </c>
      <c r="B52" s="4" t="str">
        <f>IFERROR(__xludf.DUMMYFUNCTION("""COMPUTED_VALUE"""),"Kinh tế")</f>
        <v>Kinh tế</v>
      </c>
      <c r="C52" s="4" t="str">
        <f>IFERROR(__xludf.DUMMYFUNCTION("""COMPUTED_VALUE"""),"Ảnh hưởng của biến đổi khí hậu đến hiệu quả hoạt động của nông hộ: Vai trò của ứng dụng AI, công nghệ, chuyển đổi số")</f>
        <v>Ảnh hưởng của biến đổi khí hậu đến hiệu quả hoạt động của nông hộ: Vai trò của ứng dụng AI, công nghệ, chuyển đổi số</v>
      </c>
      <c r="D52" s="4" t="str">
        <f>IFERROR(__xludf.DUMMYFUNCTION("""COMPUTED_VALUE"""),"Nguyễn Duy Phát; Lê Tôn Anh Tuấn; Nguyễn Tấn Phát; Huỳnh Thảo Ni; Phạm Thị Mỹ Hóa")</f>
        <v>Nguyễn Duy Phát; Lê Tôn Anh Tuấn; Nguyễn Tấn Phát; Huỳnh Thảo Ni; Phạm Thị Mỹ Hóa</v>
      </c>
      <c r="E52" s="4" t="str">
        <f>IFERROR(__xludf.DUMMYFUNCTION("""COMPUTED_VALUE"""),"Trường Đại học Mở TP. Hồ Chí Minh")</f>
        <v>Trường Đại học Mở TP. Hồ Chí Minh</v>
      </c>
      <c r="F52" s="4" t="str">
        <f>IFERROR(__xludf.DUMMYFUNCTION("""COMPUTED_VALUE"""),"KTE2026-051.png")</f>
        <v>KTE2026-051.png</v>
      </c>
    </row>
    <row r="53">
      <c r="A53" s="4" t="str">
        <f>IFERROR(__xludf.DUMMYFUNCTION("""COMPUTED_VALUE"""),"KTE2026-052")</f>
        <v>KTE2026-052</v>
      </c>
      <c r="B53" s="4" t="str">
        <f>IFERROR(__xludf.DUMMYFUNCTION("""COMPUTED_VALUE"""),"Kinh tế")</f>
        <v>Kinh tế</v>
      </c>
      <c r="C53" s="4" t="str">
        <f>IFERROR(__xludf.DUMMYFUNCTION("""COMPUTED_VALUE"""),"Tác động của tham gia kinh tế đêm đến giảm nghèo và bất bình đẳng của hộ gia đình: Nghiên cứu tại TP.HCM")</f>
        <v>Tác động của tham gia kinh tế đêm đến giảm nghèo và bất bình đẳng của hộ gia đình: Nghiên cứu tại TP.HCM</v>
      </c>
      <c r="D53" s="4" t="str">
        <f>IFERROR(__xludf.DUMMYFUNCTION("""COMPUTED_VALUE"""),"Huỳnh Hồng Ngọc; Phạm Trần Thảo Vy; Nguyễn Thuý Nhi; Thái Minh Hy; Doãn Quang Hưng")</f>
        <v>Huỳnh Hồng Ngọc; Phạm Trần Thảo Vy; Nguyễn Thuý Nhi; Thái Minh Hy; Doãn Quang Hưng</v>
      </c>
      <c r="E53" s="4" t="str">
        <f>IFERROR(__xludf.DUMMYFUNCTION("""COMPUTED_VALUE"""),"Trường Đại học Mở TP. Hồ Chí Minh")</f>
        <v>Trường Đại học Mở TP. Hồ Chí Minh</v>
      </c>
      <c r="F53" s="4" t="str">
        <f>IFERROR(__xludf.DUMMYFUNCTION("""COMPUTED_VALUE"""),"KTE2026-052.png")</f>
        <v>KTE2026-052.png</v>
      </c>
    </row>
    <row r="54">
      <c r="A54" s="4" t="str">
        <f>IFERROR(__xludf.DUMMYFUNCTION("""COMPUTED_VALUE"""),"KTE2026-053")</f>
        <v>KTE2026-053</v>
      </c>
      <c r="B54" s="4" t="str">
        <f>IFERROR(__xludf.DUMMYFUNCTION("""COMPUTED_VALUE"""),"Kinh tế")</f>
        <v>Kinh tế</v>
      </c>
      <c r="C54" s="4" t="str">
        <f>IFERROR(__xludf.DUMMYFUNCTION("""COMPUTED_VALUE"""),"Domestic carbon pricing: A boon or a bane for Vietnam’s trade risk under the EU carbon border adjustment mechanism?")</f>
        <v>Domestic carbon pricing: A boon or a bane for Vietnam’s trade risk under the EU carbon border adjustment mechanism?</v>
      </c>
      <c r="D54" s="4" t="str">
        <f>IFERROR(__xludf.DUMMYFUNCTION("""COMPUTED_VALUE"""),"Cao Tường Vân; Phan Anh Trí; Nguyễn Phương Uyên")</f>
        <v>Cao Tường Vân; Phan Anh Trí; Nguyễn Phương Uyên</v>
      </c>
      <c r="E54" s="4" t="str">
        <f>IFERROR(__xludf.DUMMYFUNCTION("""COMPUTED_VALUE"""),"Trường Đại học Kinh tế - Luật, ĐHQG-HCM")</f>
        <v>Trường Đại học Kinh tế - Luật, ĐHQG-HCM</v>
      </c>
      <c r="F54" s="4" t="str">
        <f>IFERROR(__xludf.DUMMYFUNCTION("""COMPUTED_VALUE"""),"KTE2026-053.png")</f>
        <v>KTE2026-053.png</v>
      </c>
    </row>
    <row r="55">
      <c r="A55" s="4" t="str">
        <f>IFERROR(__xludf.DUMMYFUNCTION("""COMPUTED_VALUE"""),"KTE2026-054")</f>
        <v>KTE2026-054</v>
      </c>
      <c r="B55" s="4" t="str">
        <f>IFERROR(__xludf.DUMMYFUNCTION("""COMPUTED_VALUE"""),"Kinh tế")</f>
        <v>Kinh tế</v>
      </c>
      <c r="C55" s="4" t="str">
        <f>IFERROR(__xludf.DUMMYFUNCTION("""COMPUTED_VALUE"""),"Ảnh hưởng của dịch chuyển giáo dục liên thế hệ và chất lượng quản trị môi trường đến phát triển kinh tế xanh chất lượng cao tại Việt Nam")</f>
        <v>Ảnh hưởng của dịch chuyển giáo dục liên thế hệ và chất lượng quản trị môi trường đến phát triển kinh tế xanh chất lượng cao tại Việt Nam</v>
      </c>
      <c r="D55" s="4" t="str">
        <f>IFERROR(__xludf.DUMMYFUNCTION("""COMPUTED_VALUE"""),"Trần Huyền Trang; Hà Yến Nhi")</f>
        <v>Trần Huyền Trang; Hà Yến Nhi</v>
      </c>
      <c r="E55" s="4" t="str">
        <f>IFERROR(__xludf.DUMMYFUNCTION("""COMPUTED_VALUE"""),"Đại học Kinh tế Quốc dân")</f>
        <v>Đại học Kinh tế Quốc dân</v>
      </c>
      <c r="F55" s="4" t="str">
        <f>IFERROR(__xludf.DUMMYFUNCTION("""COMPUTED_VALUE"""),"KTE2026-054.png")</f>
        <v>KTE2026-054.png</v>
      </c>
    </row>
    <row r="56">
      <c r="A56" s="4" t="str">
        <f>IFERROR(__xludf.DUMMYFUNCTION("""COMPUTED_VALUE"""),"KTE2026-055")</f>
        <v>KTE2026-055</v>
      </c>
      <c r="B56" s="4" t="str">
        <f>IFERROR(__xludf.DUMMYFUNCTION("""COMPUTED_VALUE"""),"Kinh tế")</f>
        <v>Kinh tế</v>
      </c>
      <c r="C56" s="4" t="str">
        <f>IFERROR(__xludf.DUMMYFUNCTION("""COMPUTED_VALUE"""),"Tăng trưởng kinh tế và phát thải CO2: Bằng chứng toàn cầu về mối quan hệ phi tuyến và dự báo bằng mô hình học máy")</f>
        <v>Tăng trưởng kinh tế và phát thải CO2: Bằng chứng toàn cầu về mối quan hệ phi tuyến và dự báo bằng mô hình học máy</v>
      </c>
      <c r="D56" s="4" t="str">
        <f>IFERROR(__xludf.DUMMYFUNCTION("""COMPUTED_VALUE"""),"Lê Minh Hiếu; Đặng Thị Hải Hòa; Nguyễn Quốc Huân; Nguyễn Ngọc Bảo Trâm; Nguyễn Lê Thúy An")</f>
        <v>Lê Minh Hiếu; Đặng Thị Hải Hòa; Nguyễn Quốc Huân; Nguyễn Ngọc Bảo Trâm; Nguyễn Lê Thúy An</v>
      </c>
      <c r="E56" s="4" t="str">
        <f>IFERROR(__xludf.DUMMYFUNCTION("""COMPUTED_VALUE"""),"Trường Đại học Kinh tế - Luật, ĐHQG-HCM")</f>
        <v>Trường Đại học Kinh tế - Luật, ĐHQG-HCM</v>
      </c>
      <c r="F56" s="4" t="str">
        <f>IFERROR(__xludf.DUMMYFUNCTION("""COMPUTED_VALUE"""),"KTE2026-055.png")</f>
        <v>KTE2026-055.png</v>
      </c>
    </row>
    <row r="57">
      <c r="A57" s="4" t="str">
        <f>IFERROR(__xludf.DUMMYFUNCTION("""COMPUTED_VALUE"""),"KTE2026-056")</f>
        <v>KTE2026-056</v>
      </c>
      <c r="B57" s="4" t="str">
        <f>IFERROR(__xludf.DUMMYFUNCTION("""COMPUTED_VALUE"""),"Kinh tế")</f>
        <v>Kinh tế</v>
      </c>
      <c r="C57" s="4" t="str">
        <f>IFERROR(__xludf.DUMMYFUNCTION("""COMPUTED_VALUE"""),"Provincial disparities in economic resilience along Vietnam’s central coast: Composite-index and panel evidence")</f>
        <v>Provincial disparities in economic resilience along Vietnam’s central coast: Composite-index and panel evidence</v>
      </c>
      <c r="D57" s="4" t="str">
        <f>IFERROR(__xludf.DUMMYFUNCTION("""COMPUTED_VALUE"""),"Nguyễn Thị Minh Giang; Nguyễn Mai Hoa; Trần Thục Linh; Phạm Thị Quỳnh Như; Nguyễn Nguyên Kha")</f>
        <v>Nguyễn Thị Minh Giang; Nguyễn Mai Hoa; Trần Thục Linh; Phạm Thị Quỳnh Như; Nguyễn Nguyên Kha</v>
      </c>
      <c r="E57" s="4" t="str">
        <f>IFERROR(__xludf.DUMMYFUNCTION("""COMPUTED_VALUE"""),"Trường Đại học Kinh tế, Đại học Đà Nẵng")</f>
        <v>Trường Đại học Kinh tế, Đại học Đà Nẵng</v>
      </c>
      <c r="F57" s="4" t="str">
        <f>IFERROR(__xludf.DUMMYFUNCTION("""COMPUTED_VALUE"""),"KTE2026-056.png")</f>
        <v>KTE2026-056.png</v>
      </c>
    </row>
    <row r="58">
      <c r="A58" s="4" t="str">
        <f>IFERROR(__xludf.DUMMYFUNCTION("""COMPUTED_VALUE"""),"KTE2026-057")</f>
        <v>KTE2026-057</v>
      </c>
      <c r="B58" s="4" t="str">
        <f>IFERROR(__xludf.DUMMYFUNCTION("""COMPUTED_VALUE"""),"Kinh tế")</f>
        <v>Kinh tế</v>
      </c>
      <c r="C58" s="4" t="str">
        <f>IFERROR(__xludf.DUMMYFUNCTION("""COMPUTED_VALUE"""),"An integrated perspective on green innovation, artificial intelligence, and global value chain participation for sustainable development: Direct and interaction effect analysis")</f>
        <v>An integrated perspective on green innovation, artificial intelligence, and global value chain participation for sustainable development: Direct and interaction effect analysis</v>
      </c>
      <c r="D58" s="4" t="str">
        <f>IFERROR(__xludf.DUMMYFUNCTION("""COMPUTED_VALUE"""),"Trần Ngọc Hân; Châu Mẫn Khanh; Nguyễn Trúc Lam")</f>
        <v>Trần Ngọc Hân; Châu Mẫn Khanh; Nguyễn Trúc Lam</v>
      </c>
      <c r="E58" s="4" t="str">
        <f>IFERROR(__xludf.DUMMYFUNCTION("""COMPUTED_VALUE"""),"Trường Đại học Kinh tế, Đại học Đà Nẵng")</f>
        <v>Trường Đại học Kinh tế, Đại học Đà Nẵng</v>
      </c>
      <c r="F58" s="4" t="str">
        <f>IFERROR(__xludf.DUMMYFUNCTION("""COMPUTED_VALUE"""),"KTE2026-057.png")</f>
        <v>KTE2026-057.png</v>
      </c>
    </row>
    <row r="59">
      <c r="A59" s="4" t="str">
        <f>IFERROR(__xludf.DUMMYFUNCTION("""COMPUTED_VALUE"""),"KTE2026-058")</f>
        <v>KTE2026-058</v>
      </c>
      <c r="B59" s="4" t="str">
        <f>IFERROR(__xludf.DUMMYFUNCTION("""COMPUTED_VALUE"""),"Kinh tế")</f>
        <v>Kinh tế</v>
      </c>
      <c r="C59" s="4" t="str">
        <f>IFERROR(__xludf.DUMMYFUNCTION("""COMPUTED_VALUE"""),"Tác động của phát triển hạ tầng số đến việc làm của phụ nữ tại Việt Nam: Góc nhìn từ mô hình kinh tế lượng không gian")</f>
        <v>Tác động của phát triển hạ tầng số đến việc làm của phụ nữ tại Việt Nam: Góc nhìn từ mô hình kinh tế lượng không gian</v>
      </c>
      <c r="D59" s="4" t="str">
        <f>IFERROR(__xludf.DUMMYFUNCTION("""COMPUTED_VALUE"""),"Trần Thị Hồng Vân; Hà Thị Yến Vy; Phùng Thị Thu Huyền; Phạm Phương Chi; Ngô Thị Lưu Thanh")</f>
        <v>Trần Thị Hồng Vân; Hà Thị Yến Vy; Phùng Thị Thu Huyền; Phạm Phương Chi; Ngô Thị Lưu Thanh</v>
      </c>
      <c r="E59" s="4" t="str">
        <f>IFERROR(__xludf.DUMMYFUNCTION("""COMPUTED_VALUE"""),"Trường Đại học Kinh tế, Đại học Đà Nẵng")</f>
        <v>Trường Đại học Kinh tế, Đại học Đà Nẵng</v>
      </c>
      <c r="F59" s="4" t="str">
        <f>IFERROR(__xludf.DUMMYFUNCTION("""COMPUTED_VALUE"""),"KTE2026-058.png")</f>
        <v>KTE2026-058.png</v>
      </c>
    </row>
    <row r="60">
      <c r="A60" s="4" t="str">
        <f>IFERROR(__xludf.DUMMYFUNCTION("""COMPUTED_VALUE"""),"KTE2026-059")</f>
        <v>KTE2026-059</v>
      </c>
      <c r="B60" s="4" t="str">
        <f>IFERROR(__xludf.DUMMYFUNCTION("""COMPUTED_VALUE"""),"Kinh tế")</f>
        <v>Kinh tế</v>
      </c>
      <c r="C60" s="4" t="str">
        <f>IFERROR(__xludf.DUMMYFUNCTION("""COMPUTED_VALUE"""),"Mối liên hệ có điều kiện giữa hiệu quả chính phủ, thu nhập bình quân đầu người và năng lực cạnh tranh bền vững: Bằng chứng từ 42 nền kinh tế châu Á và hàm ý chính sách cho Việt Nam")</f>
        <v>Mối liên hệ có điều kiện giữa hiệu quả chính phủ, thu nhập bình quân đầu người và năng lực cạnh tranh bền vững: Bằng chứng từ 42 nền kinh tế châu Á và hàm ý chính sách cho Việt Nam</v>
      </c>
      <c r="D60" s="4" t="str">
        <f>IFERROR(__xludf.DUMMYFUNCTION("""COMPUTED_VALUE"""),"Phùng Trung Kiên; Trần Công Khải; Đoàn Hoàng Nam; Đào Minh Phát; Sầm Minh Quân")</f>
        <v>Phùng Trung Kiên; Trần Công Khải; Đoàn Hoàng Nam; Đào Minh Phát; Sầm Minh Quân</v>
      </c>
      <c r="E60" s="4" t="str">
        <f>IFERROR(__xludf.DUMMYFUNCTION("""COMPUTED_VALUE"""),"Đại học Kinh tế TP. Hồ Chí Minh")</f>
        <v>Đại học Kinh tế TP. Hồ Chí Minh</v>
      </c>
      <c r="F60" s="4" t="str">
        <f>IFERROR(__xludf.DUMMYFUNCTION("""COMPUTED_VALUE"""),"KTE2026-059.png")</f>
        <v>KTE2026-059.png</v>
      </c>
    </row>
    <row r="61">
      <c r="A61" s="4" t="str">
        <f>IFERROR(__xludf.DUMMYFUNCTION("""COMPUTED_VALUE"""),"KTE2026-060")</f>
        <v>KTE2026-060</v>
      </c>
      <c r="B61" s="4" t="str">
        <f>IFERROR(__xludf.DUMMYFUNCTION("""COMPUTED_VALUE"""),"Kinh tế")</f>
        <v>Kinh tế</v>
      </c>
      <c r="C61" s="4" t="str">
        <f>IFERROR(__xludf.DUMMYFUNCTION("""COMPUTED_VALUE"""),"Renewable energy consumption and ecological footprint: The moderating role of climate vulnerability across different levels of economic development")</f>
        <v>Renewable energy consumption and ecological footprint: The moderating role of climate vulnerability across different levels of economic development</v>
      </c>
      <c r="D61" s="4" t="str">
        <f>IFERROR(__xludf.DUMMYFUNCTION("""COMPUTED_VALUE"""),"Lê Phương Nhi; Lê Thảo Như; Vũ Thị Hồng Ngân")</f>
        <v>Lê Phương Nhi; Lê Thảo Như; Vũ Thị Hồng Ngân</v>
      </c>
      <c r="E61" s="4" t="str">
        <f>IFERROR(__xludf.DUMMYFUNCTION("""COMPUTED_VALUE"""),"Đại học Kinh tế TP. Hồ Chí Minh")</f>
        <v>Đại học Kinh tế TP. Hồ Chí Minh</v>
      </c>
      <c r="F61" s="4" t="str">
        <f>IFERROR(__xludf.DUMMYFUNCTION("""COMPUTED_VALUE"""),"KTE2026-060.png")</f>
        <v>KTE2026-060.png</v>
      </c>
    </row>
    <row r="62">
      <c r="A62" s="4" t="str">
        <f>IFERROR(__xludf.DUMMYFUNCTION("""COMPUTED_VALUE"""),"KTE2026-061")</f>
        <v>KTE2026-061</v>
      </c>
      <c r="B62" s="4" t="str">
        <f>IFERROR(__xludf.DUMMYFUNCTION("""COMPUTED_VALUE"""),"Kinh tế")</f>
        <v>Kinh tế</v>
      </c>
      <c r="C62" s="4" t="str">
        <f>IFERROR(__xludf.DUMMYFUNCTION("""COMPUTED_VALUE"""),"Hiệu ứng điều tiết từ chính sách tiền tệ đến hiệu quả đổi mới xanh trong bối cảnh số hóa tại các nước châu Á")</f>
        <v>Hiệu ứng điều tiết từ chính sách tiền tệ đến hiệu quả đổi mới xanh trong bối cảnh số hóa tại các nước châu Á</v>
      </c>
      <c r="D62" s="4" t="str">
        <f>IFERROR(__xludf.DUMMYFUNCTION("""COMPUTED_VALUE"""),"Phan Trần Hữu Đạt; Lê Quang Vinh; Lương Thị Thảo Vy")</f>
        <v>Phan Trần Hữu Đạt; Lê Quang Vinh; Lương Thị Thảo Vy</v>
      </c>
      <c r="E62" s="4" t="str">
        <f>IFERROR(__xludf.DUMMYFUNCTION("""COMPUTED_VALUE"""),"Trường Đại học Tài chính - Marketing")</f>
        <v>Trường Đại học Tài chính - Marketing</v>
      </c>
      <c r="F62" s="4" t="str">
        <f>IFERROR(__xludf.DUMMYFUNCTION("""COMPUTED_VALUE"""),"KTE2026-061.png")</f>
        <v>KTE2026-061.png</v>
      </c>
    </row>
    <row r="63">
      <c r="A63" s="4" t="str">
        <f>IFERROR(__xludf.DUMMYFUNCTION("""COMPUTED_VALUE"""),"KTE2026-062")</f>
        <v>KTE2026-062</v>
      </c>
      <c r="B63" s="4" t="str">
        <f>IFERROR(__xludf.DUMMYFUNCTION("""COMPUTED_VALUE"""),"Kinh tế")</f>
        <v>Kinh tế</v>
      </c>
      <c r="C63" s="4" t="str">
        <f>IFERROR(__xludf.DUMMYFUNCTION("""COMPUTED_VALUE"""),"Mối quan hệ tương tác động giữa thuế môi trường, đầu tư công xanh và tăng trưởng xanh: Bằng chứng từ phân tích tương quan wavelet")</f>
        <v>Mối quan hệ tương tác động giữa thuế môi trường, đầu tư công xanh và tăng trưởng xanh: Bằng chứng từ phân tích tương quan wavelet</v>
      </c>
      <c r="D63" s="4" t="str">
        <f>IFERROR(__xludf.DUMMYFUNCTION("""COMPUTED_VALUE"""),"Nguyễn Hoàng Thiên Trang; Phạm Ngọc Anh Thư; Lê Nguyễn Anh Thư; Phạm Đoàn Đình Thuyên; Nguyễn Ngọc Khánh Linh")</f>
        <v>Nguyễn Hoàng Thiên Trang; Phạm Ngọc Anh Thư; Lê Nguyễn Anh Thư; Phạm Đoàn Đình Thuyên; Nguyễn Ngọc Khánh Linh</v>
      </c>
      <c r="E63" s="4" t="str">
        <f>IFERROR(__xludf.DUMMYFUNCTION("""COMPUTED_VALUE"""),"Trường Đại học Tài chính - Marketing")</f>
        <v>Trường Đại học Tài chính - Marketing</v>
      </c>
      <c r="F63" s="4" t="str">
        <f>IFERROR(__xludf.DUMMYFUNCTION("""COMPUTED_VALUE"""),"KTE2026-062.png")</f>
        <v>KTE2026-062.png</v>
      </c>
    </row>
    <row r="64">
      <c r="A64" s="4" t="str">
        <f>IFERROR(__xludf.DUMMYFUNCTION("""COMPUTED_VALUE"""),"KTE2026-063")</f>
        <v>KTE2026-063</v>
      </c>
      <c r="B64" s="4" t="str">
        <f>IFERROR(__xludf.DUMMYFUNCTION("""COMPUTED_VALUE"""),"Kinh tế")</f>
        <v>Kinh tế</v>
      </c>
      <c r="C64" s="4" t="str">
        <f>IFERROR(__xludf.DUMMYFUNCTION("""COMPUTED_VALUE"""),"Các nhân tố ảnh hưởng đến sự hài lòng của khách hàng đối với chất lượng dịch vụ tại siêu thị Aeon Mall ở TP. Hồ Chí Minh")</f>
        <v>Các nhân tố ảnh hưởng đến sự hài lòng của khách hàng đối với chất lượng dịch vụ tại siêu thị Aeon Mall ở TP. Hồ Chí Minh</v>
      </c>
      <c r="D64" s="4" t="str">
        <f>IFERROR(__xludf.DUMMYFUNCTION("""COMPUTED_VALUE"""),"Lê Trần Uyên Nhi; Bùi Ngọc Mai Quỳnh")</f>
        <v>Lê Trần Uyên Nhi; Bùi Ngọc Mai Quỳnh</v>
      </c>
      <c r="E64" s="4" t="str">
        <f>IFERROR(__xludf.DUMMYFUNCTION("""COMPUTED_VALUE"""),"Trường Đại học Ngoại ngữ - Tin học TP. Hồ Chí Minh")</f>
        <v>Trường Đại học Ngoại ngữ - Tin học TP. Hồ Chí Minh</v>
      </c>
      <c r="F64" s="4" t="str">
        <f>IFERROR(__xludf.DUMMYFUNCTION("""COMPUTED_VALUE"""),"KTE2026-063.png")</f>
        <v>KTE2026-063.png</v>
      </c>
    </row>
    <row r="65">
      <c r="A65" s="4" t="str">
        <f>IFERROR(__xludf.DUMMYFUNCTION("""COMPUTED_VALUE"""),"KTE2026-064")</f>
        <v>KTE2026-064</v>
      </c>
      <c r="B65" s="4" t="str">
        <f>IFERROR(__xludf.DUMMYFUNCTION("""COMPUTED_VALUE"""),"Kinh tế")</f>
        <v>Kinh tế</v>
      </c>
      <c r="C65" s="4" t="str">
        <f>IFERROR(__xludf.DUMMYFUNCTION("""COMPUTED_VALUE"""),"Nghiên cứu các nhân tố tác động đến lòng trung thành của khách hàng tại các điểm chạm số thông minh trên app Agribank Plus")</f>
        <v>Nghiên cứu các nhân tố tác động đến lòng trung thành của khách hàng tại các điểm chạm số thông minh trên app Agribank Plus</v>
      </c>
      <c r="D65" s="4" t="str">
        <f>IFERROR(__xludf.DUMMYFUNCTION("""COMPUTED_VALUE"""),"Nguyễn Thanh Bảo")</f>
        <v>Nguyễn Thanh Bảo</v>
      </c>
      <c r="E65" s="4" t="str">
        <f>IFERROR(__xludf.DUMMYFUNCTION("""COMPUTED_VALUE"""),"Trường Đại học Ngoại ngữ - Tin học TP. Hồ Chí Minh")</f>
        <v>Trường Đại học Ngoại ngữ - Tin học TP. Hồ Chí Minh</v>
      </c>
      <c r="F65" s="4" t="str">
        <f>IFERROR(__xludf.DUMMYFUNCTION("""COMPUTED_VALUE"""),"KTE2026-064.png")</f>
        <v>KTE2026-064.png</v>
      </c>
    </row>
    <row r="66">
      <c r="A66" s="4" t="str">
        <f>IFERROR(__xludf.DUMMYFUNCTION("""COMPUTED_VALUE"""),"KTE2026-065")</f>
        <v>KTE2026-065</v>
      </c>
      <c r="B66" s="4" t="str">
        <f>IFERROR(__xludf.DUMMYFUNCTION("""COMPUTED_VALUE"""),"Kinh tế")</f>
        <v>Kinh tế</v>
      </c>
      <c r="C66" s="4" t="str">
        <f>IFERROR(__xludf.DUMMYFUNCTION("""COMPUTED_VALUE"""),"Các yếu tố ảnh hưởng đến quyết định sử dụng ví trả sau MoMo của sinh viên HUFLIT")</f>
        <v>Các yếu tố ảnh hưởng đến quyết định sử dụng ví trả sau MoMo của sinh viên HUFLIT</v>
      </c>
      <c r="D66" s="4" t="str">
        <f>IFERROR(__xludf.DUMMYFUNCTION("""COMPUTED_VALUE"""),"Lương Bảo Lộc; Nguyễn Nhật Hào")</f>
        <v>Lương Bảo Lộc; Nguyễn Nhật Hào</v>
      </c>
      <c r="E66" s="4" t="str">
        <f>IFERROR(__xludf.DUMMYFUNCTION("""COMPUTED_VALUE"""),"Trường Đại học Ngoại ngữ - Tin học TP. Hồ Chí Minh")</f>
        <v>Trường Đại học Ngoại ngữ - Tin học TP. Hồ Chí Minh</v>
      </c>
      <c r="F66" s="4" t="str">
        <f>IFERROR(__xludf.DUMMYFUNCTION("""COMPUTED_VALUE"""),"KTE2026-065.png")</f>
        <v>KTE2026-065.png</v>
      </c>
    </row>
    <row r="67">
      <c r="A67" s="4" t="str">
        <f>IFERROR(__xludf.DUMMYFUNCTION("""COMPUTED_VALUE"""),"KTE2026-066")</f>
        <v>KTE2026-066</v>
      </c>
      <c r="B67" s="4" t="str">
        <f>IFERROR(__xludf.DUMMYFUNCTION("""COMPUTED_VALUE"""),"Kinh tế")</f>
        <v>Kinh tế</v>
      </c>
      <c r="C67" s="4" t="str">
        <f>IFERROR(__xludf.DUMMYFUNCTION("""COMPUTED_VALUE"""),"Tác động của độ phức tạp kinh tế và phát triển tài chính đối với quá trình chuyển đổi năng lượng của Việt Nam")</f>
        <v>Tác động của độ phức tạp kinh tế và phát triển tài chính đối với quá trình chuyển đổi năng lượng của Việt Nam</v>
      </c>
      <c r="D67" s="4" t="str">
        <f>IFERROR(__xludf.DUMMYFUNCTION("""COMPUTED_VALUE"""),"Huỳnh Anh Huy; Nguyễn Vũ Ty; Phạm Minh Khôi; Vương Quốc Thịnh; Hoàng Thanh Trung")</f>
        <v>Huỳnh Anh Huy; Nguyễn Vũ Ty; Phạm Minh Khôi; Vương Quốc Thịnh; Hoàng Thanh Trung</v>
      </c>
      <c r="E67" s="4" t="str">
        <f>IFERROR(__xludf.DUMMYFUNCTION("""COMPUTED_VALUE"""),"Trường Đại học Tài chính - Marketing")</f>
        <v>Trường Đại học Tài chính - Marketing</v>
      </c>
      <c r="F67" s="4" t="str">
        <f>IFERROR(__xludf.DUMMYFUNCTION("""COMPUTED_VALUE"""),"KTE2026-066.png")</f>
        <v>KTE2026-066.png</v>
      </c>
    </row>
    <row r="68">
      <c r="A68" s="4" t="str">
        <f>IFERROR(__xludf.DUMMYFUNCTION("""COMPUTED_VALUE"""),"KTE2026-067")</f>
        <v>KTE2026-067</v>
      </c>
      <c r="B68" s="4" t="str">
        <f>IFERROR(__xludf.DUMMYFUNCTION("""COMPUTED_VALUE"""),"Kinh tế")</f>
        <v>Kinh tế</v>
      </c>
      <c r="C68" s="4" t="str">
        <f>IFERROR(__xludf.DUMMYFUNCTION("""COMPUTED_VALUE"""),"Phát triển kinh tế tầm thấp tại thành phố Hồ Chí Minh: Kinh nghiệm quốc tế và các yếu tố ảnh hưởng đến quyết định sử dụng dịch vụ giao hàng bằng thiết bị bay không người lái (UAV)")</f>
        <v>Phát triển kinh tế tầm thấp tại thành phố Hồ Chí Minh: Kinh nghiệm quốc tế và các yếu tố ảnh hưởng đến quyết định sử dụng dịch vụ giao hàng bằng thiết bị bay không người lái (UAV)</v>
      </c>
      <c r="D68" s="4" t="str">
        <f>IFERROR(__xludf.DUMMYFUNCTION("""COMPUTED_VALUE"""),"Lưu Nguyễn Quế Trân; Nguyễn Quốc Cường; Trần Phương Anh; Phạm Ngọc Tuấn; Nguyễn Thị Trang Ly")</f>
        <v>Lưu Nguyễn Quế Trân; Nguyễn Quốc Cường; Trần Phương Anh; Phạm Ngọc Tuấn; Nguyễn Thị Trang Ly</v>
      </c>
      <c r="E68" s="4" t="str">
        <f>IFERROR(__xludf.DUMMYFUNCTION("""COMPUTED_VALUE"""),"Trường Đại học Giao thông vận tải TP. Hồ Chí Minh")</f>
        <v>Trường Đại học Giao thông vận tải TP. Hồ Chí Minh</v>
      </c>
      <c r="F68" s="4" t="str">
        <f>IFERROR(__xludf.DUMMYFUNCTION("""COMPUTED_VALUE"""),"KTE2026-067.png")</f>
        <v>KTE2026-067.png</v>
      </c>
    </row>
    <row r="69">
      <c r="A69" s="4" t="str">
        <f>IFERROR(__xludf.DUMMYFUNCTION("""COMPUTED_VALUE"""),"KTE2026-068")</f>
        <v>KTE2026-068</v>
      </c>
      <c r="B69" s="4" t="str">
        <f>IFERROR(__xludf.DUMMYFUNCTION("""COMPUTED_VALUE"""),"Kinh tế")</f>
        <v>Kinh tế</v>
      </c>
      <c r="C69" s="4" t="str">
        <f>IFERROR(__xludf.DUMMYFUNCTION("""COMPUTED_VALUE"""),"Tác động của vốn đầu tư đến năng suất lao động tại các tỉnh vùng Đồng bằng sông Hồng: Bằng chứng từ dữ liệu bảng giai đoạn 2010–2024")</f>
        <v>Tác động của vốn đầu tư đến năng suất lao động tại các tỉnh vùng Đồng bằng sông Hồng: Bằng chứng từ dữ liệu bảng giai đoạn 2010–2024</v>
      </c>
      <c r="D69" s="4" t="str">
        <f>IFERROR(__xludf.DUMMYFUNCTION("""COMPUTED_VALUE"""),"Lê Minh Thư; Nguyễn Hương Ly")</f>
        <v>Lê Minh Thư; Nguyễn Hương Ly</v>
      </c>
      <c r="E69" s="4" t="str">
        <f>IFERROR(__xludf.DUMMYFUNCTION("""COMPUTED_VALUE"""),"Trường Đại học Tài chính - Ngân hàng Hà Nội")</f>
        <v>Trường Đại học Tài chính - Ngân hàng Hà Nội</v>
      </c>
      <c r="F69" s="4" t="str">
        <f>IFERROR(__xludf.DUMMYFUNCTION("""COMPUTED_VALUE"""),"KTE2026-068.png")</f>
        <v>KTE2026-068.png</v>
      </c>
    </row>
    <row r="70">
      <c r="A70" s="4" t="str">
        <f>IFERROR(__xludf.DUMMYFUNCTION("""COMPUTED_VALUE"""),"KTE2026-069")</f>
        <v>KTE2026-069</v>
      </c>
      <c r="B70" s="4" t="str">
        <f>IFERROR(__xludf.DUMMYFUNCTION("""COMPUTED_VALUE"""),"Kinh tế")</f>
        <v>Kinh tế</v>
      </c>
      <c r="C70" s="4" t="str">
        <f>IFERROR(__xludf.DUMMYFUNCTION("""COMPUTED_VALUE"""),"Các yếu tố ảnh hưởng đến mức độ sẵn sàng chấp nhận dịch vụ giao hàng chặng cuối bằng thiết bị bay không người lái (UAV) của người tiêu dùng tại thành phố Hồ Chí Minh")</f>
        <v>Các yếu tố ảnh hưởng đến mức độ sẵn sàng chấp nhận dịch vụ giao hàng chặng cuối bằng thiết bị bay không người lái (UAV) của người tiêu dùng tại thành phố Hồ Chí Minh</v>
      </c>
      <c r="D70" s="4" t="str">
        <f>IFERROR(__xludf.DUMMYFUNCTION("""COMPUTED_VALUE"""),"Nguyễn Đình Vũ Hoàng")</f>
        <v>Nguyễn Đình Vũ Hoàng</v>
      </c>
      <c r="E70" s="4" t="str">
        <f>IFERROR(__xludf.DUMMYFUNCTION("""COMPUTED_VALUE"""),"Trường Đại học Giao thông vận tải TP. Hồ Chí Minh")</f>
        <v>Trường Đại học Giao thông vận tải TP. Hồ Chí Minh</v>
      </c>
      <c r="F70" s="4" t="str">
        <f>IFERROR(__xludf.DUMMYFUNCTION("""COMPUTED_VALUE"""),"KTE2026-069.png")</f>
        <v>KTE2026-069.png</v>
      </c>
    </row>
    <row r="71">
      <c r="A71" s="4" t="str">
        <f>IFERROR(__xludf.DUMMYFUNCTION("""COMPUTED_VALUE"""),"KTE2026-070")</f>
        <v>KTE2026-070</v>
      </c>
      <c r="B71" s="4" t="str">
        <f>IFERROR(__xludf.DUMMYFUNCTION("""COMPUTED_VALUE"""),"Kinh tế")</f>
        <v>Kinh tế</v>
      </c>
      <c r="C71" s="4" t="str">
        <f>IFERROR(__xludf.DUMMYFUNCTION("""COMPUTED_VALUE"""),"Cost-based efficiency and effectiveness of truck-drone delivery in Ho Chi Minh City")</f>
        <v>Cost-based efficiency and effectiveness of truck-drone delivery in Ho Chi Minh City</v>
      </c>
      <c r="D71" s="4" t="str">
        <f>IFERROR(__xludf.DUMMYFUNCTION("""COMPUTED_VALUE"""),"Trần Minh Thư; Trần Hoàng Mai Anh; Hà Nguyễn Tuấn Hùng")</f>
        <v>Trần Minh Thư; Trần Hoàng Mai Anh; Hà Nguyễn Tuấn Hùng</v>
      </c>
      <c r="E71" s="4" t="str">
        <f>IFERROR(__xludf.DUMMYFUNCTION("""COMPUTED_VALUE"""),"Trường Đại học Giao thông vận tải TP. Hồ Chí Minh")</f>
        <v>Trường Đại học Giao thông vận tải TP. Hồ Chí Minh</v>
      </c>
      <c r="F71" s="4" t="str">
        <f>IFERROR(__xludf.DUMMYFUNCTION("""COMPUTED_VALUE"""),"KTE2026-070.png")</f>
        <v>KTE2026-070.png</v>
      </c>
    </row>
    <row r="72">
      <c r="A72" s="4" t="str">
        <f>IFERROR(__xludf.DUMMYFUNCTION("""COMPUTED_VALUE"""),"KTE2026-071")</f>
        <v>KTE2026-071</v>
      </c>
      <c r="B72" s="4" t="str">
        <f>IFERROR(__xludf.DUMMYFUNCTION("""COMPUTED_VALUE"""),"Kinh tế")</f>
        <v>Kinh tế</v>
      </c>
      <c r="C72" s="4" t="str">
        <f>IFERROR(__xludf.DUMMYFUNCTION("""COMPUTED_VALUE"""),"From retrospective benchmarking to anticipatory policy: A data‑driven framework for governance indexing and forecasting using the Viet Nam provincial governance and public administration performance index (PAPI)")</f>
        <v>From retrospective benchmarking to anticipatory policy: A data‑driven framework for governance indexing and forecasting using the Viet Nam provincial governance and public administration performance index (PAPI)</v>
      </c>
      <c r="D72" s="4" t="str">
        <f>IFERROR(__xludf.DUMMYFUNCTION("""COMPUTED_VALUE"""),"Hoàng Ngọc Kim Sơn; Kiều Mai Hương")</f>
        <v>Hoàng Ngọc Kim Sơn; Kiều Mai Hương</v>
      </c>
      <c r="E72" s="4" t="str">
        <f>IFERROR(__xludf.DUMMYFUNCTION("""COMPUTED_VALUE"""),"Trường Đại học Kinh tế, ĐHQG Hà Nội")</f>
        <v>Trường Đại học Kinh tế, ĐHQG Hà Nội</v>
      </c>
      <c r="F72" s="4" t="str">
        <f>IFERROR(__xludf.DUMMYFUNCTION("""COMPUTED_VALUE"""),"KTE2026-071.png")</f>
        <v>KTE2026-071.png</v>
      </c>
    </row>
    <row r="73">
      <c r="A73" s="4" t="str">
        <f>IFERROR(__xludf.DUMMYFUNCTION("""COMPUTED_VALUE"""),"KTE2026-072")</f>
        <v>KTE2026-072</v>
      </c>
      <c r="B73" s="4" t="str">
        <f>IFERROR(__xludf.DUMMYFUNCTION("""COMPUTED_VALUE"""),"Kinh tế")</f>
        <v>Kinh tế</v>
      </c>
      <c r="C73" s="4" t="str">
        <f>IFERROR(__xludf.DUMMYFUNCTION("""COMPUTED_VALUE"""),"Các yếu tố ảnh hưởng đến ý định mua nhà ở xã hội của người dân trên địa bàn TP. Hồ Chí Minh")</f>
        <v>Các yếu tố ảnh hưởng đến ý định mua nhà ở xã hội của người dân trên địa bàn TP. Hồ Chí Minh</v>
      </c>
      <c r="D73" s="4" t="str">
        <f>IFERROR(__xludf.DUMMYFUNCTION("""COMPUTED_VALUE"""),"Lê Minh Hưng")</f>
        <v>Lê Minh Hưng</v>
      </c>
      <c r="E73" s="4" t="str">
        <f>IFERROR(__xludf.DUMMYFUNCTION("""COMPUTED_VALUE"""),"Trường Đại học Luật TP. Hồ Chí Minh")</f>
        <v>Trường Đại học Luật TP. Hồ Chí Minh</v>
      </c>
      <c r="F73" s="4" t="str">
        <f>IFERROR(__xludf.DUMMYFUNCTION("""COMPUTED_VALUE"""),"KTE2026-072.png")</f>
        <v>KTE2026-072.png</v>
      </c>
    </row>
    <row r="74">
      <c r="A74" s="4" t="str">
        <f>IFERROR(__xludf.DUMMYFUNCTION("""COMPUTED_VALUE"""),"KTE2026-073")</f>
        <v>KTE2026-073</v>
      </c>
      <c r="B74" s="4" t="str">
        <f>IFERROR(__xludf.DUMMYFUNCTION("""COMPUTED_VALUE"""),"Kinh tế")</f>
        <v>Kinh tế</v>
      </c>
      <c r="C74" s="4" t="str">
        <f>IFERROR(__xludf.DUMMYFUNCTION("""COMPUTED_VALUE"""),"Mô hình thu hút vốn đầu tư kết nối giao thông nông thôn vào phát triển nông nghiệp vùng Tây Nam Bộ: Ứng dụng mô hình AHP")</f>
        <v>Mô hình thu hút vốn đầu tư kết nối giao thông nông thôn vào phát triển nông nghiệp vùng Tây Nam Bộ: Ứng dụng mô hình AHP</v>
      </c>
      <c r="D74" s="4" t="str">
        <f>IFERROR(__xludf.DUMMYFUNCTION("""COMPUTED_VALUE"""),"Hà Việt Bình An; Phạm Quỳnh Anh; Nguyễn Hoài Thu")</f>
        <v>Hà Việt Bình An; Phạm Quỳnh Anh; Nguyễn Hoài Thu</v>
      </c>
      <c r="E74" s="4" t="str">
        <f>IFERROR(__xludf.DUMMYFUNCTION("""COMPUTED_VALUE"""),"Trường Đại học Luật TP. Hồ Chí Minh")</f>
        <v>Trường Đại học Luật TP. Hồ Chí Minh</v>
      </c>
      <c r="F74" s="4" t="str">
        <f>IFERROR(__xludf.DUMMYFUNCTION("""COMPUTED_VALUE"""),"KTE2026-073.png")</f>
        <v>KTE2026-073.png</v>
      </c>
    </row>
    <row r="75">
      <c r="A75" s="4" t="str">
        <f>IFERROR(__xludf.DUMMYFUNCTION("""COMPUTED_VALUE"""),"KTE2026-074")</f>
        <v>KTE2026-074</v>
      </c>
      <c r="B75" s="4" t="str">
        <f>IFERROR(__xludf.DUMMYFUNCTION("""COMPUTED_VALUE"""),"Kinh tế")</f>
        <v>Kinh tế</v>
      </c>
      <c r="C75" s="4" t="str">
        <f>IFERROR(__xludf.DUMMYFUNCTION("""COMPUTED_VALUE"""),"Tác động của độ mở thương mại và đổi mới sáng tạo đến chất lượng môi trường tại các nền kinh tế thành viên APEC")</f>
        <v>Tác động của độ mở thương mại và đổi mới sáng tạo đến chất lượng môi trường tại các nền kinh tế thành viên APEC</v>
      </c>
      <c r="D75" s="4" t="str">
        <f>IFERROR(__xludf.DUMMYFUNCTION("""COMPUTED_VALUE"""),"Nguyễn Lê Mỹ Hạnh; Lại Thị Hồng Hạnh; Trần Ngọc Thúy Nghi")</f>
        <v>Nguyễn Lê Mỹ Hạnh; Lại Thị Hồng Hạnh; Trần Ngọc Thúy Nghi</v>
      </c>
      <c r="E75" s="4" t="str">
        <f>IFERROR(__xludf.DUMMYFUNCTION("""COMPUTED_VALUE"""),"Trường Đại học Luật TP. Hồ Chí Minh")</f>
        <v>Trường Đại học Luật TP. Hồ Chí Minh</v>
      </c>
      <c r="F75" s="4" t="str">
        <f>IFERROR(__xludf.DUMMYFUNCTION("""COMPUTED_VALUE"""),"KTE2026-074.png")</f>
        <v>KTE2026-074.png</v>
      </c>
    </row>
    <row r="76">
      <c r="A76" s="4" t="str">
        <f>IFERROR(__xludf.DUMMYFUNCTION("""COMPUTED_VALUE"""),"KTE2026-075")</f>
        <v>KTE2026-075</v>
      </c>
      <c r="B76" s="4" t="str">
        <f>IFERROR(__xludf.DUMMYFUNCTION("""COMPUTED_VALUE"""),"Kinh tế")</f>
        <v>Kinh tế</v>
      </c>
      <c r="C76" s="4" t="str">
        <f>IFERROR(__xludf.DUMMYFUNCTION("""COMPUTED_VALUE"""),"From institutional capacity to carbon price signals: Institutional decoupling and carbon-pricing readiness configurations in 15 emerging and developing economies - an fsQCA analysis and the Vietnam case study")</f>
        <v>From institutional capacity to carbon price signals: Institutional decoupling and carbon-pricing readiness configurations in 15 emerging and developing economies - an fsQCA analysis and the Vietnam case study</v>
      </c>
      <c r="D76" s="4" t="str">
        <f>IFERROR(__xludf.DUMMYFUNCTION("""COMPUTED_VALUE"""),"Lê Hồng Anh; Nguyễn Châu Anh; Nguyễn Khánh Linh; Lê Minh Ngọc")</f>
        <v>Lê Hồng Anh; Nguyễn Châu Anh; Nguyễn Khánh Linh; Lê Minh Ngọc</v>
      </c>
      <c r="E76" s="4" t="str">
        <f>IFERROR(__xludf.DUMMYFUNCTION("""COMPUTED_VALUE"""),"Trường Đại học Kinh tế, ĐHQG Hà Nội")</f>
        <v>Trường Đại học Kinh tế, ĐHQG Hà Nội</v>
      </c>
      <c r="F76" s="4" t="str">
        <f>IFERROR(__xludf.DUMMYFUNCTION("""COMPUTED_VALUE"""),"KTE2026-075.png")</f>
        <v>KTE2026-075.png</v>
      </c>
    </row>
    <row r="77">
      <c r="A77" s="4" t="str">
        <f>IFERROR(__xludf.DUMMYFUNCTION("""COMPUTED_VALUE"""),"KTE2026-076")</f>
        <v>KTE2026-076</v>
      </c>
      <c r="B77" s="4" t="str">
        <f>IFERROR(__xludf.DUMMYFUNCTION("""COMPUTED_VALUE"""),"Kinh tế")</f>
        <v>Kinh tế</v>
      </c>
      <c r="C77" s="4" t="str">
        <f>IFERROR(__xludf.DUMMYFUNCTION("""COMPUTED_VALUE"""),"Tác động của chuyển đổi số và nghiên cứu và phát triển đến năng lực cạnh tranh toàn cầu: Trường hợp nghiên cứu các quốc gia OECD")</f>
        <v>Tác động của chuyển đổi số và nghiên cứu và phát triển đến năng lực cạnh tranh toàn cầu: Trường hợp nghiên cứu các quốc gia OECD</v>
      </c>
      <c r="D77" s="4" t="str">
        <f>IFERROR(__xludf.DUMMYFUNCTION("""COMPUTED_VALUE"""),"Hàng Ngọc Châu; Nguyễn Quỳnh Anh")</f>
        <v>Hàng Ngọc Châu; Nguyễn Quỳnh Anh</v>
      </c>
      <c r="E77" s="4" t="str">
        <f>IFERROR(__xludf.DUMMYFUNCTION("""COMPUTED_VALUE"""),"Đại học Cần Thơ")</f>
        <v>Đại học Cần Thơ</v>
      </c>
      <c r="F77" s="4" t="str">
        <f>IFERROR(__xludf.DUMMYFUNCTION("""COMPUTED_VALUE"""),"KTE2026-076.png")</f>
        <v>KTE2026-076.png</v>
      </c>
    </row>
    <row r="78">
      <c r="A78" s="4" t="str">
        <f>IFERROR(__xludf.DUMMYFUNCTION("""COMPUTED_VALUE"""),"KTE2026-077")</f>
        <v>KTE2026-077</v>
      </c>
      <c r="B78" s="4" t="str">
        <f>IFERROR(__xludf.DUMMYFUNCTION("""COMPUTED_VALUE"""),"Kinh tế")</f>
        <v>Kinh tế</v>
      </c>
      <c r="C78" s="4" t="str">
        <f>IFERROR(__xludf.DUMMYFUNCTION("""COMPUTED_VALUE"""),"Đánh giá hiệu quả kỹ thuật của các cảng container tại châu Á và khuyến nghị chính sách cho Việt Nam")</f>
        <v>Đánh giá hiệu quả kỹ thuật của các cảng container tại châu Á và khuyến nghị chính sách cho Việt Nam</v>
      </c>
      <c r="D78" s="4" t="str">
        <f>IFERROR(__xludf.DUMMYFUNCTION("""COMPUTED_VALUE"""),"Đinh Hoàng Minh; Vũ Minh Thành; Hoàng Trần Dương Tú; Phạm Thanh Phương; Mai Vũ Nam Phong")</f>
        <v>Đinh Hoàng Minh; Vũ Minh Thành; Hoàng Trần Dương Tú; Phạm Thanh Phương; Mai Vũ Nam Phong</v>
      </c>
      <c r="E78" s="4" t="str">
        <f>IFERROR(__xludf.DUMMYFUNCTION("""COMPUTED_VALUE"""),"Học viện Ngân hàng")</f>
        <v>Học viện Ngân hàng</v>
      </c>
      <c r="F78" s="4" t="str">
        <f>IFERROR(__xludf.DUMMYFUNCTION("""COMPUTED_VALUE"""),"KTE2026-077.png")</f>
        <v>KTE2026-077.png</v>
      </c>
    </row>
    <row r="79">
      <c r="A79" s="4" t="str">
        <f>IFERROR(__xludf.DUMMYFUNCTION("""COMPUTED_VALUE"""),"KTE2026-078")</f>
        <v>KTE2026-078</v>
      </c>
      <c r="B79" s="4" t="str">
        <f>IFERROR(__xludf.DUMMYFUNCTION("""COMPUTED_VALUE"""),"Kinh tế")</f>
        <v>Kinh tế</v>
      </c>
      <c r="C79" s="4" t="str">
        <f>IFERROR(__xludf.DUMMYFUNCTION("""COMPUTED_VALUE"""),"Đa dạng hóa thị trường xuất khẩu và độ ổn định xuất khẩu của Việt Nam: Bằng chứng ở cấp độ HS6")</f>
        <v>Đa dạng hóa thị trường xuất khẩu và độ ổn định xuất khẩu của Việt Nam: Bằng chứng ở cấp độ HS6</v>
      </c>
      <c r="D79" s="4" t="str">
        <f>IFERROR(__xludf.DUMMYFUNCTION("""COMPUTED_VALUE"""),"Lê Đình Quân; Nguyễn Thị Hà Chi; Đặng Ngọc Bích; Trần Minh Thúy; Nguyễn Thị Hòa")</f>
        <v>Lê Đình Quân; Nguyễn Thị Hà Chi; Đặng Ngọc Bích; Trần Minh Thúy; Nguyễn Thị Hòa</v>
      </c>
      <c r="E79" s="4" t="str">
        <f>IFERROR(__xludf.DUMMYFUNCTION("""COMPUTED_VALUE"""),"Học viện Ngân hàng")</f>
        <v>Học viện Ngân hàng</v>
      </c>
      <c r="F79" s="4" t="str">
        <f>IFERROR(__xludf.DUMMYFUNCTION("""COMPUTED_VALUE"""),"KTE2026-078.png")</f>
        <v>KTE2026-078.png</v>
      </c>
    </row>
    <row r="80">
      <c r="A80" s="4" t="str">
        <f>IFERROR(__xludf.DUMMYFUNCTION("""COMPUTED_VALUE"""),"KTE2026-079")</f>
        <v>KTE2026-079</v>
      </c>
      <c r="B80" s="4" t="str">
        <f>IFERROR(__xludf.DUMMYFUNCTION("""COMPUTED_VALUE"""),"Kinh tế")</f>
        <v>Kinh tế</v>
      </c>
      <c r="C80" s="4" t="str">
        <f>IFERROR(__xludf.DUMMYFUNCTION("""COMPUTED_VALUE"""),"Ứng dụng mô hình PLS SEM và machine learning trong phân tích sự hài lòng trong công việc của lao động gig tại Hà Nội: Tác động của sự tự chủ và kiểm soát thuật toán")</f>
        <v>Ứng dụng mô hình PLS SEM và machine learning trong phân tích sự hài lòng trong công việc của lao động gig tại Hà Nội: Tác động của sự tự chủ và kiểm soát thuật toán</v>
      </c>
      <c r="D80" s="4" t="str">
        <f>IFERROR(__xludf.DUMMYFUNCTION("""COMPUTED_VALUE"""),"Lê Đức Minh; Vũ Tiến Đạt")</f>
        <v>Lê Đức Minh; Vũ Tiến Đạt</v>
      </c>
      <c r="E80" s="4" t="str">
        <f>IFERROR(__xludf.DUMMYFUNCTION("""COMPUTED_VALUE"""),"Trường Đại học Kinh tế, ĐHQG Hà Nội")</f>
        <v>Trường Đại học Kinh tế, ĐHQG Hà Nội</v>
      </c>
      <c r="F80" s="4" t="str">
        <f>IFERROR(__xludf.DUMMYFUNCTION("""COMPUTED_VALUE"""),"KTE2026-079.png")</f>
        <v>KTE2026-079.png</v>
      </c>
    </row>
    <row r="81">
      <c r="A81" s="4" t="str">
        <f>IFERROR(__xludf.DUMMYFUNCTION("""COMPUTED_VALUE"""),"KTE2026-080")</f>
        <v>KTE2026-080</v>
      </c>
      <c r="B81" s="4" t="str">
        <f>IFERROR(__xludf.DUMMYFUNCTION("""COMPUTED_VALUE"""),"Kinh tế")</f>
        <v>Kinh tế</v>
      </c>
      <c r="C81" s="4" t="str">
        <f>IFERROR(__xludf.DUMMYFUNCTION("""COMPUTED_VALUE"""),"The dynamic effects of ‘shock therapy’ in transition economies: A synthetic difference – in – differences analysis")</f>
        <v>The dynamic effects of ‘shock therapy’ in transition economies: A synthetic difference – in – differences analysis</v>
      </c>
      <c r="D81" s="4" t="str">
        <f>IFERROR(__xludf.DUMMYFUNCTION("""COMPUTED_VALUE"""),"Nguyễn Bách Nguyên; Vũ Gia Linh; Bạch Hương Lan")</f>
        <v>Nguyễn Bách Nguyên; Vũ Gia Linh; Bạch Hương Lan</v>
      </c>
      <c r="E81" s="4" t="str">
        <f>IFERROR(__xludf.DUMMYFUNCTION("""COMPUTED_VALUE"""),"Trường Đại học Kinh tế, ĐHQG Hà Nội")</f>
        <v>Trường Đại học Kinh tế, ĐHQG Hà Nội</v>
      </c>
      <c r="F81" s="4" t="str">
        <f>IFERROR(__xludf.DUMMYFUNCTION("""COMPUTED_VALUE"""),"KTE2026-080.png")</f>
        <v>KTE2026-080.png</v>
      </c>
    </row>
    <row r="82">
      <c r="A82" s="4" t="str">
        <f>IFERROR(__xludf.DUMMYFUNCTION("""COMPUTED_VALUE"""),"KTE2026-081")</f>
        <v>KTE2026-081</v>
      </c>
      <c r="B82" s="4" t="str">
        <f>IFERROR(__xludf.DUMMYFUNCTION("""COMPUTED_VALUE"""),"Kinh tế")</f>
        <v>Kinh tế</v>
      </c>
      <c r="C82" s="4" t="str">
        <f>IFERROR(__xludf.DUMMYFUNCTION("""COMPUTED_VALUE"""),"Digital economy development and female employment: New evidence from OECD countries")</f>
        <v>Digital economy development and female employment: New evidence from OECD countries</v>
      </c>
      <c r="D82" s="4" t="str">
        <f>IFERROR(__xludf.DUMMYFUNCTION("""COMPUTED_VALUE"""),"Đoàn Nguyễn Minh Tâm; Đặng Quỳnh Anh; Nguyễn Trâm Anh")</f>
        <v>Đoàn Nguyễn Minh Tâm; Đặng Quỳnh Anh; Nguyễn Trâm Anh</v>
      </c>
      <c r="E82" s="4" t="str">
        <f>IFERROR(__xludf.DUMMYFUNCTION("""COMPUTED_VALUE"""),"Phân hiệu Trường Đại học Ngoại thương tại TP. Hồ Chí Minh")</f>
        <v>Phân hiệu Trường Đại học Ngoại thương tại TP. Hồ Chí Minh</v>
      </c>
      <c r="F82" s="4" t="str">
        <f>IFERROR(__xludf.DUMMYFUNCTION("""COMPUTED_VALUE"""),"KTE2026-081.png")</f>
        <v>KTE2026-081.png</v>
      </c>
    </row>
    <row r="83">
      <c r="A83" s="4" t="str">
        <f>IFERROR(__xludf.DUMMYFUNCTION("""COMPUTED_VALUE"""),"KTE2026-082")</f>
        <v>KTE2026-082</v>
      </c>
      <c r="B83" s="4" t="str">
        <f>IFERROR(__xludf.DUMMYFUNCTION("""COMPUTED_VALUE"""),"Kinh tế")</f>
        <v>Kinh tế</v>
      </c>
      <c r="C83" s="4" t="str">
        <f>IFERROR(__xludf.DUMMYFUNCTION("""COMPUTED_VALUE"""),"Tác động bất đối xứng của giá dầu đến cán cân thương mại châu Á: Cơ chế trung gian của lạm phát và vai trò điều tiết của an ninh năng lượng tiếp cận từ thực nghiệm panel NARDL")</f>
        <v>Tác động bất đối xứng của giá dầu đến cán cân thương mại châu Á: Cơ chế trung gian của lạm phát và vai trò điều tiết của an ninh năng lượng tiếp cận từ thực nghiệm panel NARDL</v>
      </c>
      <c r="D83" s="4" t="str">
        <f>IFERROR(__xludf.DUMMYFUNCTION("""COMPUTED_VALUE"""),"Nguyễn Anh Tâm; Nguyễn Trường Thanh Tài; Nguyễn Thị Thu Hiền; Hồ Hoàng Thế Vinh")</f>
        <v>Nguyễn Anh Tâm; Nguyễn Trường Thanh Tài; Nguyễn Thị Thu Hiền; Hồ Hoàng Thế Vinh</v>
      </c>
      <c r="E83" s="4" t="str">
        <f>IFERROR(__xludf.DUMMYFUNCTION("""COMPUTED_VALUE"""),"Phân hiệu Trường Đại học Ngoại thương tại TP. Hồ Chí Minh")</f>
        <v>Phân hiệu Trường Đại học Ngoại thương tại TP. Hồ Chí Minh</v>
      </c>
      <c r="F83" s="4" t="str">
        <f>IFERROR(__xludf.DUMMYFUNCTION("""COMPUTED_VALUE"""),"KTE2026-082.png")</f>
        <v>KTE2026-082.png</v>
      </c>
    </row>
    <row r="84">
      <c r="A84" s="4" t="str">
        <f>IFERROR(__xludf.DUMMYFUNCTION("""COMPUTED_VALUE"""),"KTE2026-083")</f>
        <v>KTE2026-083</v>
      </c>
      <c r="B84" s="4" t="str">
        <f>IFERROR(__xludf.DUMMYFUNCTION("""COMPUTED_VALUE"""),"Kinh tế")</f>
        <v>Kinh tế</v>
      </c>
      <c r="C84" s="4" t="str">
        <f>IFERROR(__xludf.DUMMYFUNCTION("""COMPUTED_VALUE"""),"Provincial investment sources and tourism revenue in Vietnam: Spatial spillovers and dynamic persistence")</f>
        <v>Provincial investment sources and tourism revenue in Vietnam: Spatial spillovers and dynamic persistence</v>
      </c>
      <c r="D84" s="4" t="str">
        <f>IFERROR(__xludf.DUMMYFUNCTION("""COMPUTED_VALUE"""),"Đỗ Văn Dương")</f>
        <v>Đỗ Văn Dương</v>
      </c>
      <c r="E84" s="4" t="str">
        <f>IFERROR(__xludf.DUMMYFUNCTION("""COMPUTED_VALUE"""),"Trường Đại học Kinh tế, ĐHQG Hà Nội")</f>
        <v>Trường Đại học Kinh tế, ĐHQG Hà Nội</v>
      </c>
      <c r="F84" s="4" t="str">
        <f>IFERROR(__xludf.DUMMYFUNCTION("""COMPUTED_VALUE"""),"KTE2026-083.png")</f>
        <v>KTE2026-083.png</v>
      </c>
    </row>
    <row r="85">
      <c r="A85" s="4" t="str">
        <f>IFERROR(__xludf.DUMMYFUNCTION("""COMPUTED_VALUE"""),"KTE2026-084")</f>
        <v>KTE2026-084</v>
      </c>
      <c r="B85" s="4" t="str">
        <f>IFERROR(__xludf.DUMMYFUNCTION("""COMPUTED_VALUE"""),"Kinh tế")</f>
        <v>Kinh tế</v>
      </c>
      <c r="C85" s="4" t="str">
        <f>IFERROR(__xludf.DUMMYFUNCTION("""COMPUTED_VALUE"""),"Mức độ tiếp xúc với chuyển dịch năng lượng và bất bình đẳng thu nhập cấp tỉnh tại Việt Nam: Vai trò điều tiết của chất lượng quản trị địa phương")</f>
        <v>Mức độ tiếp xúc với chuyển dịch năng lượng và bất bình đẳng thu nhập cấp tỉnh tại Việt Nam: Vai trò điều tiết của chất lượng quản trị địa phương</v>
      </c>
      <c r="D85" s="4" t="str">
        <f>IFERROR(__xludf.DUMMYFUNCTION("""COMPUTED_VALUE"""),"Phạm Kim Khánh; Đỗ Văn Dương; Nguyễn Thị Ánh Nguyệt; Nguyễn Bùi Huyền Trang")</f>
        <v>Phạm Kim Khánh; Đỗ Văn Dương; Nguyễn Thị Ánh Nguyệt; Nguyễn Bùi Huyền Trang</v>
      </c>
      <c r="E85" s="4" t="str">
        <f>IFERROR(__xludf.DUMMYFUNCTION("""COMPUTED_VALUE"""),"Trường Đại học Kinh tế, ĐHQG Hà Nội")</f>
        <v>Trường Đại học Kinh tế, ĐHQG Hà Nội</v>
      </c>
      <c r="F85" s="4" t="str">
        <f>IFERROR(__xludf.DUMMYFUNCTION("""COMPUTED_VALUE"""),"KTE2026-084.png")</f>
        <v>KTE2026-084.png</v>
      </c>
    </row>
    <row r="86">
      <c r="A86" s="4" t="str">
        <f>IFERROR(__xludf.DUMMYFUNCTION("""COMPUTED_VALUE"""),"KTE2026-085")</f>
        <v>KTE2026-085</v>
      </c>
      <c r="B86" s="4" t="str">
        <f>IFERROR(__xludf.DUMMYFUNCTION("""COMPUTED_VALUE"""),"Kinh tế")</f>
        <v>Kinh tế</v>
      </c>
      <c r="C86" s="4" t="str">
        <f>IFERROR(__xludf.DUMMYFUNCTION("""COMPUTED_VALUE"""),"Các yếu tố quyết định sự tăng trưởng du lịch đêm tại thành phố Hà Nội (Việt Nam): Tiếp cận dưới góc nhìn phương pháp học máy")</f>
        <v>Các yếu tố quyết định sự tăng trưởng du lịch đêm tại thành phố Hà Nội (Việt Nam): Tiếp cận dưới góc nhìn phương pháp học máy</v>
      </c>
      <c r="D86" s="4" t="str">
        <f>IFERROR(__xludf.DUMMYFUNCTION("""COMPUTED_VALUE"""),"Trần Huyền Trang; Ngô Thị Minh Khánh; Nguyễn Hoàng Phương Trang")</f>
        <v>Trần Huyền Trang; Ngô Thị Minh Khánh; Nguyễn Hoàng Phương Trang</v>
      </c>
      <c r="E86" s="4" t="str">
        <f>IFERROR(__xludf.DUMMYFUNCTION("""COMPUTED_VALUE"""),"Trường Đại học Kinh tế, ĐHQG Hà Nội")</f>
        <v>Trường Đại học Kinh tế, ĐHQG Hà Nội</v>
      </c>
      <c r="F86" s="4" t="str">
        <f>IFERROR(__xludf.DUMMYFUNCTION("""COMPUTED_VALUE"""),"KTE2026-085.png")</f>
        <v>KTE2026-085.png</v>
      </c>
    </row>
    <row r="87">
      <c r="A87" s="4" t="str">
        <f>IFERROR(__xludf.DUMMYFUNCTION("""COMPUTED_VALUE"""),"KTE2026-086")</f>
        <v>KTE2026-086</v>
      </c>
      <c r="B87" s="4" t="str">
        <f>IFERROR(__xludf.DUMMYFUNCTION("""COMPUTED_VALUE"""),"Kinh tế")</f>
        <v>Kinh tế</v>
      </c>
      <c r="C87" s="4" t="str">
        <f>IFERROR(__xludf.DUMMYFUNCTION("""COMPUTED_VALUE"""),"Provincial administrative mergers and land-listing prices: Evidence from Vietnam's 2025 reform")</f>
        <v>Provincial administrative mergers and land-listing prices: Evidence from Vietnam's 2025 reform</v>
      </c>
      <c r="D87" s="4" t="str">
        <f>IFERROR(__xludf.DUMMYFUNCTION("""COMPUTED_VALUE"""),"Trần Thục Anh; Trần Linh Giang; Mai Khánh Huyền")</f>
        <v>Trần Thục Anh; Trần Linh Giang; Mai Khánh Huyền</v>
      </c>
      <c r="E87" s="4" t="str">
        <f>IFERROR(__xludf.DUMMYFUNCTION("""COMPUTED_VALUE"""),"Trường Đại học Kinh tế, ĐHQG Hà Nội")</f>
        <v>Trường Đại học Kinh tế, ĐHQG Hà Nội</v>
      </c>
      <c r="F87" s="4" t="str">
        <f>IFERROR(__xludf.DUMMYFUNCTION("""COMPUTED_VALUE"""),"KTE2026-086.png")</f>
        <v>KTE2026-086.png</v>
      </c>
    </row>
    <row r="88">
      <c r="A88" s="4" t="str">
        <f>IFERROR(__xludf.DUMMYFUNCTION("""COMPUTED_VALUE"""),"KTE2026-087")</f>
        <v>KTE2026-087</v>
      </c>
      <c r="B88" s="4" t="str">
        <f>IFERROR(__xludf.DUMMYFUNCTION("""COMPUTED_VALUE"""),"Kinh tế")</f>
        <v>Kinh tế</v>
      </c>
      <c r="C88" s="4" t="str">
        <f>IFERROR(__xludf.DUMMYFUNCTION("""COMPUTED_VALUE"""),"Tác động phi tuyến của tiêu thụ năng lượng tái tạo đến tăng trưởng kinh tế: Vai trò điều tiết của phát triển tài chính")</f>
        <v>Tác động phi tuyến của tiêu thụ năng lượng tái tạo đến tăng trưởng kinh tế: Vai trò điều tiết của phát triển tài chính</v>
      </c>
      <c r="D88" s="4" t="str">
        <f>IFERROR(__xludf.DUMMYFUNCTION("""COMPUTED_VALUE"""),"Lê Thị Tuyết Ngân; Lê Nguyễn Hải My; Lê Thị Ngọc Thắm; Nguyễn Ngọc Như Ngân; Ngô Châu Quỳnh Na")</f>
        <v>Lê Thị Tuyết Ngân; Lê Nguyễn Hải My; Lê Thị Ngọc Thắm; Nguyễn Ngọc Như Ngân; Ngô Châu Quỳnh Na</v>
      </c>
      <c r="E88" s="4" t="str">
        <f>IFERROR(__xludf.DUMMYFUNCTION("""COMPUTED_VALUE"""),"Trường Đại học Ngân hàng TP. Hồ Chí Minh")</f>
        <v>Trường Đại học Ngân hàng TP. Hồ Chí Minh</v>
      </c>
      <c r="F88" s="4" t="str">
        <f>IFERROR(__xludf.DUMMYFUNCTION("""COMPUTED_VALUE"""),"KTE2026-087.png")</f>
        <v>KTE2026-087.png</v>
      </c>
    </row>
    <row r="89">
      <c r="A89" s="4" t="str">
        <f>IFERROR(__xludf.DUMMYFUNCTION("""COMPUTED_VALUE"""),"KTE2026-088")</f>
        <v>KTE2026-088</v>
      </c>
      <c r="B89" s="4" t="str">
        <f>IFERROR(__xludf.DUMMYFUNCTION("""COMPUTED_VALUE"""),"Kinh tế")</f>
        <v>Kinh tế</v>
      </c>
      <c r="C89" s="4" t="str">
        <f>IFERROR(__xludf.DUMMYFUNCTION("""COMPUTED_VALUE"""),"Đề xuất mô hình dự báo nhu cầu năng lượng trong bối cảnh dữ liệu hạn chế: Nghiên cứu tại thị trường Việt Nam")</f>
        <v>Đề xuất mô hình dự báo nhu cầu năng lượng trong bối cảnh dữ liệu hạn chế: Nghiên cứu tại thị trường Việt Nam</v>
      </c>
      <c r="D89" s="4" t="str">
        <f>IFERROR(__xludf.DUMMYFUNCTION("""COMPUTED_VALUE"""),"Nguyễn Đức Triển")</f>
        <v>Nguyễn Đức Triển</v>
      </c>
      <c r="E89" s="4" t="str">
        <f>IFERROR(__xludf.DUMMYFUNCTION("""COMPUTED_VALUE"""),"Trường Đại học Công nghệ Thông tin và Truyền thông Việt - Hàn, Đại học Đà Nẵng")</f>
        <v>Trường Đại học Công nghệ Thông tin và Truyền thông Việt - Hàn, Đại học Đà Nẵng</v>
      </c>
      <c r="F89" s="4" t="str">
        <f>IFERROR(__xludf.DUMMYFUNCTION("""COMPUTED_VALUE"""),"KTE2026-088.png")</f>
        <v>KTE2026-088.png</v>
      </c>
    </row>
    <row r="90">
      <c r="A90" s="4" t="str">
        <f>IFERROR(__xludf.DUMMYFUNCTION("""COMPUTED_VALUE"""),"KTE2026-089")</f>
        <v>KTE2026-089</v>
      </c>
      <c r="B90" s="4" t="str">
        <f>IFERROR(__xludf.DUMMYFUNCTION("""COMPUTED_VALUE"""),"Kinh tế")</f>
        <v>Kinh tế</v>
      </c>
      <c r="C90" s="4" t="str">
        <f>IFERROR(__xludf.DUMMYFUNCTION("""COMPUTED_VALUE"""),"The asymmetric impact of technological intensity on environmental performance: Empirical evidence from an integrated PSM-CRQ and causal machine learning model in Vietnam")</f>
        <v>The asymmetric impact of technological intensity on environmental performance: Empirical evidence from an integrated PSM-CRQ and causal machine learning model in Vietnam</v>
      </c>
      <c r="D90" s="4" t="str">
        <f>IFERROR(__xludf.DUMMYFUNCTION("""COMPUTED_VALUE"""),"Trần Tăng Mỹ Ngọc; Nguyễn Ngọc Phi Vỹ")</f>
        <v>Trần Tăng Mỹ Ngọc; Nguyễn Ngọc Phi Vỹ</v>
      </c>
      <c r="E90" s="4" t="str">
        <f>IFERROR(__xludf.DUMMYFUNCTION("""COMPUTED_VALUE"""),"Đại học Kinh tế TP. Hồ Chí Minh")</f>
        <v>Đại học Kinh tế TP. Hồ Chí Minh</v>
      </c>
      <c r="F90" s="4" t="str">
        <f>IFERROR(__xludf.DUMMYFUNCTION("""COMPUTED_VALUE"""),"KTE2026-089.png")</f>
        <v>KTE2026-089.png</v>
      </c>
    </row>
    <row r="91">
      <c r="A91" s="4" t="str">
        <f>IFERROR(__xludf.DUMMYFUNCTION("""COMPUTED_VALUE"""),"KTE2026-090")</f>
        <v>KTE2026-090</v>
      </c>
      <c r="B91" s="4" t="str">
        <f>IFERROR(__xludf.DUMMYFUNCTION("""COMPUTED_VALUE"""),"Kinh tế")</f>
        <v>Kinh tế</v>
      </c>
      <c r="C91" s="4" t="str">
        <f>IFERROR(__xludf.DUMMYFUNCTION("""COMPUTED_VALUE"""),"Energy intensity and export performance: A global panel data analysis of the moderating role of carbon pricing and renewable energy")</f>
        <v>Energy intensity and export performance: A global panel data analysis of the moderating role of carbon pricing and renewable energy</v>
      </c>
      <c r="D91" s="4" t="str">
        <f>IFERROR(__xludf.DUMMYFUNCTION("""COMPUTED_VALUE"""),"Lương Khánh Chi; Lê Minh Khôi; Hoàng Quỳnh Trang; Nguyễn Trung Thông")</f>
        <v>Lương Khánh Chi; Lê Minh Khôi; Hoàng Quỳnh Trang; Nguyễn Trung Thông</v>
      </c>
      <c r="E91" s="4" t="str">
        <f>IFERROR(__xludf.DUMMYFUNCTION("""COMPUTED_VALUE"""),"Đại học Kinh tế TP. Hồ Chí Minh")</f>
        <v>Đại học Kinh tế TP. Hồ Chí Minh</v>
      </c>
      <c r="F91" s="4" t="str">
        <f>IFERROR(__xludf.DUMMYFUNCTION("""COMPUTED_VALUE"""),"KTE2026-090.png")</f>
        <v>KTE2026-090.png</v>
      </c>
    </row>
    <row r="92">
      <c r="A92" s="4" t="str">
        <f>IFERROR(__xludf.DUMMYFUNCTION("""COMPUTED_VALUE"""),"KTE2026-091")</f>
        <v>KTE2026-091</v>
      </c>
      <c r="B92" s="4" t="str">
        <f>IFERROR(__xludf.DUMMYFUNCTION("""COMPUTED_VALUE"""),"Kinh tế")</f>
        <v>Kinh tế</v>
      </c>
      <c r="C92" s="4" t="str">
        <f>IFERROR(__xludf.DUMMYFUNCTION("""COMPUTED_VALUE"""),"Mô hình kho lạnh cộng đồng sử dụng năng lượng mặt trời phục vụ bảo quản nông sản tại Đồng bằng sông Cửu Long")</f>
        <v>Mô hình kho lạnh cộng đồng sử dụng năng lượng mặt trời phục vụ bảo quản nông sản tại Đồng bằng sông Cửu Long</v>
      </c>
      <c r="D92" s="4" t="str">
        <f>IFERROR(__xludf.DUMMYFUNCTION("""COMPUTED_VALUE"""),"Phạm Ngọc Phước Sang; Nguyễn Minh Nghĩa; Nguyễn Mạnh Tuấn; Nguyễn Trung Nghị; Nguyễn Thùy Dương")</f>
        <v>Phạm Ngọc Phước Sang; Nguyễn Minh Nghĩa; Nguyễn Mạnh Tuấn; Nguyễn Trung Nghị; Nguyễn Thùy Dương</v>
      </c>
      <c r="E92" s="4" t="str">
        <f>IFERROR(__xludf.DUMMYFUNCTION("""COMPUTED_VALUE"""),"Trường Đại học Mở TP. Hồ Chí Minh")</f>
        <v>Trường Đại học Mở TP. Hồ Chí Minh</v>
      </c>
      <c r="F92" s="4" t="str">
        <f>IFERROR(__xludf.DUMMYFUNCTION("""COMPUTED_VALUE"""),"KTE2026-091.png")</f>
        <v>KTE2026-091.png</v>
      </c>
    </row>
    <row r="93">
      <c r="A93" s="4" t="str">
        <f>IFERROR(__xludf.DUMMYFUNCTION("""COMPUTED_VALUE"""),"KTE2026-092")</f>
        <v>KTE2026-092</v>
      </c>
      <c r="B93" s="4" t="str">
        <f>IFERROR(__xludf.DUMMYFUNCTION("""COMPUTED_VALUE"""),"Kinh tế")</f>
        <v>Kinh tế</v>
      </c>
      <c r="C93" s="4" t="str">
        <f>IFERROR(__xludf.DUMMYFUNCTION("""COMPUTED_VALUE"""),"Ảnh hưởng của quản trị công ty và quản trị lợi nhuận đến thông tin bất cân xứng của các công ty niêm yết trên sở giao dịch chứng khoán TP. Hồ Chí Minh")</f>
        <v>Ảnh hưởng của quản trị công ty và quản trị lợi nhuận đến thông tin bất cân xứng của các công ty niêm yết trên sở giao dịch chứng khoán TP. Hồ Chí Minh</v>
      </c>
      <c r="D93" s="4" t="str">
        <f>IFERROR(__xludf.DUMMYFUNCTION("""COMPUTED_VALUE"""),"Trần Minh Tâm; Nguyễn Hà Lan Phương; Nguyễn Thị Trúc Ly; Lê Hà Thị Thuận; Đỗ Hoàng Thanh Vân")</f>
        <v>Trần Minh Tâm; Nguyễn Hà Lan Phương; Nguyễn Thị Trúc Ly; Lê Hà Thị Thuận; Đỗ Hoàng Thanh Vân</v>
      </c>
      <c r="E93" s="4" t="str">
        <f>IFERROR(__xludf.DUMMYFUNCTION("""COMPUTED_VALUE"""),"Trường Đại học Nguyễn Tất Thành")</f>
        <v>Trường Đại học Nguyễn Tất Thành</v>
      </c>
      <c r="F93" s="4" t="str">
        <f>IFERROR(__xludf.DUMMYFUNCTION("""COMPUTED_VALUE"""),"KTE2026-092.png")</f>
        <v>KTE2026-092.png</v>
      </c>
    </row>
    <row r="94">
      <c r="A94" s="4" t="str">
        <f>IFERROR(__xludf.DUMMYFUNCTION("""COMPUTED_VALUE"""),"KTE2026-093")</f>
        <v>KTE2026-093</v>
      </c>
      <c r="B94" s="4" t="str">
        <f>IFERROR(__xludf.DUMMYFUNCTION("""COMPUTED_VALUE"""),"Kinh tế")</f>
        <v>Kinh tế</v>
      </c>
      <c r="C94" s="4" t="str">
        <f>IFERROR(__xludf.DUMMYFUNCTION("""COMPUTED_VALUE"""),"Tác động của chất lượng báo cáo tài chính đến hiệu quả đầu tư của các công ty niêm yết: Vai trò điều tiết của cơ hội tăng trưởng và đặc điểm hội đồng quản trị")</f>
        <v>Tác động của chất lượng báo cáo tài chính đến hiệu quả đầu tư của các công ty niêm yết: Vai trò điều tiết của cơ hội tăng trưởng và đặc điểm hội đồng quản trị</v>
      </c>
      <c r="D94" s="4" t="str">
        <f>IFERROR(__xludf.DUMMYFUNCTION("""COMPUTED_VALUE"""),"Nguyễn Hà Lan Phương; Trần Minh Tâm; Nguyễn Thị Trúc Ly; Lê Hà Thị Thuận; Đỗ Hoàng Thanh Vân")</f>
        <v>Nguyễn Hà Lan Phương; Trần Minh Tâm; Nguyễn Thị Trúc Ly; Lê Hà Thị Thuận; Đỗ Hoàng Thanh Vân</v>
      </c>
      <c r="E94" s="4" t="str">
        <f>IFERROR(__xludf.DUMMYFUNCTION("""COMPUTED_VALUE"""),"Trường Đại học Nguyễn Tất Thành")</f>
        <v>Trường Đại học Nguyễn Tất Thành</v>
      </c>
      <c r="F94" s="4" t="str">
        <f>IFERROR(__xludf.DUMMYFUNCTION("""COMPUTED_VALUE"""),"KTE2026-093.png")</f>
        <v>KTE2026-093.png</v>
      </c>
    </row>
    <row r="95">
      <c r="A95" s="4" t="str">
        <f>IFERROR(__xludf.DUMMYFUNCTION("""COMPUTED_VALUE"""),"KTE2026-094")</f>
        <v>KTE2026-094</v>
      </c>
      <c r="B95" s="4" t="str">
        <f>IFERROR(__xludf.DUMMYFUNCTION("""COMPUTED_VALUE"""),"Kinh tế")</f>
        <v>Kinh tế</v>
      </c>
      <c r="C95" s="4" t="str">
        <f>IFERROR(__xludf.DUMMYFUNCTION("""COMPUTED_VALUE"""),"Mối quan hệ giữa chất lượng lợi nhuận và tính thanh khoản cổ phiếu: Vai trò điều tiết của cấu trúc sở hữu cổ phiếu và chất lượng kiểm toán")</f>
        <v>Mối quan hệ giữa chất lượng lợi nhuận và tính thanh khoản cổ phiếu: Vai trò điều tiết của cấu trúc sở hữu cổ phiếu và chất lượng kiểm toán</v>
      </c>
      <c r="D95" s="4" t="str">
        <f>IFERROR(__xludf.DUMMYFUNCTION("""COMPUTED_VALUE"""),"Nguyễn Thị Trúc Ly; Trần Minh Tâm; Nguyễn Hà Lan Phương; Lê Hà Thị Thuận; Đỗ Hoàng Thanh Vân")</f>
        <v>Nguyễn Thị Trúc Ly; Trần Minh Tâm; Nguyễn Hà Lan Phương; Lê Hà Thị Thuận; Đỗ Hoàng Thanh Vân</v>
      </c>
      <c r="E95" s="4" t="str">
        <f>IFERROR(__xludf.DUMMYFUNCTION("""COMPUTED_VALUE"""),"Trường Đại học Nguyễn Tất Thành")</f>
        <v>Trường Đại học Nguyễn Tất Thành</v>
      </c>
      <c r="F95" s="4" t="str">
        <f>IFERROR(__xludf.DUMMYFUNCTION("""COMPUTED_VALUE"""),"KTE2026-094.png")</f>
        <v>KTE2026-094.png</v>
      </c>
    </row>
    <row r="96">
      <c r="A96" s="4" t="str">
        <f>IFERROR(__xludf.DUMMYFUNCTION("""COMPUTED_VALUE"""),"KTE2026-095")</f>
        <v>KTE2026-095</v>
      </c>
      <c r="B96" s="4" t="str">
        <f>IFERROR(__xludf.DUMMYFUNCTION("""COMPUTED_VALUE"""),"Kinh tế")</f>
        <v>Kinh tế</v>
      </c>
      <c r="C96" s="4" t="str">
        <f>IFERROR(__xludf.DUMMYFUNCTION("""COMPUTED_VALUE"""),"Ảnh hưởng của đặc điểm hội đồng quản trị đến chất lượng báo cáo tài chính của các công ty niêm yết trên HOSE")</f>
        <v>Ảnh hưởng của đặc điểm hội đồng quản trị đến chất lượng báo cáo tài chính của các công ty niêm yết trên HOSE</v>
      </c>
      <c r="D96" s="4" t="str">
        <f>IFERROR(__xludf.DUMMYFUNCTION("""COMPUTED_VALUE"""),"Lê Hà Thị Thuận; Nguyễn Thị Trúc Ly; Trần Minh Tâm; Nguyễn Hà Lan Phương; Đỗ Hoàng Thanh Vân")</f>
        <v>Lê Hà Thị Thuận; Nguyễn Thị Trúc Ly; Trần Minh Tâm; Nguyễn Hà Lan Phương; Đỗ Hoàng Thanh Vân</v>
      </c>
      <c r="E96" s="4" t="str">
        <f>IFERROR(__xludf.DUMMYFUNCTION("""COMPUTED_VALUE"""),"Trường Đại học Nguyễn Tất Thành")</f>
        <v>Trường Đại học Nguyễn Tất Thành</v>
      </c>
      <c r="F96" s="4" t="str">
        <f>IFERROR(__xludf.DUMMYFUNCTION("""COMPUTED_VALUE"""),"KTE2026-095.png")</f>
        <v>KTE2026-095.png</v>
      </c>
    </row>
    <row r="97">
      <c r="A97" s="4" t="str">
        <f>IFERROR(__xludf.DUMMYFUNCTION("""COMPUTED_VALUE"""),"KTE2026-096")</f>
        <v>KTE2026-096</v>
      </c>
      <c r="B97" s="4" t="str">
        <f>IFERROR(__xludf.DUMMYFUNCTION("""COMPUTED_VALUE"""),"Kinh tế")</f>
        <v>Kinh tế</v>
      </c>
      <c r="C97" s="4" t="str">
        <f>IFERROR(__xludf.DUMMYFUNCTION("""COMPUTED_VALUE"""),"Đánh giá sự hài lòng của sinh viên đối với chất lượng đào tạo ngành kế toán tại Trường Đại học Tây Nguyên")</f>
        <v>Đánh giá sự hài lòng của sinh viên đối với chất lượng đào tạo ngành kế toán tại Trường Đại học Tây Nguyên</v>
      </c>
      <c r="D97" s="4" t="str">
        <f>IFERROR(__xludf.DUMMYFUNCTION("""COMPUTED_VALUE"""),"Bùi Ngọc Huyền; Nguyễn Ngọc Thạch")</f>
        <v>Bùi Ngọc Huyền; Nguyễn Ngọc Thạch</v>
      </c>
      <c r="E97" s="4" t="str">
        <f>IFERROR(__xludf.DUMMYFUNCTION("""COMPUTED_VALUE"""),"Trường Đại học Tây Nguyên")</f>
        <v>Trường Đại học Tây Nguyên</v>
      </c>
      <c r="F97" s="4" t="str">
        <f>IFERROR(__xludf.DUMMYFUNCTION("""COMPUTED_VALUE"""),"KTE2026-096.png")</f>
        <v>KTE2026-096.png</v>
      </c>
    </row>
    <row r="98">
      <c r="A98" s="4" t="str">
        <f>IFERROR(__xludf.DUMMYFUNCTION("""COMPUTED_VALUE"""),"KTE2026-097")</f>
        <v>KTE2026-097</v>
      </c>
      <c r="B98" s="4" t="str">
        <f>IFERROR(__xludf.DUMMYFUNCTION("""COMPUTED_VALUE"""),"Kinh tế")</f>
        <v>Kinh tế</v>
      </c>
      <c r="C98" s="4" t="str">
        <f>IFERROR(__xludf.DUMMYFUNCTION("""COMPUTED_VALUE"""),"Tác động của tài chính toàn diện và thuế đến biến động giá nhà: Bằng chứng từ các thị trường trên thế giới")</f>
        <v>Tác động của tài chính toàn diện và thuế đến biến động giá nhà: Bằng chứng từ các thị trường trên thế giới</v>
      </c>
      <c r="D98" s="4" t="str">
        <f>IFERROR(__xludf.DUMMYFUNCTION("""COMPUTED_VALUE"""),"Trần Ngọc Phương Dung; Nguyễn Thị Ngọc Linh; Đỗ Minh Khanh")</f>
        <v>Trần Ngọc Phương Dung; Nguyễn Thị Ngọc Linh; Đỗ Minh Khanh</v>
      </c>
      <c r="E98" s="4" t="str">
        <f>IFERROR(__xludf.DUMMYFUNCTION("""COMPUTED_VALUE"""),"Trường Đại học Tôn Đức Thắng")</f>
        <v>Trường Đại học Tôn Đức Thắng</v>
      </c>
      <c r="F98" s="4" t="str">
        <f>IFERROR(__xludf.DUMMYFUNCTION("""COMPUTED_VALUE"""),"KTE2026-097.png")</f>
        <v>KTE2026-097.png</v>
      </c>
    </row>
    <row r="99">
      <c r="A99" s="4" t="str">
        <f>IFERROR(__xludf.DUMMYFUNCTION("""COMPUTED_VALUE"""),"KTE2026-098")</f>
        <v>KTE2026-098</v>
      </c>
      <c r="B99" s="4" t="str">
        <f>IFERROR(__xludf.DUMMYFUNCTION("""COMPUTED_VALUE"""),"Kinh tế")</f>
        <v>Kinh tế</v>
      </c>
      <c r="C99" s="4" t="str">
        <f>IFERROR(__xludf.DUMMYFUNCTION("""COMPUTED_VALUE"""),"Nghiên cứu các nhân tố ảnh hưởng đến hiệu quả tài chính của doanh nghiệp bảo hiểm niêm yết tại Việt Nam")</f>
        <v>Nghiên cứu các nhân tố ảnh hưởng đến hiệu quả tài chính của doanh nghiệp bảo hiểm niêm yết tại Việt Nam</v>
      </c>
      <c r="D99" s="4" t="str">
        <f>IFERROR(__xludf.DUMMYFUNCTION("""COMPUTED_VALUE"""),"Nguyễn Tuấn Kiệt; Đào Văn Trung Hiếu; Nguyễn Thị Lan")</f>
        <v>Nguyễn Tuấn Kiệt; Đào Văn Trung Hiếu; Nguyễn Thị Lan</v>
      </c>
      <c r="E99" s="4" t="str">
        <f>IFERROR(__xludf.DUMMYFUNCTION("""COMPUTED_VALUE"""),"Trường Đại học Mở Hà Nội")</f>
        <v>Trường Đại học Mở Hà Nội</v>
      </c>
      <c r="F99" s="4" t="str">
        <f>IFERROR(__xludf.DUMMYFUNCTION("""COMPUTED_VALUE"""),"KTE2026-098.png")</f>
        <v>KTE2026-098.png</v>
      </c>
    </row>
    <row r="100">
      <c r="A100" s="4" t="str">
        <f>IFERROR(__xludf.DUMMYFUNCTION("""COMPUTED_VALUE"""),"KTE2026-099")</f>
        <v>KTE2026-099</v>
      </c>
      <c r="B100" s="4" t="str">
        <f>IFERROR(__xludf.DUMMYFUNCTION("""COMPUTED_VALUE"""),"Kinh tế")</f>
        <v>Kinh tế</v>
      </c>
      <c r="C100" s="4" t="str">
        <f>IFERROR(__xludf.DUMMYFUNCTION("""COMPUTED_VALUE"""),"Các nhân tố ảnh hưởng tới việc ứng dụng AI trong kế toán đối với các doanh nghiệp nhỏ và vừa trên địa bàn Hà Nội")</f>
        <v>Các nhân tố ảnh hưởng tới việc ứng dụng AI trong kế toán đối với các doanh nghiệp nhỏ và vừa trên địa bàn Hà Nội</v>
      </c>
      <c r="D100" s="4" t="str">
        <f>IFERROR(__xludf.DUMMYFUNCTION("""COMPUTED_VALUE"""),"Vũ Thanh Hằng; Nguyễn Thị Hồng Ngát")</f>
        <v>Vũ Thanh Hằng; Nguyễn Thị Hồng Ngát</v>
      </c>
      <c r="E100" s="4" t="str">
        <f>IFERROR(__xludf.DUMMYFUNCTION("""COMPUTED_VALUE"""),"Trường Đại học Mở Hà Nội")</f>
        <v>Trường Đại học Mở Hà Nội</v>
      </c>
      <c r="F100" s="4" t="str">
        <f>IFERROR(__xludf.DUMMYFUNCTION("""COMPUTED_VALUE"""),"KTE2026-099.png")</f>
        <v>KTE2026-099.png</v>
      </c>
    </row>
    <row r="101">
      <c r="A101" s="4" t="str">
        <f>IFERROR(__xludf.DUMMYFUNCTION("""COMPUTED_VALUE"""),"KTE2026-100")</f>
        <v>KTE2026-100</v>
      </c>
      <c r="B101" s="4" t="str">
        <f>IFERROR(__xludf.DUMMYFUNCTION("""COMPUTED_VALUE"""),"Kinh tế")</f>
        <v>Kinh tế</v>
      </c>
      <c r="C101" s="4" t="str">
        <f>IFERROR(__xludf.DUMMYFUNCTION("""COMPUTED_VALUE"""),"Tác động của chuyển đổi số trong kế toán đến hiệu quả hoạt động của các doanh nghiệp nhỏ và vừa trên địa bàn thành phố Hà Nội")</f>
        <v>Tác động của chuyển đổi số trong kế toán đến hiệu quả hoạt động của các doanh nghiệp nhỏ và vừa trên địa bàn thành phố Hà Nội</v>
      </c>
      <c r="D101" s="4" t="str">
        <f>IFERROR(__xludf.DUMMYFUNCTION("""COMPUTED_VALUE"""),"Nguyễn Thanh Loan; Hồ Thị Tố Uyên; Nguyễn Thị Hồng Vân")</f>
        <v>Nguyễn Thanh Loan; Hồ Thị Tố Uyên; Nguyễn Thị Hồng Vân</v>
      </c>
      <c r="E101" s="4" t="str">
        <f>IFERROR(__xludf.DUMMYFUNCTION("""COMPUTED_VALUE"""),"Trường Đại học Mở Hà Nội")</f>
        <v>Trường Đại học Mở Hà Nội</v>
      </c>
      <c r="F101" s="4" t="str">
        <f>IFERROR(__xludf.DUMMYFUNCTION("""COMPUTED_VALUE"""),"KTE2026-100.png")</f>
        <v>KTE2026-100.png</v>
      </c>
    </row>
    <row r="102">
      <c r="A102" s="4" t="str">
        <f>IFERROR(__xludf.DUMMYFUNCTION("""COMPUTED_VALUE"""),"KTE2026-101")</f>
        <v>KTE2026-101</v>
      </c>
      <c r="B102" s="4" t="str">
        <f>IFERROR(__xludf.DUMMYFUNCTION("""COMPUTED_VALUE"""),"Kinh tế")</f>
        <v>Kinh tế</v>
      </c>
      <c r="C102" s="4" t="str">
        <f>IFERROR(__xludf.DUMMYFUNCTION("""COMPUTED_VALUE"""),"Investigating the financial factors influencing the extent of ESG disclosure in Vietnamese listed firms")</f>
        <v>Investigating the financial factors influencing the extent of ESG disclosure in Vietnamese listed firms</v>
      </c>
      <c r="D102" s="4" t="str">
        <f>IFERROR(__xludf.DUMMYFUNCTION("""COMPUTED_VALUE"""),"Lê Xuân Dũng; Nguyễn Thị Hoàng Anh; Hoàng Hải Châm; Đỗ Công Anh")</f>
        <v>Lê Xuân Dũng; Nguyễn Thị Hoàng Anh; Hoàng Hải Châm; Đỗ Công Anh</v>
      </c>
      <c r="E102" s="4" t="str">
        <f>IFERROR(__xludf.DUMMYFUNCTION("""COMPUTED_VALUE"""),"Trường Đại học Giao thông vận tải")</f>
        <v>Trường Đại học Giao thông vận tải</v>
      </c>
      <c r="F102" s="4" t="str">
        <f>IFERROR(__xludf.DUMMYFUNCTION("""COMPUTED_VALUE"""),"KTE2026-101.png")</f>
        <v>KTE2026-101.png</v>
      </c>
    </row>
    <row r="103">
      <c r="A103" s="4" t="str">
        <f>IFERROR(__xludf.DUMMYFUNCTION("""COMPUTED_VALUE"""),"KTE2026-102")</f>
        <v>KTE2026-102</v>
      </c>
      <c r="B103" s="4" t="str">
        <f>IFERROR(__xludf.DUMMYFUNCTION("""COMPUTED_VALUE"""),"Kinh tế")</f>
        <v>Kinh tế</v>
      </c>
      <c r="C103" s="4" t="str">
        <f>IFERROR(__xludf.DUMMYFUNCTION("""COMPUTED_VALUE"""),"Nghiên cứu tác động của chất lượng kiểm toán tới hiệu quả hoạt động của các doanh nghiệp niêm yết tại Việt Nam")</f>
        <v>Nghiên cứu tác động của chất lượng kiểm toán tới hiệu quả hoạt động của các doanh nghiệp niêm yết tại Việt Nam</v>
      </c>
      <c r="D103" s="4" t="str">
        <f>IFERROR(__xludf.DUMMYFUNCTION("""COMPUTED_VALUE"""),"Trần Thị Hiền; Vũ Nguyễn Phương Giang; Triệu Mai Hoa")</f>
        <v>Trần Thị Hiền; Vũ Nguyễn Phương Giang; Triệu Mai Hoa</v>
      </c>
      <c r="E103" s="4" t="str">
        <f>IFERROR(__xludf.DUMMYFUNCTION("""COMPUTED_VALUE"""),"Trường Đại học Giao thông vận tải")</f>
        <v>Trường Đại học Giao thông vận tải</v>
      </c>
      <c r="F103" s="4" t="str">
        <f>IFERROR(__xludf.DUMMYFUNCTION("""COMPUTED_VALUE"""),"KTE2026-102.png")</f>
        <v>KTE2026-102.png</v>
      </c>
    </row>
    <row r="104">
      <c r="A104" s="4" t="str">
        <f>IFERROR(__xludf.DUMMYFUNCTION("""COMPUTED_VALUE"""),"KTE2026-103")</f>
        <v>KTE2026-103</v>
      </c>
      <c r="B104" s="4" t="str">
        <f>IFERROR(__xludf.DUMMYFUNCTION("""COMPUTED_VALUE"""),"Kinh tế")</f>
        <v>Kinh tế</v>
      </c>
      <c r="C104" s="4" t="str">
        <f>IFERROR(__xludf.DUMMYFUNCTION("""COMPUTED_VALUE"""),"Mối quan hệ giữa chất lượng thể chế và bất bình đẳng: Nghiên cứu định lượng ở các tỉnh thành Việt Nam")</f>
        <v>Mối quan hệ giữa chất lượng thể chế và bất bình đẳng: Nghiên cứu định lượng ở các tỉnh thành Việt Nam</v>
      </c>
      <c r="D104" s="4" t="str">
        <f>IFERROR(__xludf.DUMMYFUNCTION("""COMPUTED_VALUE"""),"Đỗ Hoàng Thanh Vân; Lê Hà Thị Thuận; Nguyễn Thị Trúc Ly; Trần Minh Tâm; Nguyễn Hà Lan Phương")</f>
        <v>Đỗ Hoàng Thanh Vân; Lê Hà Thị Thuận; Nguyễn Thị Trúc Ly; Trần Minh Tâm; Nguyễn Hà Lan Phương</v>
      </c>
      <c r="E104" s="4" t="str">
        <f>IFERROR(__xludf.DUMMYFUNCTION("""COMPUTED_VALUE"""),"Trường Đại học Nguyễn Tất Thành")</f>
        <v>Trường Đại học Nguyễn Tất Thành</v>
      </c>
      <c r="F104" s="4" t="str">
        <f>IFERROR(__xludf.DUMMYFUNCTION("""COMPUTED_VALUE"""),"KTE2026-103.png")</f>
        <v>KTE2026-103.png</v>
      </c>
    </row>
    <row r="105">
      <c r="A105" s="4" t="str">
        <f>IFERROR(__xludf.DUMMYFUNCTION("""COMPUTED_VALUE"""),"KTE2026-104")</f>
        <v>KTE2026-104</v>
      </c>
      <c r="B105" s="4" t="str">
        <f>IFERROR(__xludf.DUMMYFUNCTION("""COMPUTED_VALUE"""),"Kinh tế")</f>
        <v>Kinh tế</v>
      </c>
      <c r="C105" s="4" t="str">
        <f>IFERROR(__xludf.DUMMYFUNCTION("""COMPUTED_VALUE"""),"Ảnh hưởng của sự đa dạng hóa thu nhập đến tính ổn định tài chính của các ngân hàng TMCP Việt Nam")</f>
        <v>Ảnh hưởng của sự đa dạng hóa thu nhập đến tính ổn định tài chính của các ngân hàng TMCP Việt Nam</v>
      </c>
      <c r="D105" s="4" t="str">
        <f>IFERROR(__xludf.DUMMYFUNCTION("""COMPUTED_VALUE"""),"Đinh Văn Hiệp; Nguyễn Hoàng Long; Nguyễn Như Anh")</f>
        <v>Đinh Văn Hiệp; Nguyễn Hoàng Long; Nguyễn Như Anh</v>
      </c>
      <c r="E105" s="4" t="str">
        <f>IFERROR(__xludf.DUMMYFUNCTION("""COMPUTED_VALUE"""),"Trường Đại học Nguyễn Tất Thành")</f>
        <v>Trường Đại học Nguyễn Tất Thành</v>
      </c>
      <c r="F105" s="4" t="str">
        <f>IFERROR(__xludf.DUMMYFUNCTION("""COMPUTED_VALUE"""),"KTE2026-104.png")</f>
        <v>KTE2026-104.png</v>
      </c>
    </row>
    <row r="106">
      <c r="A106" s="4" t="str">
        <f>IFERROR(__xludf.DUMMYFUNCTION("""COMPUTED_VALUE"""),"KTE2026-105")</f>
        <v>KTE2026-105</v>
      </c>
      <c r="B106" s="4" t="str">
        <f>IFERROR(__xludf.DUMMYFUNCTION("""COMPUTED_VALUE"""),"Kinh tế")</f>
        <v>Kinh tế</v>
      </c>
      <c r="C106" s="4" t="str">
        <f>IFERROR(__xludf.DUMMYFUNCTION("""COMPUTED_VALUE"""),"Ảnh hưởng của quản trị công ty và quản trị lợi nhuận đến thông tin bất cân xứng của các công ty niêm yết trên HOSE")</f>
        <v>Ảnh hưởng của quản trị công ty và quản trị lợi nhuận đến thông tin bất cân xứng của các công ty niêm yết trên HOSE</v>
      </c>
      <c r="D106" s="4" t="str">
        <f>IFERROR(__xludf.DUMMYFUNCTION("""COMPUTED_VALUE"""),"Nguyễn Hoàng Long; Đinh Văn Hiệp; Nguyễn Như Anh")</f>
        <v>Nguyễn Hoàng Long; Đinh Văn Hiệp; Nguyễn Như Anh</v>
      </c>
      <c r="E106" s="4" t="str">
        <f>IFERROR(__xludf.DUMMYFUNCTION("""COMPUTED_VALUE"""),"Trường Đại học Nguyễn Tất Thành")</f>
        <v>Trường Đại học Nguyễn Tất Thành</v>
      </c>
      <c r="F106" s="4" t="str">
        <f>IFERROR(__xludf.DUMMYFUNCTION("""COMPUTED_VALUE"""),"KTE2026-105.png")</f>
        <v>KTE2026-105.png</v>
      </c>
    </row>
    <row r="107">
      <c r="A107" s="4" t="str">
        <f>IFERROR(__xludf.DUMMYFUNCTION("""COMPUTED_VALUE"""),"KTE2026-106")</f>
        <v>KTE2026-106</v>
      </c>
      <c r="B107" s="4" t="str">
        <f>IFERROR(__xludf.DUMMYFUNCTION("""COMPUTED_VALUE"""),"Kinh tế")</f>
        <v>Kinh tế</v>
      </c>
      <c r="C107" s="4" t="str">
        <f>IFERROR(__xludf.DUMMYFUNCTION("""COMPUTED_VALUE"""),"Các yếu tố ảnh hưởng đến hiệu quả hoạt động tài chính của các công ty ngành vận tải và logistics niêm yết trên thị trường chứng khoán Việt Nam")</f>
        <v>Các yếu tố ảnh hưởng đến hiệu quả hoạt động tài chính của các công ty ngành vận tải và logistics niêm yết trên thị trường chứng khoán Việt Nam</v>
      </c>
      <c r="D107" s="4" t="str">
        <f>IFERROR(__xludf.DUMMYFUNCTION("""COMPUTED_VALUE"""),"Nguyễn Như Anh; Đinh Văn Hiệp; Nguyễn Hoàng Long")</f>
        <v>Nguyễn Như Anh; Đinh Văn Hiệp; Nguyễn Hoàng Long</v>
      </c>
      <c r="E107" s="4" t="str">
        <f>IFERROR(__xludf.DUMMYFUNCTION("""COMPUTED_VALUE"""),"Trường Đại học Nguyễn Tất Thành")</f>
        <v>Trường Đại học Nguyễn Tất Thành</v>
      </c>
      <c r="F107" s="4" t="str">
        <f>IFERROR(__xludf.DUMMYFUNCTION("""COMPUTED_VALUE"""),"KTE2026-106.png")</f>
        <v>KTE2026-106.png</v>
      </c>
    </row>
    <row r="108">
      <c r="A108" s="4" t="str">
        <f>IFERROR(__xludf.DUMMYFUNCTION("""COMPUTED_VALUE"""),"KTE2026-107")</f>
        <v>KTE2026-107</v>
      </c>
      <c r="B108" s="4" t="str">
        <f>IFERROR(__xludf.DUMMYFUNCTION("""COMPUTED_VALUE"""),"Kinh tế")</f>
        <v>Kinh tế</v>
      </c>
      <c r="C108" s="4" t="str">
        <f>IFERROR(__xludf.DUMMYFUNCTION("""COMPUTED_VALUE"""),"Ảnh hưởng của nhận thức ESG và đầu tư bền vững đến ý định đầu tư của nhà đầu tư cá nhân tại TP.HCM")</f>
        <v>Ảnh hưởng của nhận thức ESG và đầu tư bền vững đến ý định đầu tư của nhà đầu tư cá nhân tại TP.HCM</v>
      </c>
      <c r="D108" s="4" t="str">
        <f>IFERROR(__xludf.DUMMYFUNCTION("""COMPUTED_VALUE"""),"Bùi Trần Thanh Tuyền")</f>
        <v>Bùi Trần Thanh Tuyền</v>
      </c>
      <c r="E108" s="4" t="str">
        <f>IFERROR(__xludf.DUMMYFUNCTION("""COMPUTED_VALUE"""),"Trường Đại học Nguyễn Tất Thành")</f>
        <v>Trường Đại học Nguyễn Tất Thành</v>
      </c>
      <c r="F108" s="4" t="str">
        <f>IFERROR(__xludf.DUMMYFUNCTION("""COMPUTED_VALUE"""),"KTE2026-107.png")</f>
        <v>KTE2026-107.png</v>
      </c>
    </row>
    <row r="109">
      <c r="A109" s="4" t="str">
        <f>IFERROR(__xludf.DUMMYFUNCTION("""COMPUTED_VALUE"""),"KTE2026-108")</f>
        <v>KTE2026-108</v>
      </c>
      <c r="B109" s="4" t="str">
        <f>IFERROR(__xludf.DUMMYFUNCTION("""COMPUTED_VALUE"""),"Kinh tế")</f>
        <v>Kinh tế</v>
      </c>
      <c r="C109" s="4" t="str">
        <f>IFERROR(__xludf.DUMMYFUNCTION("""COMPUTED_VALUE"""),"The impact of geopolitical risk on financial development: The moderating role of natural resources")</f>
        <v>The impact of geopolitical risk on financial development: The moderating role of natural resources</v>
      </c>
      <c r="D109" s="4" t="str">
        <f>IFERROR(__xludf.DUMMYFUNCTION("""COMPUTED_VALUE"""),"Nguyễn Văn Tuấn Đạt")</f>
        <v>Nguyễn Văn Tuấn Đạt</v>
      </c>
      <c r="E109" s="4" t="str">
        <f>IFERROR(__xludf.DUMMYFUNCTION("""COMPUTED_VALUE"""),"Đại học Phenikaa")</f>
        <v>Đại học Phenikaa</v>
      </c>
      <c r="F109" s="4" t="str">
        <f>IFERROR(__xludf.DUMMYFUNCTION("""COMPUTED_VALUE"""),"KTE2026-108.png")</f>
        <v>KTE2026-108.png</v>
      </c>
    </row>
    <row r="110">
      <c r="A110" s="4" t="str">
        <f>IFERROR(__xludf.DUMMYFUNCTION("""COMPUTED_VALUE"""),"KTE2026-109")</f>
        <v>KTE2026-109</v>
      </c>
      <c r="B110" s="4" t="str">
        <f>IFERROR(__xludf.DUMMYFUNCTION("""COMPUTED_VALUE"""),"Kinh tế")</f>
        <v>Kinh tế</v>
      </c>
      <c r="C110" s="4" t="str">
        <f>IFERROR(__xludf.DUMMYFUNCTION("""COMPUTED_VALUE"""),"Ảnh hưởng của cấu trúc vốn và hiệu quả hoạt động đến rủi ro phá sản của các doanh nghiệp phi tài chính niêm yết tại Việt Nam")</f>
        <v>Ảnh hưởng của cấu trúc vốn và hiệu quả hoạt động đến rủi ro phá sản của các doanh nghiệp phi tài chính niêm yết tại Việt Nam</v>
      </c>
      <c r="D110" s="4" t="str">
        <f>IFERROR(__xludf.DUMMYFUNCTION("""COMPUTED_VALUE"""),"Nguyễn Thị Ngọc Anh; Nguyễn Khánh Linh; Nguyễn Diệu Anh; Phạm Hoàng Quân")</f>
        <v>Nguyễn Thị Ngọc Anh; Nguyễn Khánh Linh; Nguyễn Diệu Anh; Phạm Hoàng Quân</v>
      </c>
      <c r="E110" s="4" t="str">
        <f>IFERROR(__xludf.DUMMYFUNCTION("""COMPUTED_VALUE"""),"Đại học Phenikaa")</f>
        <v>Đại học Phenikaa</v>
      </c>
      <c r="F110" s="4" t="str">
        <f>IFERROR(__xludf.DUMMYFUNCTION("""COMPUTED_VALUE"""),"KTE2026-109.png")</f>
        <v>KTE2026-109.png</v>
      </c>
    </row>
    <row r="111">
      <c r="A111" s="4" t="str">
        <f>IFERROR(__xludf.DUMMYFUNCTION("""COMPUTED_VALUE"""),"KTE2026-110")</f>
        <v>KTE2026-110</v>
      </c>
      <c r="B111" s="4" t="str">
        <f>IFERROR(__xludf.DUMMYFUNCTION("""COMPUTED_VALUE"""),"Kinh tế")</f>
        <v>Kinh tế</v>
      </c>
      <c r="C111" s="4" t="str">
        <f>IFERROR(__xludf.DUMMYFUNCTION("""COMPUTED_VALUE"""),"The impact of FTSE Russell market reclassification on stock returns and volatility: Evidence from Vietnam")</f>
        <v>The impact of FTSE Russell market reclassification on stock returns and volatility: Evidence from Vietnam</v>
      </c>
      <c r="D111" s="4" t="str">
        <f>IFERROR(__xludf.DUMMYFUNCTION("""COMPUTED_VALUE"""),"Nguyễn Mạnh Tiến; Nguyễn Phương Thảo; Phạm Thị Minh Thủy; Tạ Thị Thanh Thảo; Đào Huy Phúc")</f>
        <v>Nguyễn Mạnh Tiến; Nguyễn Phương Thảo; Phạm Thị Minh Thủy; Tạ Thị Thanh Thảo; Đào Huy Phúc</v>
      </c>
      <c r="E111" s="4" t="str">
        <f>IFERROR(__xludf.DUMMYFUNCTION("""COMPUTED_VALUE"""),"Trường Quốc tế, ĐHQG Hà Nội")</f>
        <v>Trường Quốc tế, ĐHQG Hà Nội</v>
      </c>
      <c r="F111" s="4" t="str">
        <f>IFERROR(__xludf.DUMMYFUNCTION("""COMPUTED_VALUE"""),"KTE2026-110.png")</f>
        <v>KTE2026-110.png</v>
      </c>
    </row>
    <row r="112">
      <c r="A112" s="4" t="str">
        <f>IFERROR(__xludf.DUMMYFUNCTION("""COMPUTED_VALUE"""),"KTE2026-111")</f>
        <v>KTE2026-111</v>
      </c>
      <c r="B112" s="4" t="str">
        <f>IFERROR(__xludf.DUMMYFUNCTION("""COMPUTED_VALUE"""),"Kinh tế")</f>
        <v>Kinh tế</v>
      </c>
      <c r="C112" s="4" t="str">
        <f>IFERROR(__xludf.DUMMYFUNCTION("""COMPUTED_VALUE"""),"Key determinants of EUA price dynamics in the EU emissions trading system")</f>
        <v>Key determinants of EUA price dynamics in the EU emissions trading system</v>
      </c>
      <c r="D112" s="4" t="str">
        <f>IFERROR(__xludf.DUMMYFUNCTION("""COMPUTED_VALUE"""),"Đặng Mỹ Ngọc; Vũ Hải Nam")</f>
        <v>Đặng Mỹ Ngọc; Vũ Hải Nam</v>
      </c>
      <c r="E112" s="4" t="str">
        <f>IFERROR(__xludf.DUMMYFUNCTION("""COMPUTED_VALUE"""),"Trường Quốc tế, ĐHQG Hà Nội")</f>
        <v>Trường Quốc tế, ĐHQG Hà Nội</v>
      </c>
      <c r="F112" s="4" t="str">
        <f>IFERROR(__xludf.DUMMYFUNCTION("""COMPUTED_VALUE"""),"KTE2026-111.png")</f>
        <v>KTE2026-111.png</v>
      </c>
    </row>
    <row r="113">
      <c r="A113" s="4" t="str">
        <f>IFERROR(__xludf.DUMMYFUNCTION("""COMPUTED_VALUE"""),"KTE2026-112")</f>
        <v>KTE2026-112</v>
      </c>
      <c r="B113" s="4" t="str">
        <f>IFERROR(__xludf.DUMMYFUNCTION("""COMPUTED_VALUE"""),"Kinh tế")</f>
        <v>Kinh tế</v>
      </c>
      <c r="C113" s="4" t="str">
        <f>IFERROR(__xludf.DUMMYFUNCTION("""COMPUTED_VALUE"""),"Trade credit and sustainable growth - evidence from Vietnamese listed firms")</f>
        <v>Trade credit and sustainable growth - evidence from Vietnamese listed firms</v>
      </c>
      <c r="D113" s="4" t="str">
        <f>IFERROR(__xludf.DUMMYFUNCTION("""COMPUTED_VALUE"""),"Nguyễn Thu Hiền; Nguyễn Hải Anh; Trần Thị Thuỳ Dương; Hoàng Khánh Hà")</f>
        <v>Nguyễn Thu Hiền; Nguyễn Hải Anh; Trần Thị Thuỳ Dương; Hoàng Khánh Hà</v>
      </c>
      <c r="E113" s="4" t="str">
        <f>IFERROR(__xludf.DUMMYFUNCTION("""COMPUTED_VALUE"""),"Trường Quốc tế, ĐHQG Hà Nội")</f>
        <v>Trường Quốc tế, ĐHQG Hà Nội</v>
      </c>
      <c r="F113" s="4" t="str">
        <f>IFERROR(__xludf.DUMMYFUNCTION("""COMPUTED_VALUE"""),"KTE2026-112.png")</f>
        <v>KTE2026-112.png</v>
      </c>
    </row>
    <row r="114">
      <c r="A114" s="4" t="str">
        <f>IFERROR(__xludf.DUMMYFUNCTION("""COMPUTED_VALUE"""),"KTE2026-113")</f>
        <v>KTE2026-113</v>
      </c>
      <c r="B114" s="4" t="str">
        <f>IFERROR(__xludf.DUMMYFUNCTION("""COMPUTED_VALUE"""),"Kinh tế")</f>
        <v>Kinh tế</v>
      </c>
      <c r="C114" s="4" t="str">
        <f>IFERROR(__xludf.DUMMYFUNCTION("""COMPUTED_VALUE"""),"Nghiên cứu các yếu tố ảnh hưởng đến hành vi quản lý tài chính cá nhân và sự tác động đến sức khỏe tài chính của sinh viên các trường đại học tại thành phố Hồ Chí Minh")</f>
        <v>Nghiên cứu các yếu tố ảnh hưởng đến hành vi quản lý tài chính cá nhân và sự tác động đến sức khỏe tài chính của sinh viên các trường đại học tại thành phố Hồ Chí Minh</v>
      </c>
      <c r="D114" s="4" t="str">
        <f>IFERROR(__xludf.DUMMYFUNCTION("""COMPUTED_VALUE"""),"Lý Quỳnh Thảo Nguyên; Nguyễn Hà My; Võ Anh Nguyên; Huỳnh Thị Ngọc Vi; Lê Mai Tường Vy")</f>
        <v>Lý Quỳnh Thảo Nguyên; Nguyễn Hà My; Võ Anh Nguyên; Huỳnh Thị Ngọc Vi; Lê Mai Tường Vy</v>
      </c>
      <c r="E114" s="4" t="str">
        <f>IFERROR(__xludf.DUMMYFUNCTION("""COMPUTED_VALUE"""),"Trường Đại học Công nghiệp TP. Hồ Chí Minh")</f>
        <v>Trường Đại học Công nghiệp TP. Hồ Chí Minh</v>
      </c>
      <c r="F114" s="4" t="str">
        <f>IFERROR(__xludf.DUMMYFUNCTION("""COMPUTED_VALUE"""),"KTE2026-113.png")</f>
        <v>KTE2026-113.png</v>
      </c>
    </row>
    <row r="115">
      <c r="A115" s="4" t="str">
        <f>IFERROR(__xludf.DUMMYFUNCTION("""COMPUTED_VALUE"""),"KTE2026-114")</f>
        <v>KTE2026-114</v>
      </c>
      <c r="B115" s="4" t="str">
        <f>IFERROR(__xludf.DUMMYFUNCTION("""COMPUTED_VALUE"""),"Kinh tế")</f>
        <v>Kinh tế</v>
      </c>
      <c r="C115" s="4" t="str">
        <f>IFERROR(__xludf.DUMMYFUNCTION("""COMPUTED_VALUE"""),"Tác động của AI đến sự thay đổi nghề nghiệp kế toán và kiểm toán: Vai trò trung gian của tự động hóa")</f>
        <v>Tác động của AI đến sự thay đổi nghề nghiệp kế toán và kiểm toán: Vai trò trung gian của tự động hóa</v>
      </c>
      <c r="D115" s="4" t="str">
        <f>IFERROR(__xludf.DUMMYFUNCTION("""COMPUTED_VALUE"""),"Lê Ngọc Ánh; Lâm Ngọc Linh; Cấn Thị Xuân Mai; Lâm Thị Phương Hoa; Trần Ngọc Nhi")</f>
        <v>Lê Ngọc Ánh; Lâm Ngọc Linh; Cấn Thị Xuân Mai; Lâm Thị Phương Hoa; Trần Ngọc Nhi</v>
      </c>
      <c r="E115" s="4" t="str">
        <f>IFERROR(__xludf.DUMMYFUNCTION("""COMPUTED_VALUE"""),"Trường Đại học Thăng Long")</f>
        <v>Trường Đại học Thăng Long</v>
      </c>
      <c r="F115" s="4" t="str">
        <f>IFERROR(__xludf.DUMMYFUNCTION("""COMPUTED_VALUE"""),"KTE2026-114.png")</f>
        <v>KTE2026-114.png</v>
      </c>
    </row>
    <row r="116">
      <c r="A116" s="4" t="str">
        <f>IFERROR(__xludf.DUMMYFUNCTION("""COMPUTED_VALUE"""),"KTE2026-115")</f>
        <v>KTE2026-115</v>
      </c>
      <c r="B116" s="4" t="str">
        <f>IFERROR(__xludf.DUMMYFUNCTION("""COMPUTED_VALUE"""),"Kinh tế")</f>
        <v>Kinh tế</v>
      </c>
      <c r="C116" s="4" t="str">
        <f>IFERROR(__xludf.DUMMYFUNCTION("""COMPUTED_VALUE"""),"Chính sách chi tiêu công đối với giảm nghèo bền vững ở Việt Nam")</f>
        <v>Chính sách chi tiêu công đối với giảm nghèo bền vững ở Việt Nam</v>
      </c>
      <c r="D116" s="4" t="str">
        <f>IFERROR(__xludf.DUMMYFUNCTION("""COMPUTED_VALUE"""),"Đặng Ngọc Anh; Vũ Minh Hằng; Lại Anh Đào; Nguyễn Ngọc Thảo Anh; Dương Trần Phương Linh")</f>
        <v>Đặng Ngọc Anh; Vũ Minh Hằng; Lại Anh Đào; Nguyễn Ngọc Thảo Anh; Dương Trần Phương Linh</v>
      </c>
      <c r="E116" s="4" t="str">
        <f>IFERROR(__xludf.DUMMYFUNCTION("""COMPUTED_VALUE"""),"Học viện Tài chính")</f>
        <v>Học viện Tài chính</v>
      </c>
      <c r="F116" s="4" t="str">
        <f>IFERROR(__xludf.DUMMYFUNCTION("""COMPUTED_VALUE"""),"KTE2026-115.png")</f>
        <v>KTE2026-115.png</v>
      </c>
    </row>
    <row r="117">
      <c r="A117" s="4" t="str">
        <f>IFERROR(__xludf.DUMMYFUNCTION("""COMPUTED_VALUE"""),"KTE2026-116")</f>
        <v>KTE2026-116</v>
      </c>
      <c r="B117" s="4" t="str">
        <f>IFERROR(__xludf.DUMMYFUNCTION("""COMPUTED_VALUE"""),"Kinh tế")</f>
        <v>Kinh tế</v>
      </c>
      <c r="C117" s="4" t="str">
        <f>IFERROR(__xludf.DUMMYFUNCTION("""COMPUTED_VALUE"""),"Tác động của tăng trưởng xanh, FDI và tài chính xanh lên phát thải CO2 ở các nước Đông Nam Á")</f>
        <v>Tác động của tăng trưởng xanh, FDI và tài chính xanh lên phát thải CO2 ở các nước Đông Nam Á</v>
      </c>
      <c r="D117" s="4" t="str">
        <f>IFERROR(__xludf.DUMMYFUNCTION("""COMPUTED_VALUE"""),"Nguyễn Thanh Phương; Nguyễn Thị Xuân Mai; Giang Nhật Minh; Vũ Lê Xuân Nhi; Hồ Khánh Như")</f>
        <v>Nguyễn Thanh Phương; Nguyễn Thị Xuân Mai; Giang Nhật Minh; Vũ Lê Xuân Nhi; Hồ Khánh Như</v>
      </c>
      <c r="E117" s="4" t="str">
        <f>IFERROR(__xludf.DUMMYFUNCTION("""COMPUTED_VALUE"""),"Trường Đại học Mở TP. Hồ Chí Minh")</f>
        <v>Trường Đại học Mở TP. Hồ Chí Minh</v>
      </c>
      <c r="F117" s="4" t="str">
        <f>IFERROR(__xludf.DUMMYFUNCTION("""COMPUTED_VALUE"""),"KTE2026-116.png")</f>
        <v>KTE2026-116.png</v>
      </c>
    </row>
    <row r="118">
      <c r="A118" s="4" t="str">
        <f>IFERROR(__xludf.DUMMYFUNCTION("""COMPUTED_VALUE"""),"KTE2026-117")</f>
        <v>KTE2026-117</v>
      </c>
      <c r="B118" s="4" t="str">
        <f>IFERROR(__xludf.DUMMYFUNCTION("""COMPUTED_VALUE"""),"Kinh tế")</f>
        <v>Kinh tế</v>
      </c>
      <c r="C118" s="4" t="str">
        <f>IFERROR(__xludf.DUMMYFUNCTION("""COMPUTED_VALUE"""),"Quản trị công ty và điểm số ESG: Vai trò điều tiết của chất lượng quy định pháp lý tại các nước mới nổi")</f>
        <v>Quản trị công ty và điểm số ESG: Vai trò điều tiết của chất lượng quy định pháp lý tại các nước mới nổi</v>
      </c>
      <c r="D118" s="4" t="str">
        <f>IFERROR(__xludf.DUMMYFUNCTION("""COMPUTED_VALUE"""),"Nguyễn Quỳnh Vy Thảo; Phạm Thị Mai Thương; Nguyễn Ngọc Phương Thanh; Lê Thanh Ngân")</f>
        <v>Nguyễn Quỳnh Vy Thảo; Phạm Thị Mai Thương; Nguyễn Ngọc Phương Thanh; Lê Thanh Ngân</v>
      </c>
      <c r="E118" s="4" t="str">
        <f>IFERROR(__xludf.DUMMYFUNCTION("""COMPUTED_VALUE"""),"Trường Đại học Công nghiệp TP. Hồ Chí Minh")</f>
        <v>Trường Đại học Công nghiệp TP. Hồ Chí Minh</v>
      </c>
      <c r="F118" s="4" t="str">
        <f>IFERROR(__xludf.DUMMYFUNCTION("""COMPUTED_VALUE"""),"KTE2026-117.png")</f>
        <v>KTE2026-117.png</v>
      </c>
    </row>
    <row r="119">
      <c r="A119" s="4" t="str">
        <f>IFERROR(__xludf.DUMMYFUNCTION("""COMPUTED_VALUE"""),"KTE2026-118")</f>
        <v>KTE2026-118</v>
      </c>
      <c r="B119" s="4" t="str">
        <f>IFERROR(__xludf.DUMMYFUNCTION("""COMPUTED_VALUE"""),"Kinh tế")</f>
        <v>Kinh tế</v>
      </c>
      <c r="C119" s="4" t="str">
        <f>IFERROR(__xludf.DUMMYFUNCTION("""COMPUTED_VALUE"""),"Nghiên cứu các nhân tố tác động đến chất lượng thông tin kế toán của các doanh nghiệp khu vực xã Phú Quới, tỉnh Vĩnh Long")</f>
        <v>Nghiên cứu các nhân tố tác động đến chất lượng thông tin kế toán của các doanh nghiệp khu vực xã Phú Quới, tỉnh Vĩnh Long</v>
      </c>
      <c r="D119" s="4" t="str">
        <f>IFERROR(__xludf.DUMMYFUNCTION("""COMPUTED_VALUE"""),"Phạm Ngọc Tím")</f>
        <v>Phạm Ngọc Tím</v>
      </c>
      <c r="E119" s="4" t="str">
        <f>IFERROR(__xludf.DUMMYFUNCTION("""COMPUTED_VALUE"""),"Trường Đại học Cửu Long")</f>
        <v>Trường Đại học Cửu Long</v>
      </c>
      <c r="F119" s="4" t="str">
        <f>IFERROR(__xludf.DUMMYFUNCTION("""COMPUTED_VALUE"""),"KTE2026-118.png")</f>
        <v>KTE2026-118.png</v>
      </c>
    </row>
    <row r="120">
      <c r="A120" s="4" t="str">
        <f>IFERROR(__xludf.DUMMYFUNCTION("""COMPUTED_VALUE"""),"KTE2026-119")</f>
        <v>KTE2026-119</v>
      </c>
      <c r="B120" s="4" t="str">
        <f>IFERROR(__xludf.DUMMYFUNCTION("""COMPUTED_VALUE"""),"Kinh tế")</f>
        <v>Kinh tế</v>
      </c>
      <c r="C120" s="4" t="str">
        <f>IFERROR(__xludf.DUMMYFUNCTION("""COMPUTED_VALUE"""),"Mức độ sẵn sàng sử dụng trí tuệ nhân tạo (AI) trong quản lý tài chính cá nhân của sinh viên tại thành phố Hồ Chí Minh")</f>
        <v>Mức độ sẵn sàng sử dụng trí tuệ nhân tạo (AI) trong quản lý tài chính cá nhân của sinh viên tại thành phố Hồ Chí Minh</v>
      </c>
      <c r="D120" s="4" t="str">
        <f>IFERROR(__xludf.DUMMYFUNCTION("""COMPUTED_VALUE"""),"Đỗ Đăng Hoàng Phúc; Nguyễn Thị Anh Thư; Nguyễn Bùi Cẩm Tiên; Huỳnh Bảo Tiên; Nguyễn Huỳnh Sông Lam")</f>
        <v>Đỗ Đăng Hoàng Phúc; Nguyễn Thị Anh Thư; Nguyễn Bùi Cẩm Tiên; Huỳnh Bảo Tiên; Nguyễn Huỳnh Sông Lam</v>
      </c>
      <c r="E120" s="4" t="str">
        <f>IFERROR(__xludf.DUMMYFUNCTION("""COMPUTED_VALUE"""),"Trường Đại học Văn Lang")</f>
        <v>Trường Đại học Văn Lang</v>
      </c>
      <c r="F120" s="4" t="str">
        <f>IFERROR(__xludf.DUMMYFUNCTION("""COMPUTED_VALUE"""),"KTE2026-119.png")</f>
        <v>KTE2026-119.png</v>
      </c>
    </row>
    <row r="121">
      <c r="A121" s="4" t="str">
        <f>IFERROR(__xludf.DUMMYFUNCTION("""COMPUTED_VALUE"""),"KTE2026-120")</f>
        <v>KTE2026-120</v>
      </c>
      <c r="B121" s="4" t="str">
        <f>IFERROR(__xludf.DUMMYFUNCTION("""COMPUTED_VALUE"""),"Kinh tế")</f>
        <v>Kinh tế</v>
      </c>
      <c r="C121" s="4" t="str">
        <f>IFERROR(__xludf.DUMMYFUNCTION("""COMPUTED_VALUE"""),"Các yếu tố ảnh hưởng đến hành vi tiêu dùng xanh của thế hệ z và thực hành tái sử dụng tài nguyên trong mô hình kinh tế tuần hoàn")</f>
        <v>Các yếu tố ảnh hưởng đến hành vi tiêu dùng xanh của thế hệ z và thực hành tái sử dụng tài nguyên trong mô hình kinh tế tuần hoàn</v>
      </c>
      <c r="D121" s="4" t="str">
        <f>IFERROR(__xludf.DUMMYFUNCTION("""COMPUTED_VALUE"""),"Nguyễn Thanh Tùng; Thái An Khang; Đinh Quốc Hạo")</f>
        <v>Nguyễn Thanh Tùng; Thái An Khang; Đinh Quốc Hạo</v>
      </c>
      <c r="E121" s="4" t="str">
        <f>IFERROR(__xludf.DUMMYFUNCTION("""COMPUTED_VALUE"""),"Trường Đại học Văn Lang")</f>
        <v>Trường Đại học Văn Lang</v>
      </c>
      <c r="F121" s="4" t="str">
        <f>IFERROR(__xludf.DUMMYFUNCTION("""COMPUTED_VALUE"""),"KTE2026-120.png")</f>
        <v>KTE2026-120.png</v>
      </c>
    </row>
    <row r="122">
      <c r="A122" s="4" t="str">
        <f>IFERROR(__xludf.DUMMYFUNCTION("""COMPUTED_VALUE"""),"KTE2026-121")</f>
        <v>KTE2026-121</v>
      </c>
      <c r="B122" s="4" t="str">
        <f>IFERROR(__xludf.DUMMYFUNCTION("""COMPUTED_VALUE"""),"Kinh tế")</f>
        <v>Kinh tế</v>
      </c>
      <c r="C122" s="4" t="str">
        <f>IFERROR(__xludf.DUMMYFUNCTION("""COMPUTED_VALUE"""),"Finwise AI - ứng dụng AI hỗ trợ quy hoạch tài chính và tư vấn đầu tư cá nhân tại Việt Nam")</f>
        <v>Finwise AI - ứng dụng AI hỗ trợ quy hoạch tài chính và tư vấn đầu tư cá nhân tại Việt Nam</v>
      </c>
      <c r="D122" s="4" t="str">
        <f>IFERROR(__xludf.DUMMYFUNCTION("""COMPUTED_VALUE"""),"Nguyễn Thu Hương; Phạm Hoàng Phi; Nguyễn Thị Thu Trang")</f>
        <v>Nguyễn Thu Hương; Phạm Hoàng Phi; Nguyễn Thị Thu Trang</v>
      </c>
      <c r="E122" s="4" t="str">
        <f>IFERROR(__xludf.DUMMYFUNCTION("""COMPUTED_VALUE"""),"Trường Đại học Văn Lang")</f>
        <v>Trường Đại học Văn Lang</v>
      </c>
      <c r="F122" s="4" t="str">
        <f>IFERROR(__xludf.DUMMYFUNCTION("""COMPUTED_VALUE"""),"KTE2026-121.png")</f>
        <v>KTE2026-121.png</v>
      </c>
    </row>
    <row r="123">
      <c r="A123" s="4" t="str">
        <f>IFERROR(__xludf.DUMMYFUNCTION("""COMPUTED_VALUE"""),"KTE2026-122")</f>
        <v>KTE2026-122</v>
      </c>
      <c r="B123" s="4" t="str">
        <f>IFERROR(__xludf.DUMMYFUNCTION("""COMPUTED_VALUE"""),"Kinh tế")</f>
        <v>Kinh tế</v>
      </c>
      <c r="C123" s="4" t="str">
        <f>IFERROR(__xludf.DUMMYFUNCTION("""COMPUTED_VALUE"""),"Phát triển nền tảng web TuVanAI ứng dụng trí tuệ nhân tạo hỗ trợ phân tích báo cáo tài chính tiếng việt cho doanh nghiệp nhỏ và nhà đầu tư cá nhân tại Việt Nam")</f>
        <v>Phát triển nền tảng web TuVanAI ứng dụng trí tuệ nhân tạo hỗ trợ phân tích báo cáo tài chính tiếng việt cho doanh nghiệp nhỏ và nhà đầu tư cá nhân tại Việt Nam</v>
      </c>
      <c r="D123" s="4" t="str">
        <f>IFERROR(__xludf.DUMMYFUNCTION("""COMPUTED_VALUE"""),"Nguyễn Nhã Trân; Phạm Hoàng Phi; Nguyễn Thị Thu Trang; Nguyễn Sang Doanh Doanh; Võ Huy Hoàng")</f>
        <v>Nguyễn Nhã Trân; Phạm Hoàng Phi; Nguyễn Thị Thu Trang; Nguyễn Sang Doanh Doanh; Võ Huy Hoàng</v>
      </c>
      <c r="E123" s="4" t="str">
        <f>IFERROR(__xludf.DUMMYFUNCTION("""COMPUTED_VALUE"""),"Trường Đại học Văn Lang")</f>
        <v>Trường Đại học Văn Lang</v>
      </c>
      <c r="F123" s="4" t="str">
        <f>IFERROR(__xludf.DUMMYFUNCTION("""COMPUTED_VALUE"""),"KTE2026-122.png")</f>
        <v>KTE2026-122.png</v>
      </c>
    </row>
    <row r="124">
      <c r="A124" s="4" t="str">
        <f>IFERROR(__xludf.DUMMYFUNCTION("""COMPUTED_VALUE"""),"KTE2026-123")</f>
        <v>KTE2026-123</v>
      </c>
      <c r="B124" s="4" t="str">
        <f>IFERROR(__xludf.DUMMYFUNCTION("""COMPUTED_VALUE"""),"Kinh tế")</f>
        <v>Kinh tế</v>
      </c>
      <c r="C124" s="4" t="str">
        <f>IFERROR(__xludf.DUMMYFUNCTION("""COMPUTED_VALUE"""),"Nghiên cứu các yếu tố ảnh hưởng đến khả năng tự bảo vệ trước lừa đảo tài chính số của sinh viên DNTU và đề xuất mô hình ứng dụng ScamCheck")</f>
        <v>Nghiên cứu các yếu tố ảnh hưởng đến khả năng tự bảo vệ trước lừa đảo tài chính số của sinh viên DNTU và đề xuất mô hình ứng dụng ScamCheck</v>
      </c>
      <c r="D124" s="4" t="str">
        <f>IFERROR(__xludf.DUMMYFUNCTION("""COMPUTED_VALUE"""),"Đỗ Ngọc Thanh Trúc; Lê Tuấn Anh; Phan Thị Kim Khuyên")</f>
        <v>Đỗ Ngọc Thanh Trúc; Lê Tuấn Anh; Phan Thị Kim Khuyên</v>
      </c>
      <c r="E124" s="4" t="str">
        <f>IFERROR(__xludf.DUMMYFUNCTION("""COMPUTED_VALUE"""),"Trường Đại học Công nghệ Đồng Nai")</f>
        <v>Trường Đại học Công nghệ Đồng Nai</v>
      </c>
      <c r="F124" s="4" t="str">
        <f>IFERROR(__xludf.DUMMYFUNCTION("""COMPUTED_VALUE"""),"KTE2026-123.png")</f>
        <v>KTE2026-123.png</v>
      </c>
    </row>
    <row r="125">
      <c r="A125" s="4" t="str">
        <f>IFERROR(__xludf.DUMMYFUNCTION("""COMPUTED_VALUE"""),"KTE2026-124")</f>
        <v>KTE2026-124</v>
      </c>
      <c r="B125" s="4" t="str">
        <f>IFERROR(__xludf.DUMMYFUNCTION("""COMPUTED_VALUE"""),"Kinh tế")</f>
        <v>Kinh tế</v>
      </c>
      <c r="C125" s="4" t="str">
        <f>IFERROR(__xludf.DUMMYFUNCTION("""COMPUTED_VALUE"""),"Tác động của tài chính xanh đến hiệu quả doanh nghiệp thông qua logistics xanh: Nghiên cứu tại các doanh nghiệp trên địa bàn thành phố Đồng Nai")</f>
        <v>Tác động của tài chính xanh đến hiệu quả doanh nghiệp thông qua logistics xanh: Nghiên cứu tại các doanh nghiệp trên địa bàn thành phố Đồng Nai</v>
      </c>
      <c r="D125" s="4" t="str">
        <f>IFERROR(__xludf.DUMMYFUNCTION("""COMPUTED_VALUE"""),"Phạm Anh Thư; Trần Đinh Kim Huệ; Lư Hoàng Ánh; Nguyễn Quang Vinh; Trần Đoàn Phương Uyên")</f>
        <v>Phạm Anh Thư; Trần Đinh Kim Huệ; Lư Hoàng Ánh; Nguyễn Quang Vinh; Trần Đoàn Phương Uyên</v>
      </c>
      <c r="E125" s="4" t="str">
        <f>IFERROR(__xludf.DUMMYFUNCTION("""COMPUTED_VALUE"""),"Trường Đại học Công nghệ Đồng Nai")</f>
        <v>Trường Đại học Công nghệ Đồng Nai</v>
      </c>
      <c r="F125" s="4" t="str">
        <f>IFERROR(__xludf.DUMMYFUNCTION("""COMPUTED_VALUE"""),"KTE2026-124.png")</f>
        <v>KTE2026-124.png</v>
      </c>
    </row>
    <row r="126">
      <c r="A126" s="4" t="str">
        <f>IFERROR(__xludf.DUMMYFUNCTION("""COMPUTED_VALUE"""),"KTE2026-125")</f>
        <v>KTE2026-125</v>
      </c>
      <c r="B126" s="4" t="str">
        <f>IFERROR(__xludf.DUMMYFUNCTION("""COMPUTED_VALUE"""),"Kinh tế")</f>
        <v>Kinh tế</v>
      </c>
      <c r="C126" s="4" t="str">
        <f>IFERROR(__xludf.DUMMYFUNCTION("""COMPUTED_VALUE"""),"Giải pháp tài chính xanh hỗ trợ doanh nghiệp trong các khu công nghiệp tại Đồng Nai chuyển đổi sang mô hình chuỗi cung ứng logistics ngược và cộng sinh công nghiệp")</f>
        <v>Giải pháp tài chính xanh hỗ trợ doanh nghiệp trong các khu công nghiệp tại Đồng Nai chuyển đổi sang mô hình chuỗi cung ứng logistics ngược và cộng sinh công nghiệp</v>
      </c>
      <c r="D126" s="4" t="str">
        <f>IFERROR(__xludf.DUMMYFUNCTION("""COMPUTED_VALUE"""),"Phạm Quỳnh Anh; Đặng Thị Minh Hằng; Nguyễn Cẩm Duyên; Nguyễn Hoàng Kim Phúc; Lê Phạm Tuyết Trinh")</f>
        <v>Phạm Quỳnh Anh; Đặng Thị Minh Hằng; Nguyễn Cẩm Duyên; Nguyễn Hoàng Kim Phúc; Lê Phạm Tuyết Trinh</v>
      </c>
      <c r="E126" s="4" t="str">
        <f>IFERROR(__xludf.DUMMYFUNCTION("""COMPUTED_VALUE"""),"Trường Đại học Công nghệ Đồng Nai")</f>
        <v>Trường Đại học Công nghệ Đồng Nai</v>
      </c>
      <c r="F126" s="4" t="str">
        <f>IFERROR(__xludf.DUMMYFUNCTION("""COMPUTED_VALUE"""),"KTE2026-125.png")</f>
        <v>KTE2026-125.png</v>
      </c>
    </row>
    <row r="127">
      <c r="A127" s="4" t="str">
        <f>IFERROR(__xludf.DUMMYFUNCTION("""COMPUTED_VALUE"""),"KTE2026-126")</f>
        <v>KTE2026-126</v>
      </c>
      <c r="B127" s="4" t="str">
        <f>IFERROR(__xludf.DUMMYFUNCTION("""COMPUTED_VALUE"""),"Kinh tế")</f>
        <v>Kinh tế</v>
      </c>
      <c r="C127" s="4" t="str">
        <f>IFERROR(__xludf.DUMMYFUNCTION("""COMPUTED_VALUE"""),"Nghiên cứu các nhân tố ảnh hưởng đến sử dụng dịch vụ ví điện tử trong thanh toán của người lao động tại tỉnh Vĩnh Long")</f>
        <v>Nghiên cứu các nhân tố ảnh hưởng đến sử dụng dịch vụ ví điện tử trong thanh toán của người lao động tại tỉnh Vĩnh Long</v>
      </c>
      <c r="D127" s="4" t="str">
        <f>IFERROR(__xludf.DUMMYFUNCTION("""COMPUTED_VALUE"""),"Phạm Thanh Tòng; Nguyễn Thị Mỹ Ngọc; Danh Thị Yến Quỳnh")</f>
        <v>Phạm Thanh Tòng; Nguyễn Thị Mỹ Ngọc; Danh Thị Yến Quỳnh</v>
      </c>
      <c r="E127" s="4" t="str">
        <f>IFERROR(__xludf.DUMMYFUNCTION("""COMPUTED_VALUE"""),"Trường Đại học Cửu Long")</f>
        <v>Trường Đại học Cửu Long</v>
      </c>
      <c r="F127" s="4" t="str">
        <f>IFERROR(__xludf.DUMMYFUNCTION("""COMPUTED_VALUE"""),"KTE2026-126.png")</f>
        <v>KTE2026-126.png</v>
      </c>
    </row>
    <row r="128">
      <c r="A128" s="4" t="str">
        <f>IFERROR(__xludf.DUMMYFUNCTION("""COMPUTED_VALUE"""),"KTE2026-127")</f>
        <v>KTE2026-127</v>
      </c>
      <c r="B128" s="4" t="str">
        <f>IFERROR(__xludf.DUMMYFUNCTION("""COMPUTED_VALUE"""),"Kinh tế")</f>
        <v>Kinh tế</v>
      </c>
      <c r="C128" s="4" t="str">
        <f>IFERROR(__xludf.DUMMYFUNCTION("""COMPUTED_VALUE"""),"Các nhân tố ảnh hưởng đến ý định khởi nghiệp trong lĩnh vực fintech của sinh viên trên địa bàn thành phố Hồ Chí Minh")</f>
        <v>Các nhân tố ảnh hưởng đến ý định khởi nghiệp trong lĩnh vực fintech của sinh viên trên địa bàn thành phố Hồ Chí Minh</v>
      </c>
      <c r="D128" s="4" t="str">
        <f>IFERROR(__xludf.DUMMYFUNCTION("""COMPUTED_VALUE"""),"Lê Thị Diệu; Hứa Vỹ Hà; Nguyễn Thị Hồng Diễm; Nguyễn Lữ Quỳnh Hương; Trần Ngọc Diễm Khuyên")</f>
        <v>Lê Thị Diệu; Hứa Vỹ Hà; Nguyễn Thị Hồng Diễm; Nguyễn Lữ Quỳnh Hương; Trần Ngọc Diễm Khuyên</v>
      </c>
      <c r="E128" s="4" t="str">
        <f>IFERROR(__xludf.DUMMYFUNCTION("""COMPUTED_VALUE"""),"Trường Đại học Công nghệ TP. Hồ Chí Minh")</f>
        <v>Trường Đại học Công nghệ TP. Hồ Chí Minh</v>
      </c>
      <c r="F128" s="4" t="str">
        <f>IFERROR(__xludf.DUMMYFUNCTION("""COMPUTED_VALUE"""),"KTE2026-127.png")</f>
        <v>KTE2026-127.png</v>
      </c>
    </row>
    <row r="129">
      <c r="A129" s="4" t="str">
        <f>IFERROR(__xludf.DUMMYFUNCTION("""COMPUTED_VALUE"""),"KTE2026-128")</f>
        <v>KTE2026-128</v>
      </c>
      <c r="B129" s="4" t="str">
        <f>IFERROR(__xludf.DUMMYFUNCTION("""COMPUTED_VALUE"""),"Kinh tế")</f>
        <v>Kinh tế</v>
      </c>
      <c r="C129" s="4" t="str">
        <f>IFERROR(__xludf.DUMMYFUNCTION("""COMPUTED_VALUE"""),"Các yếu tố ảnh hưởng đến việc chấp nhận và sử dụng trí tuệ nhân tạo AI trong ứng dụng thanh toán số của sinh viên tại một trường đại học trên địa bàn thành phố Hồ Chí Minh")</f>
        <v>Các yếu tố ảnh hưởng đến việc chấp nhận và sử dụng trí tuệ nhân tạo AI trong ứng dụng thanh toán số của sinh viên tại một trường đại học trên địa bàn thành phố Hồ Chí Minh</v>
      </c>
      <c r="D129" s="4" t="str">
        <f>IFERROR(__xludf.DUMMYFUNCTION("""COMPUTED_VALUE"""),"Nguyễn Thị Hồng Nhi; Đinh Trường Thịnh; Bùi Đức Duy; Võ Dương Khắc Hưng; Lê Nguyễn Khoa Thy")</f>
        <v>Nguyễn Thị Hồng Nhi; Đinh Trường Thịnh; Bùi Đức Duy; Võ Dương Khắc Hưng; Lê Nguyễn Khoa Thy</v>
      </c>
      <c r="E129" s="4" t="str">
        <f>IFERROR(__xludf.DUMMYFUNCTION("""COMPUTED_VALUE"""),"Trường Đại học Công nghệ TP. Hồ Chí Minh")</f>
        <v>Trường Đại học Công nghệ TP. Hồ Chí Minh</v>
      </c>
      <c r="F129" s="4" t="str">
        <f>IFERROR(__xludf.DUMMYFUNCTION("""COMPUTED_VALUE"""),"KTE2026-128.png")</f>
        <v>KTE2026-128.png</v>
      </c>
    </row>
    <row r="130">
      <c r="A130" s="4" t="str">
        <f>IFERROR(__xludf.DUMMYFUNCTION("""COMPUTED_VALUE"""),"KTE2026-129")</f>
        <v>KTE2026-129</v>
      </c>
      <c r="B130" s="4" t="str">
        <f>IFERROR(__xludf.DUMMYFUNCTION("""COMPUTED_VALUE"""),"Kinh tế")</f>
        <v>Kinh tế</v>
      </c>
      <c r="C130" s="4" t="str">
        <f>IFERROR(__xludf.DUMMYFUNCTION("""COMPUTED_VALUE"""),"Tác động của trí tuệ nhân tạo và chi tiêu chính phủ đến tăng trưởng kinh tế")</f>
        <v>Tác động của trí tuệ nhân tạo và chi tiêu chính phủ đến tăng trưởng kinh tế</v>
      </c>
      <c r="D130" s="4" t="str">
        <f>IFERROR(__xludf.DUMMYFUNCTION("""COMPUTED_VALUE"""),"Phan Mai Bình")</f>
        <v>Phan Mai Bình</v>
      </c>
      <c r="E130" s="4" t="str">
        <f>IFERROR(__xludf.DUMMYFUNCTION("""COMPUTED_VALUE"""),"Trường Đại học Mở TP. Hồ Chí Minh")</f>
        <v>Trường Đại học Mở TP. Hồ Chí Minh</v>
      </c>
      <c r="F130" s="4" t="str">
        <f>IFERROR(__xludf.DUMMYFUNCTION("""COMPUTED_VALUE"""),"KTE2026-129.png")</f>
        <v>KTE2026-129.png</v>
      </c>
    </row>
    <row r="131">
      <c r="A131" s="4" t="str">
        <f>IFERROR(__xludf.DUMMYFUNCTION("""COMPUTED_VALUE"""),"KTE2026-130")</f>
        <v>KTE2026-130</v>
      </c>
      <c r="B131" s="4" t="str">
        <f>IFERROR(__xludf.DUMMYFUNCTION("""COMPUTED_VALUE"""),"Kinh tế")</f>
        <v>Kinh tế</v>
      </c>
      <c r="C131" s="4" t="str">
        <f>IFERROR(__xludf.DUMMYFUNCTION("""COMPUTED_VALUE"""),"Mức độ thay đổi cơ cấu nguồn vốn và hiệu quả tài chính: Bằng chứng từ các doanh nghiệp sản xuất niêm yết tại Việt Nam")</f>
        <v>Mức độ thay đổi cơ cấu nguồn vốn và hiệu quả tài chính: Bằng chứng từ các doanh nghiệp sản xuất niêm yết tại Việt Nam</v>
      </c>
      <c r="D131" s="4" t="str">
        <f>IFERROR(__xludf.DUMMYFUNCTION("""COMPUTED_VALUE"""),"Thái Hồng Minh; Dương Quốc Trung; Trần Trường Thịnh; Hoàng Quốc Việt; Chu Thùy Dương")</f>
        <v>Thái Hồng Minh; Dương Quốc Trung; Trần Trường Thịnh; Hoàng Quốc Việt; Chu Thùy Dương</v>
      </c>
      <c r="E131" s="4" t="str">
        <f>IFERROR(__xludf.DUMMYFUNCTION("""COMPUTED_VALUE"""),"Học viện Tài chính")</f>
        <v>Học viện Tài chính</v>
      </c>
      <c r="F131" s="4" t="str">
        <f>IFERROR(__xludf.DUMMYFUNCTION("""COMPUTED_VALUE"""),"KTE2026-130.png")</f>
        <v>KTE2026-130.png</v>
      </c>
    </row>
    <row r="132">
      <c r="A132" s="4" t="str">
        <f>IFERROR(__xludf.DUMMYFUNCTION("""COMPUTED_VALUE"""),"KTE2026-131")</f>
        <v>KTE2026-131</v>
      </c>
      <c r="B132" s="4" t="str">
        <f>IFERROR(__xludf.DUMMYFUNCTION("""COMPUTED_VALUE"""),"Kinh tế")</f>
        <v>Kinh tế</v>
      </c>
      <c r="C132" s="4" t="str">
        <f>IFERROR(__xludf.DUMMYFUNCTION("""COMPUTED_VALUE"""),"Bank corporate governance, risk taking and bank performance evidence in Vietnam")</f>
        <v>Bank corporate governance, risk taking and bank performance evidence in Vietnam</v>
      </c>
      <c r="D132" s="4" t="str">
        <f>IFERROR(__xludf.DUMMYFUNCTION("""COMPUTED_VALUE"""),"Nguyễn Hà Linh; Lê Uyên Diệu Thảo")</f>
        <v>Nguyễn Hà Linh; Lê Uyên Diệu Thảo</v>
      </c>
      <c r="E132" s="4" t="str">
        <f>IFERROR(__xludf.DUMMYFUNCTION("""COMPUTED_VALUE"""),"Học viện Tài chính")</f>
        <v>Học viện Tài chính</v>
      </c>
      <c r="F132" s="4" t="str">
        <f>IFERROR(__xludf.DUMMYFUNCTION("""COMPUTED_VALUE"""),"KTE2026-131.png")</f>
        <v>KTE2026-131.png</v>
      </c>
    </row>
    <row r="133">
      <c r="A133" s="4" t="str">
        <f>IFERROR(__xludf.DUMMYFUNCTION("""COMPUTED_VALUE"""),"KTE2026-132")</f>
        <v>KTE2026-132</v>
      </c>
      <c r="B133" s="4" t="str">
        <f>IFERROR(__xludf.DUMMYFUNCTION("""COMPUTED_VALUE"""),"Kinh tế")</f>
        <v>Kinh tế</v>
      </c>
      <c r="C133" s="4" t="str">
        <f>IFERROR(__xludf.DUMMYFUNCTION("""COMPUTED_VALUE"""),"Tác động của đặc điểm của hội đồng quản trị đến việc công bố thông tin trách nhiệm xã hội của các doanh nghiệp niêm yết tại Việt Nam")</f>
        <v>Tác động của đặc điểm của hội đồng quản trị đến việc công bố thông tin trách nhiệm xã hội của các doanh nghiệp niêm yết tại Việt Nam</v>
      </c>
      <c r="D133" s="4" t="str">
        <f>IFERROR(__xludf.DUMMYFUNCTION("""COMPUTED_VALUE"""),"Lương Tú Linh; Trần Thị Yến Nhung; Trần Thị Thuý Diễm")</f>
        <v>Lương Tú Linh; Trần Thị Yến Nhung; Trần Thị Thuý Diễm</v>
      </c>
      <c r="E133" s="4" t="str">
        <f>IFERROR(__xludf.DUMMYFUNCTION("""COMPUTED_VALUE"""),"Trường Đại học Mở TP. Hồ Chí Minh")</f>
        <v>Trường Đại học Mở TP. Hồ Chí Minh</v>
      </c>
      <c r="F133" s="4" t="str">
        <f>IFERROR(__xludf.DUMMYFUNCTION("""COMPUTED_VALUE"""),"KTE2026-132.png")</f>
        <v>KTE2026-132.png</v>
      </c>
    </row>
    <row r="134">
      <c r="A134" s="4" t="str">
        <f>IFERROR(__xludf.DUMMYFUNCTION("""COMPUTED_VALUE"""),"KTE2026-133")</f>
        <v>KTE2026-133</v>
      </c>
      <c r="B134" s="4" t="str">
        <f>IFERROR(__xludf.DUMMYFUNCTION("""COMPUTED_VALUE"""),"Kinh tế")</f>
        <v>Kinh tế</v>
      </c>
      <c r="C134" s="4" t="str">
        <f>IFERROR(__xludf.DUMMYFUNCTION("""COMPUTED_VALUE"""),"Ứng dụng phương pháp học máy dự báo khả năng khách hàng rời bỏ dịch vụ của ngân hàng")</f>
        <v>Ứng dụng phương pháp học máy dự báo khả năng khách hàng rời bỏ dịch vụ của ngân hàng</v>
      </c>
      <c r="D134" s="4" t="str">
        <f>IFERROR(__xludf.DUMMYFUNCTION("""COMPUTED_VALUE"""),"Trịnh Khiết Như; Hoàng Ngọc Linh; Bùi Minh Anh; Nguyễn Xuân Bách; Nguyễn Hương Thảo Ly")</f>
        <v>Trịnh Khiết Như; Hoàng Ngọc Linh; Bùi Minh Anh; Nguyễn Xuân Bách; Nguyễn Hương Thảo Ly</v>
      </c>
      <c r="E134" s="4" t="str">
        <f>IFERROR(__xludf.DUMMYFUNCTION("""COMPUTED_VALUE"""),"Học viện Tài chính")</f>
        <v>Học viện Tài chính</v>
      </c>
      <c r="F134" s="4" t="str">
        <f>IFERROR(__xludf.DUMMYFUNCTION("""COMPUTED_VALUE"""),"KTE2026-133.png")</f>
        <v>KTE2026-133.png</v>
      </c>
    </row>
    <row r="135">
      <c r="A135" s="4" t="str">
        <f>IFERROR(__xludf.DUMMYFUNCTION("""COMPUTED_VALUE"""),"KTE2026-134")</f>
        <v>KTE2026-134</v>
      </c>
      <c r="B135" s="4" t="str">
        <f>IFERROR(__xludf.DUMMYFUNCTION("""COMPUTED_VALUE"""),"Kinh tế")</f>
        <v>Kinh tế</v>
      </c>
      <c r="C135" s="4" t="str">
        <f>IFERROR(__xludf.DUMMYFUNCTION("""COMPUTED_VALUE"""),"Làm phẳng lợi nhuận, quản lý vốn và ổn định ngân hàng: Bằng chứng từ các ngân hàng thương mại cổ phần tại Việt Nam")</f>
        <v>Làm phẳng lợi nhuận, quản lý vốn và ổn định ngân hàng: Bằng chứng từ các ngân hàng thương mại cổ phần tại Việt Nam</v>
      </c>
      <c r="D135" s="4" t="str">
        <f>IFERROR(__xludf.DUMMYFUNCTION("""COMPUTED_VALUE"""),"Trần Thị Hương; Phạm Thị Ngọc Mai; Trần Đức Hưng Hà; Nguyễn Hoàng Lan Anh; Nguyễn Viết Trường")</f>
        <v>Trần Thị Hương; Phạm Thị Ngọc Mai; Trần Đức Hưng Hà; Nguyễn Hoàng Lan Anh; Nguyễn Viết Trường</v>
      </c>
      <c r="E135" s="4" t="str">
        <f>IFERROR(__xludf.DUMMYFUNCTION("""COMPUTED_VALUE"""),"Học viện Chính sách và Phát triển")</f>
        <v>Học viện Chính sách và Phát triển</v>
      </c>
      <c r="F135" s="4" t="str">
        <f>IFERROR(__xludf.DUMMYFUNCTION("""COMPUTED_VALUE"""),"KTE2026-134.png")</f>
        <v>KTE2026-134.png</v>
      </c>
    </row>
    <row r="136">
      <c r="A136" s="4" t="str">
        <f>IFERROR(__xludf.DUMMYFUNCTION("""COMPUTED_VALUE"""),"KTE2026-135")</f>
        <v>KTE2026-135</v>
      </c>
      <c r="B136" s="4" t="str">
        <f>IFERROR(__xludf.DUMMYFUNCTION("""COMPUTED_VALUE"""),"Kinh tế")</f>
        <v>Kinh tế</v>
      </c>
      <c r="C136" s="4" t="str">
        <f>IFERROR(__xludf.DUMMYFUNCTION("""COMPUTED_VALUE"""),"Ảnh hưởng của tiêu chuẩn ESG đến giá cổ phiếu doanh nghiệp niêm yết trên sàn HOSE")</f>
        <v>Ảnh hưởng của tiêu chuẩn ESG đến giá cổ phiếu doanh nghiệp niêm yết trên sàn HOSE</v>
      </c>
      <c r="D136" s="4" t="str">
        <f>IFERROR(__xludf.DUMMYFUNCTION("""COMPUTED_VALUE"""),"Phạm Minh Ngọc; Vũ Đình Thuần")</f>
        <v>Phạm Minh Ngọc; Vũ Đình Thuần</v>
      </c>
      <c r="E136" s="4" t="str">
        <f>IFERROR(__xludf.DUMMYFUNCTION("""COMPUTED_VALUE"""),"Học viện Tài chính")</f>
        <v>Học viện Tài chính</v>
      </c>
      <c r="F136" s="4" t="str">
        <f>IFERROR(__xludf.DUMMYFUNCTION("""COMPUTED_VALUE"""),"KTE2026-135.png")</f>
        <v>KTE2026-135.png</v>
      </c>
    </row>
    <row r="137">
      <c r="A137" s="4" t="str">
        <f>IFERROR(__xludf.DUMMYFUNCTION("""COMPUTED_VALUE"""),"KTE2026-136")</f>
        <v>KTE2026-136</v>
      </c>
      <c r="B137" s="4" t="str">
        <f>IFERROR(__xludf.DUMMYFUNCTION("""COMPUTED_VALUE"""),"Kinh tế")</f>
        <v>Kinh tế</v>
      </c>
      <c r="C137" s="4" t="str">
        <f>IFERROR(__xludf.DUMMYFUNCTION("""COMPUTED_VALUE"""),"Nghiên cứu tác động của so sánh xã hội trực tuyến đến ý định và hành vi sử dụng tín dụng đen trực tuyến của giới trẻ Hà Nội")</f>
        <v>Nghiên cứu tác động của so sánh xã hội trực tuyến đến ý định và hành vi sử dụng tín dụng đen trực tuyến của giới trẻ Hà Nội</v>
      </c>
      <c r="D137" s="4" t="str">
        <f>IFERROR(__xludf.DUMMYFUNCTION("""COMPUTED_VALUE"""),"Vũ Thị Thu Trang; Nguyễn Viết Trường; Hồ Thị Khánh Linh; Nguyễn Thị Thanh Vân; Nguyễn Hà Trang")</f>
        <v>Vũ Thị Thu Trang; Nguyễn Viết Trường; Hồ Thị Khánh Linh; Nguyễn Thị Thanh Vân; Nguyễn Hà Trang</v>
      </c>
      <c r="E137" s="4" t="str">
        <f>IFERROR(__xludf.DUMMYFUNCTION("""COMPUTED_VALUE"""),"Học viện Chính sách và Phát triển")</f>
        <v>Học viện Chính sách và Phát triển</v>
      </c>
      <c r="F137" s="4" t="str">
        <f>IFERROR(__xludf.DUMMYFUNCTION("""COMPUTED_VALUE"""),"KTE2026-136.png")</f>
        <v>KTE2026-136.png</v>
      </c>
    </row>
    <row r="138">
      <c r="A138" s="4" t="str">
        <f>IFERROR(__xludf.DUMMYFUNCTION("""COMPUTED_VALUE"""),"KTE2026-137")</f>
        <v>KTE2026-137</v>
      </c>
      <c r="B138" s="4" t="str">
        <f>IFERROR(__xludf.DUMMYFUNCTION("""COMPUTED_VALUE"""),"Kinh tế")</f>
        <v>Kinh tế</v>
      </c>
      <c r="C138" s="4" t="str">
        <f>IFERROR(__xludf.DUMMYFUNCTION("""COMPUTED_VALUE"""),"Tác động của chiến lược tài chính doanh nghiệp tới chất lượng công bố thông tin ESG - nghiên cứu thực tiễn tại các doanh nghiệp phi tài chính niêm yết trên thị trường chứng khoán Việt Nam")</f>
        <v>Tác động của chiến lược tài chính doanh nghiệp tới chất lượng công bố thông tin ESG - nghiên cứu thực tiễn tại các doanh nghiệp phi tài chính niêm yết trên thị trường chứng khoán Việt Nam</v>
      </c>
      <c r="D138" s="4" t="str">
        <f>IFERROR(__xludf.DUMMYFUNCTION("""COMPUTED_VALUE"""),"Đặng Thị Phương Thảo; Bùi Khánh Linh; Hoàng Văn Anh Quân; Nguyễn Hải Ninh; Đỗ Văn Sơn")</f>
        <v>Đặng Thị Phương Thảo; Bùi Khánh Linh; Hoàng Văn Anh Quân; Nguyễn Hải Ninh; Đỗ Văn Sơn</v>
      </c>
      <c r="E138" s="4" t="str">
        <f>IFERROR(__xludf.DUMMYFUNCTION("""COMPUTED_VALUE"""),"Đại học Kinh tế Quốc dân")</f>
        <v>Đại học Kinh tế Quốc dân</v>
      </c>
      <c r="F138" s="4" t="str">
        <f>IFERROR(__xludf.DUMMYFUNCTION("""COMPUTED_VALUE"""),"KTE2026-137.png")</f>
        <v>KTE2026-137.png</v>
      </c>
    </row>
    <row r="139">
      <c r="A139" s="4" t="str">
        <f>IFERROR(__xludf.DUMMYFUNCTION("""COMPUTED_VALUE"""),"KTE2026-138")</f>
        <v>KTE2026-138</v>
      </c>
      <c r="B139" s="4" t="str">
        <f>IFERROR(__xludf.DUMMYFUNCTION("""COMPUTED_VALUE"""),"Kinh tế")</f>
        <v>Kinh tế</v>
      </c>
      <c r="C139" s="4" t="str">
        <f>IFERROR(__xludf.DUMMYFUNCTION("""COMPUTED_VALUE"""),"Mối quan hệ giữa các yếu tố truyền thông xanh trên mạng xã hội và hành vi tiêu dùng xanh của sinh viên Trường Đại học Bình Dương")</f>
        <v>Mối quan hệ giữa các yếu tố truyền thông xanh trên mạng xã hội và hành vi tiêu dùng xanh của sinh viên Trường Đại học Bình Dương</v>
      </c>
      <c r="D139" s="4" t="str">
        <f>IFERROR(__xludf.DUMMYFUNCTION("""COMPUTED_VALUE"""),"Nguyễn Thị Mỹ Liên; Nguyễn Ngọc Thùy Trang; Nguyễn Thị Hương Quỳnh; Huỳnh Hải Đăng; Huỳnh Ngọc Sương Sương")</f>
        <v>Nguyễn Thị Mỹ Liên; Nguyễn Ngọc Thùy Trang; Nguyễn Thị Hương Quỳnh; Huỳnh Hải Đăng; Huỳnh Ngọc Sương Sương</v>
      </c>
      <c r="E139" s="4" t="str">
        <f>IFERROR(__xludf.DUMMYFUNCTION("""COMPUTED_VALUE"""),"Trường Đại học Bình Dương")</f>
        <v>Trường Đại học Bình Dương</v>
      </c>
      <c r="F139" s="4" t="str">
        <f>IFERROR(__xludf.DUMMYFUNCTION("""COMPUTED_VALUE"""),"KTE2026-138.png")</f>
        <v>KTE2026-138.png</v>
      </c>
    </row>
    <row r="140">
      <c r="A140" s="4" t="str">
        <f>IFERROR(__xludf.DUMMYFUNCTION("""COMPUTED_VALUE"""),"KTE2026-140")</f>
        <v>KTE2026-140</v>
      </c>
      <c r="B140" s="4" t="str">
        <f>IFERROR(__xludf.DUMMYFUNCTION("""COMPUTED_VALUE"""),"Kinh tế")</f>
        <v>Kinh tế</v>
      </c>
      <c r="C140" s="4" t="str">
        <f>IFERROR(__xludf.DUMMYFUNCTION("""COMPUTED_VALUE"""),"Năng lực cạnh tranh của trung tâm tài chính quốc tế và phát triển tài chính nội địa: Bằng chứng thực nghiệm quốc tế và hàm ý cho Việt Nam")</f>
        <v>Năng lực cạnh tranh của trung tâm tài chính quốc tế và phát triển tài chính nội địa: Bằng chứng thực nghiệm quốc tế và hàm ý cho Việt Nam</v>
      </c>
      <c r="D140" s="4" t="str">
        <f>IFERROR(__xludf.DUMMYFUNCTION("""COMPUTED_VALUE"""),"Lê Nguyễn Phương Thảo; Nguyễn Thị Thùy Dương; Nguyễn Thị Thu Thủy; Nguyễn Thị Ánh Vy; Hồ Thị Ly Mỹ")</f>
        <v>Lê Nguyễn Phương Thảo; Nguyễn Thị Thùy Dương; Nguyễn Thị Thu Thủy; Nguyễn Thị Ánh Vy; Hồ Thị Ly Mỹ</v>
      </c>
      <c r="E140" s="4" t="str">
        <f>IFERROR(__xludf.DUMMYFUNCTION("""COMPUTED_VALUE"""),"Trường Đại học Kinh tế, Đại học Đà Nẵng")</f>
        <v>Trường Đại học Kinh tế, Đại học Đà Nẵng</v>
      </c>
      <c r="F140" s="4" t="str">
        <f>IFERROR(__xludf.DUMMYFUNCTION("""COMPUTED_VALUE"""),"KTE2026-140.png")</f>
        <v>KTE2026-140.png</v>
      </c>
    </row>
    <row r="141">
      <c r="A141" s="4" t="str">
        <f>IFERROR(__xludf.DUMMYFUNCTION("""COMPUTED_VALUE"""),"KTE2026-141")</f>
        <v>KTE2026-141</v>
      </c>
      <c r="B141" s="4" t="str">
        <f>IFERROR(__xludf.DUMMYFUNCTION("""COMPUTED_VALUE"""),"Kinh tế")</f>
        <v>Kinh tế</v>
      </c>
      <c r="C141" s="4" t="str">
        <f>IFERROR(__xludf.DUMMYFUNCTION("""COMPUTED_VALUE"""),"Ảnh hưởng của ô nhiễm không khí, công bố trách nhiệm xã hội đến thận trọng kế toán tại các công ty niêm yết trên thị trường chứng khoán Việt Nam")</f>
        <v>Ảnh hưởng của ô nhiễm không khí, công bố trách nhiệm xã hội đến thận trọng kế toán tại các công ty niêm yết trên thị trường chứng khoán Việt Nam</v>
      </c>
      <c r="D141" s="4" t="str">
        <f>IFERROR(__xludf.DUMMYFUNCTION("""COMPUTED_VALUE"""),"Huỳnh Lê Thảo Vy")</f>
        <v>Huỳnh Lê Thảo Vy</v>
      </c>
      <c r="E141" s="4" t="str">
        <f>IFERROR(__xludf.DUMMYFUNCTION("""COMPUTED_VALUE"""),"Trường Đại học Văn Hiến")</f>
        <v>Trường Đại học Văn Hiến</v>
      </c>
      <c r="F141" s="4" t="str">
        <f>IFERROR(__xludf.DUMMYFUNCTION("""COMPUTED_VALUE"""),"KTE2026-141.png")</f>
        <v>KTE2026-141.png</v>
      </c>
    </row>
    <row r="142">
      <c r="A142" s="4" t="str">
        <f>IFERROR(__xludf.DUMMYFUNCTION("""COMPUTED_VALUE"""),"KTE2026-142")</f>
        <v>KTE2026-142</v>
      </c>
      <c r="B142" s="4" t="str">
        <f>IFERROR(__xludf.DUMMYFUNCTION("""COMPUTED_VALUE"""),"Kinh tế")</f>
        <v>Kinh tế</v>
      </c>
      <c r="C142" s="4" t="str">
        <f>IFERROR(__xludf.DUMMYFUNCTION("""COMPUTED_VALUE"""),"Ứng dụng các mô hình học máy trong dự báo kiệt quệ tài chính của các doanh nghiệp bất động sản niêm yết trên thị trường chứng khoán Việt Nam, tích hợp ESG và chuyển đổi số")</f>
        <v>Ứng dụng các mô hình học máy trong dự báo kiệt quệ tài chính của các doanh nghiệp bất động sản niêm yết trên thị trường chứng khoán Việt Nam, tích hợp ESG và chuyển đổi số</v>
      </c>
      <c r="D142" s="4" t="str">
        <f>IFERROR(__xludf.DUMMYFUNCTION("""COMPUTED_VALUE"""),"Nguyễn Hoàng Thanh Nguyên; Lê Thị Vân Nhi; Hoàng Thị Thảo Nguyên; Phạm Thị Quỳnh Như; Đỗ Thị Minh Ngọc")</f>
        <v>Nguyễn Hoàng Thanh Nguyên; Lê Thị Vân Nhi; Hoàng Thị Thảo Nguyên; Phạm Thị Quỳnh Như; Đỗ Thị Minh Ngọc</v>
      </c>
      <c r="E142" s="4" t="str">
        <f>IFERROR(__xludf.DUMMYFUNCTION("""COMPUTED_VALUE"""),"Trường Đại học Kinh tế - Luật, ĐHQG-HCM")</f>
        <v>Trường Đại học Kinh tế - Luật, ĐHQG-HCM</v>
      </c>
      <c r="F142" s="4" t="str">
        <f>IFERROR(__xludf.DUMMYFUNCTION("""COMPUTED_VALUE"""),"KTE2026-142.png")</f>
        <v>KTE2026-142.png</v>
      </c>
    </row>
    <row r="143">
      <c r="A143" s="4" t="str">
        <f>IFERROR(__xludf.DUMMYFUNCTION("""COMPUTED_VALUE"""),"KTE2026-143")</f>
        <v>KTE2026-143</v>
      </c>
      <c r="B143" s="4" t="str">
        <f>IFERROR(__xludf.DUMMYFUNCTION("""COMPUTED_VALUE"""),"Kinh tế")</f>
        <v>Kinh tế</v>
      </c>
      <c r="C143" s="4" t="str">
        <f>IFERROR(__xludf.DUMMYFUNCTION("""COMPUTED_VALUE"""),"Quyết định đầu tư trong kỷ nguyên AI tạo sinh khi sử dụng mô hình ngôn ngữ lớn (LLM) của nhà đầu tư cá nhân")</f>
        <v>Quyết định đầu tư trong kỷ nguyên AI tạo sinh khi sử dụng mô hình ngôn ngữ lớn (LLM) của nhà đầu tư cá nhân</v>
      </c>
      <c r="D143" s="4" t="str">
        <f>IFERROR(__xludf.DUMMYFUNCTION("""COMPUTED_VALUE"""),"Vũ Lê Hồng Ngọc; Trần Ngọc Dung; Đỗ Anh Thư; Nguyễn Minh Anh")</f>
        <v>Vũ Lê Hồng Ngọc; Trần Ngọc Dung; Đỗ Anh Thư; Nguyễn Minh Anh</v>
      </c>
      <c r="E143" s="4" t="str">
        <f>IFERROR(__xludf.DUMMYFUNCTION("""COMPUTED_VALUE"""),"Đại học Kinh tế Quốc dân")</f>
        <v>Đại học Kinh tế Quốc dân</v>
      </c>
      <c r="F143" s="4" t="str">
        <f>IFERROR(__xludf.DUMMYFUNCTION("""COMPUTED_VALUE"""),"KTE2026-143.png")</f>
        <v>KTE2026-143.png</v>
      </c>
    </row>
    <row r="144">
      <c r="A144" s="4" t="str">
        <f>IFERROR(__xludf.DUMMYFUNCTION("""COMPUTED_VALUE"""),"KTE2026-144")</f>
        <v>KTE2026-144</v>
      </c>
      <c r="B144" s="4" t="str">
        <f>IFERROR(__xludf.DUMMYFUNCTION("""COMPUTED_VALUE"""),"Kinh tế")</f>
        <v>Kinh tế</v>
      </c>
      <c r="C144" s="4" t="str">
        <f>IFERROR(__xludf.DUMMYFUNCTION("""COMPUTED_VALUE"""),"Ứng dụng mô hình SOBC trong nghiên cứu việc sử dụng dịch vụ mua trước, trả sau ở người tiêu dùng trẻ trong bối cảnh chuyển đổi số")</f>
        <v>Ứng dụng mô hình SOBC trong nghiên cứu việc sử dụng dịch vụ mua trước, trả sau ở người tiêu dùng trẻ trong bối cảnh chuyển đổi số</v>
      </c>
      <c r="D144" s="4" t="str">
        <f>IFERROR(__xludf.DUMMYFUNCTION("""COMPUTED_VALUE"""),"Nguyễn Phương Anh; Nguyễn Quỳnh Chi; Mai Khánh Linh; Phạm Thị Khánh Linh; Hoàng Minh Phúc")</f>
        <v>Nguyễn Phương Anh; Nguyễn Quỳnh Chi; Mai Khánh Linh; Phạm Thị Khánh Linh; Hoàng Minh Phúc</v>
      </c>
      <c r="E144" s="4" t="str">
        <f>IFERROR(__xludf.DUMMYFUNCTION("""COMPUTED_VALUE"""),"Đại học Kinh tế Quốc dân")</f>
        <v>Đại học Kinh tế Quốc dân</v>
      </c>
      <c r="F144" s="4" t="str">
        <f>IFERROR(__xludf.DUMMYFUNCTION("""COMPUTED_VALUE"""),"KTE2026-144.png")</f>
        <v>KTE2026-144.png</v>
      </c>
    </row>
    <row r="145">
      <c r="A145" s="4" t="str">
        <f>IFERROR(__xludf.DUMMYFUNCTION("""COMPUTED_VALUE"""),"KTE2026-145")</f>
        <v>KTE2026-145</v>
      </c>
      <c r="B145" s="4" t="str">
        <f>IFERROR(__xludf.DUMMYFUNCTION("""COMPUTED_VALUE"""),"Kinh tế")</f>
        <v>Kinh tế</v>
      </c>
      <c r="C145" s="4" t="str">
        <f>IFERROR(__xludf.DUMMYFUNCTION("""COMPUTED_VALUE"""),"Giải mã truyền dẫn tỷ giá, sự ảnh hưởng của rủi ro địa chính trị và các đứt gãy cấu trúc đến lạm phát")</f>
        <v>Giải mã truyền dẫn tỷ giá, sự ảnh hưởng của rủi ro địa chính trị và các đứt gãy cấu trúc đến lạm phát</v>
      </c>
      <c r="D145" s="4" t="str">
        <f>IFERROR(__xludf.DUMMYFUNCTION("""COMPUTED_VALUE"""),"Bùi Thị Thục Trinh; Quách Khả Danh; Huỳnh Gia Khánh")</f>
        <v>Bùi Thị Thục Trinh; Quách Khả Danh; Huỳnh Gia Khánh</v>
      </c>
      <c r="E145" s="4" t="str">
        <f>IFERROR(__xludf.DUMMYFUNCTION("""COMPUTED_VALUE"""),"Trường Đại học Kinh tế - Luật, ĐHQG-HCM")</f>
        <v>Trường Đại học Kinh tế - Luật, ĐHQG-HCM</v>
      </c>
      <c r="F145" s="4" t="str">
        <f>IFERROR(__xludf.DUMMYFUNCTION("""COMPUTED_VALUE"""),"KTE2026-145.png")</f>
        <v>KTE2026-145.png</v>
      </c>
    </row>
    <row r="146">
      <c r="A146" s="4" t="str">
        <f>IFERROR(__xludf.DUMMYFUNCTION("""COMPUTED_VALUE"""),"KTE2026-146")</f>
        <v>KTE2026-146</v>
      </c>
      <c r="B146" s="4" t="str">
        <f>IFERROR(__xludf.DUMMYFUNCTION("""COMPUTED_VALUE"""),"Kinh tế")</f>
        <v>Kinh tế</v>
      </c>
      <c r="C146" s="4" t="str">
        <f>IFERROR(__xludf.DUMMYFUNCTION("""COMPUTED_VALUE"""),"Conditional correlation and volatility spillover between crude oil market and Vietnam’s securities market")</f>
        <v>Conditional correlation and volatility spillover between crude oil market and Vietnam’s securities market</v>
      </c>
      <c r="D146" s="4" t="str">
        <f>IFERROR(__xludf.DUMMYFUNCTION("""COMPUTED_VALUE"""),"Sái Thùy Linh; Vũ Ngọc Ánh; Vũ Thu Hà; Mai Hoàng Quỳnh Anh; Lê Anh Minh")</f>
        <v>Sái Thùy Linh; Vũ Ngọc Ánh; Vũ Thu Hà; Mai Hoàng Quỳnh Anh; Lê Anh Minh</v>
      </c>
      <c r="E146" s="4" t="str">
        <f>IFERROR(__xludf.DUMMYFUNCTION("""COMPUTED_VALUE"""),"Đại học Kinh tế Quốc dân")</f>
        <v>Đại học Kinh tế Quốc dân</v>
      </c>
      <c r="F146" s="4" t="str">
        <f>IFERROR(__xludf.DUMMYFUNCTION("""COMPUTED_VALUE"""),"KTE2026-146.png")</f>
        <v>KTE2026-146.png</v>
      </c>
    </row>
    <row r="147">
      <c r="A147" s="4" t="str">
        <f>IFERROR(__xludf.DUMMYFUNCTION("""COMPUTED_VALUE"""),"KTE2026-147")</f>
        <v>KTE2026-147</v>
      </c>
      <c r="B147" s="4" t="str">
        <f>IFERROR(__xludf.DUMMYFUNCTION("""COMPUTED_VALUE"""),"Kinh tế")</f>
        <v>Kinh tế</v>
      </c>
      <c r="C147" s="4" t="str">
        <f>IFERROR(__xludf.DUMMYFUNCTION("""COMPUTED_VALUE"""),"Ảnh hưởng của kế toán xanh và quản trị doanh nghiệp đến giá trị doanh nghiệp niêm yết tại Việt Nam theo mức độ nhạy cảm với môi trường ngành")</f>
        <v>Ảnh hưởng của kế toán xanh và quản trị doanh nghiệp đến giá trị doanh nghiệp niêm yết tại Việt Nam theo mức độ nhạy cảm với môi trường ngành</v>
      </c>
      <c r="D147" s="4" t="str">
        <f>IFERROR(__xludf.DUMMYFUNCTION("""COMPUTED_VALUE"""),"Phạm Đức Hùng; Phạm Thu Hương; Hoàng Thị Linh; Hồ Thị Thảo Nguyên; Nguyễn Phương Anh")</f>
        <v>Phạm Đức Hùng; Phạm Thu Hương; Hoàng Thị Linh; Hồ Thị Thảo Nguyên; Nguyễn Phương Anh</v>
      </c>
      <c r="E147" s="4" t="str">
        <f>IFERROR(__xludf.DUMMYFUNCTION("""COMPUTED_VALUE"""),"Đại học Kinh tế Quốc dân")</f>
        <v>Đại học Kinh tế Quốc dân</v>
      </c>
      <c r="F147" s="4" t="str">
        <f>IFERROR(__xludf.DUMMYFUNCTION("""COMPUTED_VALUE"""),"KTE2026-147.png")</f>
        <v>KTE2026-147.png</v>
      </c>
    </row>
    <row r="148">
      <c r="A148" s="4" t="str">
        <f>IFERROR(__xludf.DUMMYFUNCTION("""COMPUTED_VALUE"""),"KTE2026-148")</f>
        <v>KTE2026-148</v>
      </c>
      <c r="B148" s="4" t="str">
        <f>IFERROR(__xludf.DUMMYFUNCTION("""COMPUTED_VALUE"""),"Kinh tế")</f>
        <v>Kinh tế</v>
      </c>
      <c r="C148" s="4" t="str">
        <f>IFERROR(__xludf.DUMMYFUNCTION("""COMPUTED_VALUE"""),"Ứng dụng trí tuệ nhân tạo tạo sinh (GenAI) trong phân tích tính bền vững: Đo lường greenwashing cho ngân hàng thương mại ở Việt Nam")</f>
        <v>Ứng dụng trí tuệ nhân tạo tạo sinh (GenAI) trong phân tích tính bền vững: Đo lường greenwashing cho ngân hàng thương mại ở Việt Nam</v>
      </c>
      <c r="D148" s="4" t="str">
        <f>IFERROR(__xludf.DUMMYFUNCTION("""COMPUTED_VALUE"""),"Lê Lệ Quyên; Nguyễn Lê Nhật Khanh; Trần Diễm Quỳnh; Nguyễn Như Khải; Lê Thanh Toàn")</f>
        <v>Lê Lệ Quyên; Nguyễn Lê Nhật Khanh; Trần Diễm Quỳnh; Nguyễn Như Khải; Lê Thanh Toàn</v>
      </c>
      <c r="E148" s="4" t="str">
        <f>IFERROR(__xludf.DUMMYFUNCTION("""COMPUTED_VALUE"""),"Trường Đại học Kinh tế - Luật, ĐHQG-HCM")</f>
        <v>Trường Đại học Kinh tế - Luật, ĐHQG-HCM</v>
      </c>
      <c r="F148" s="4" t="str">
        <f>IFERROR(__xludf.DUMMYFUNCTION("""COMPUTED_VALUE"""),"KTE2026-148.png")</f>
        <v>KTE2026-148.png</v>
      </c>
    </row>
    <row r="149">
      <c r="A149" s="4" t="str">
        <f>IFERROR(__xludf.DUMMYFUNCTION("""COMPUTED_VALUE"""),"KTE2026-149")</f>
        <v>KTE2026-149</v>
      </c>
      <c r="B149" s="4" t="str">
        <f>IFERROR(__xludf.DUMMYFUNCTION("""COMPUTED_VALUE"""),"Kinh tế")</f>
        <v>Kinh tế</v>
      </c>
      <c r="C149" s="4" t="str">
        <f>IFERROR(__xludf.DUMMYFUNCTION("""COMPUTED_VALUE"""),"Tác động của các thành viên da đen trong đội ngũ quản trị cấp cao đối với rủi ro về danh tiếng của doanh nghiệp: Một nghiên cứu tại các công ty Mỹ")</f>
        <v>Tác động của các thành viên da đen trong đội ngũ quản trị cấp cao đối với rủi ro về danh tiếng của doanh nghiệp: Một nghiên cứu tại các công ty Mỹ</v>
      </c>
      <c r="D149" s="4" t="str">
        <f>IFERROR(__xludf.DUMMYFUNCTION("""COMPUTED_VALUE"""),"Nguyễn Thành Trung; Hoàng Đăng Anh Việt; Huỳnh Tiến Thịnh; Phan Nhật Hào")</f>
        <v>Nguyễn Thành Trung; Hoàng Đăng Anh Việt; Huỳnh Tiến Thịnh; Phan Nhật Hào</v>
      </c>
      <c r="E149" s="4" t="str">
        <f>IFERROR(__xludf.DUMMYFUNCTION("""COMPUTED_VALUE"""),"Trường Đại học Kinh tế, Đại học Đà Nẵng")</f>
        <v>Trường Đại học Kinh tế, Đại học Đà Nẵng</v>
      </c>
      <c r="F149" s="4" t="str">
        <f>IFERROR(__xludf.DUMMYFUNCTION("""COMPUTED_VALUE"""),"KTE2026-149.png")</f>
        <v>KTE2026-149.png</v>
      </c>
    </row>
    <row r="150">
      <c r="A150" s="4" t="str">
        <f>IFERROR(__xludf.DUMMYFUNCTION("""COMPUTED_VALUE"""),"KTE2026-150")</f>
        <v>KTE2026-150</v>
      </c>
      <c r="B150" s="4" t="str">
        <f>IFERROR(__xludf.DUMMYFUNCTION("""COMPUTED_VALUE"""),"Kinh tế")</f>
        <v>Kinh tế</v>
      </c>
      <c r="C150" s="4" t="str">
        <f>IFERROR(__xludf.DUMMYFUNCTION("""COMPUTED_VALUE"""),"Tác động của quản trị công ty đến chất lượng thông tin báo cáo tài chính: Nghiên cứu trên các doanh nghiệp niêm yết tại sở giao dịch chứng khoán thành phố Hồ Chí Minh (HOSE)")</f>
        <v>Tác động của quản trị công ty đến chất lượng thông tin báo cáo tài chính: Nghiên cứu trên các doanh nghiệp niêm yết tại sở giao dịch chứng khoán thành phố Hồ Chí Minh (HOSE)</v>
      </c>
      <c r="D150" s="4" t="str">
        <f>IFERROR(__xludf.DUMMYFUNCTION("""COMPUTED_VALUE"""),"Ung Thị Phương Nhi; Nguyễn Trần Ngọc Hân; Đoàn Nguyễn Anh Thư; Nguyễn Thanh Hằng; Phạm Nguyễn Kiều My")</f>
        <v>Ung Thị Phương Nhi; Nguyễn Trần Ngọc Hân; Đoàn Nguyễn Anh Thư; Nguyễn Thanh Hằng; Phạm Nguyễn Kiều My</v>
      </c>
      <c r="E150" s="4" t="str">
        <f>IFERROR(__xludf.DUMMYFUNCTION("""COMPUTED_VALUE"""),"Trường Đại học Kinh tế - Luật, ĐHQG-HCM")</f>
        <v>Trường Đại học Kinh tế - Luật, ĐHQG-HCM</v>
      </c>
      <c r="F150" s="4" t="str">
        <f>IFERROR(__xludf.DUMMYFUNCTION("""COMPUTED_VALUE"""),"KTE2026-150.png")</f>
        <v>KTE2026-150.png</v>
      </c>
    </row>
    <row r="151">
      <c r="A151" s="4" t="str">
        <f>IFERROR(__xludf.DUMMYFUNCTION("""COMPUTED_VALUE"""),"KTE2026-151")</f>
        <v>KTE2026-151</v>
      </c>
      <c r="B151" s="4" t="str">
        <f>IFERROR(__xludf.DUMMYFUNCTION("""COMPUTED_VALUE"""),"Kinh tế")</f>
        <v>Kinh tế</v>
      </c>
      <c r="C151" s="4" t="str">
        <f>IFERROR(__xludf.DUMMYFUNCTION("""COMPUTED_VALUE"""),"Green finance under pressure: How U.S. presidential policy reshape volatility connectedness among sustainable assets and gold")</f>
        <v>Green finance under pressure: How U.S. presidential policy reshape volatility connectedness among sustainable assets and gold</v>
      </c>
      <c r="D151" s="4" t="str">
        <f>IFERROR(__xludf.DUMMYFUNCTION("""COMPUTED_VALUE"""),"Đỗ Trần Như Quỳnh; Nguyễn Lê Tú Anh; Dương Thanh Ngân; Huỳnh Mỹ Hạnh; Phạm Vũ Phước Thịnh")</f>
        <v>Đỗ Trần Như Quỳnh; Nguyễn Lê Tú Anh; Dương Thanh Ngân; Huỳnh Mỹ Hạnh; Phạm Vũ Phước Thịnh</v>
      </c>
      <c r="E151" s="4" t="str">
        <f>IFERROR(__xludf.DUMMYFUNCTION("""COMPUTED_VALUE"""),"Đại học Kinh tế TP. Hồ Chí Minh")</f>
        <v>Đại học Kinh tế TP. Hồ Chí Minh</v>
      </c>
      <c r="F151" s="4" t="str">
        <f>IFERROR(__xludf.DUMMYFUNCTION("""COMPUTED_VALUE"""),"KTE2026-151.png")</f>
        <v>KTE2026-151.png</v>
      </c>
    </row>
    <row r="152">
      <c r="A152" s="4" t="str">
        <f>IFERROR(__xludf.DUMMYFUNCTION("""COMPUTED_VALUE"""),"KTE2026-152")</f>
        <v>KTE2026-152</v>
      </c>
      <c r="B152" s="4" t="str">
        <f>IFERROR(__xludf.DUMMYFUNCTION("""COMPUTED_VALUE"""),"Kinh tế")</f>
        <v>Kinh tế</v>
      </c>
      <c r="C152" s="4" t="str">
        <f>IFERROR(__xludf.DUMMYFUNCTION("""COMPUTED_VALUE"""),"Do geopolitical shocks make labor costs stickier? International evidence")</f>
        <v>Do geopolitical shocks make labor costs stickier? International evidence</v>
      </c>
      <c r="D152" s="4" t="str">
        <f>IFERROR(__xludf.DUMMYFUNCTION("""COMPUTED_VALUE"""),"Nguyễn Lê Anh Kiệt; Huỳnh Lê Bảo Trân")</f>
        <v>Nguyễn Lê Anh Kiệt; Huỳnh Lê Bảo Trân</v>
      </c>
      <c r="E152" s="4" t="str">
        <f>IFERROR(__xludf.DUMMYFUNCTION("""COMPUTED_VALUE"""),"Đại học Kinh tế TP. Hồ Chí Minh")</f>
        <v>Đại học Kinh tế TP. Hồ Chí Minh</v>
      </c>
      <c r="F152" s="4" t="str">
        <f>IFERROR(__xludf.DUMMYFUNCTION("""COMPUTED_VALUE"""),"KTE2026-152.png")</f>
        <v>KTE2026-152.png</v>
      </c>
    </row>
    <row r="153">
      <c r="A153" s="4" t="str">
        <f>IFERROR(__xludf.DUMMYFUNCTION("""COMPUTED_VALUE"""),"KTE2026-153")</f>
        <v>KTE2026-153</v>
      </c>
      <c r="B153" s="4" t="str">
        <f>IFERROR(__xludf.DUMMYFUNCTION("""COMPUTED_VALUE"""),"Kinh tế")</f>
        <v>Kinh tế</v>
      </c>
      <c r="C153" s="4" t="str">
        <f>IFERROR(__xludf.DUMMYFUNCTION("""COMPUTED_VALUE"""),"Tác động của dịch vụ thuế điện tử và hóa đơn điện tử đến hành vi tuân thủ thuế của hộ kinh doanh: Phân tích vai trò trung gian của nhận thức rủi ro bị phát hiện và chi phí tuân thủ trong bối cảnh thực thi nghị định 68/2026/NĐ-CP tại TP.HCM")</f>
        <v>Tác động của dịch vụ thuế điện tử và hóa đơn điện tử đến hành vi tuân thủ thuế của hộ kinh doanh: Phân tích vai trò trung gian của nhận thức rủi ro bị phát hiện và chi phí tuân thủ trong bối cảnh thực thi nghị định 68/2026/NĐ-CP tại TP.HCM</v>
      </c>
      <c r="D153" s="4" t="str">
        <f>IFERROR(__xludf.DUMMYFUNCTION("""COMPUTED_VALUE"""),"Nguyễn Thiên Tước; Nguyễn Lê Yến Nhi; Ngô Anh Thư; Đào Hoàng Oanh")</f>
        <v>Nguyễn Thiên Tước; Nguyễn Lê Yến Nhi; Ngô Anh Thư; Đào Hoàng Oanh</v>
      </c>
      <c r="E153" s="4" t="str">
        <f>IFERROR(__xludf.DUMMYFUNCTION("""COMPUTED_VALUE"""),"Đại học Kinh tế TP. Hồ Chí Minh")</f>
        <v>Đại học Kinh tế TP. Hồ Chí Minh</v>
      </c>
      <c r="F153" s="4" t="str">
        <f>IFERROR(__xludf.DUMMYFUNCTION("""COMPUTED_VALUE"""),"KTE2026-153.png")</f>
        <v>KTE2026-153.png</v>
      </c>
    </row>
    <row r="154">
      <c r="A154" s="4" t="str">
        <f>IFERROR(__xludf.DUMMYFUNCTION("""COMPUTED_VALUE"""),"KTE2026-154")</f>
        <v>KTE2026-154</v>
      </c>
      <c r="B154" s="4" t="str">
        <f>IFERROR(__xludf.DUMMYFUNCTION("""COMPUTED_VALUE"""),"Kinh tế")</f>
        <v>Kinh tế</v>
      </c>
      <c r="C154" s="4" t="str">
        <f>IFERROR(__xludf.DUMMYFUNCTION("""COMPUTED_VALUE"""),"Tài chính số toàn diện và khả năng chống chịu tài chính của hộ gia đình trong bối cảnh phơi nhiễm khí hậu tại Việt Nam")</f>
        <v>Tài chính số toàn diện và khả năng chống chịu tài chính của hộ gia đình trong bối cảnh phơi nhiễm khí hậu tại Việt Nam</v>
      </c>
      <c r="D154" s="4" t="str">
        <f>IFERROR(__xludf.DUMMYFUNCTION("""COMPUTED_VALUE"""),"Dương Nguyễn Kim Ngân; Trịnh Thiên Thanh Trà; Lê Quốc Huy")</f>
        <v>Dương Nguyễn Kim Ngân; Trịnh Thiên Thanh Trà; Lê Quốc Huy</v>
      </c>
      <c r="E154" s="4" t="str">
        <f>IFERROR(__xludf.DUMMYFUNCTION("""COMPUTED_VALUE"""),"Đại học Kinh tế TP. Hồ Chí Minh")</f>
        <v>Đại học Kinh tế TP. Hồ Chí Minh</v>
      </c>
      <c r="F154" s="4" t="str">
        <f>IFERROR(__xludf.DUMMYFUNCTION("""COMPUTED_VALUE"""),"KTE2026-154.png")</f>
        <v>KTE2026-154.png</v>
      </c>
    </row>
    <row r="155">
      <c r="A155" s="4" t="str">
        <f>IFERROR(__xludf.DUMMYFUNCTION("""COMPUTED_VALUE"""),"KTE2026-155")</f>
        <v>KTE2026-155</v>
      </c>
      <c r="B155" s="4" t="str">
        <f>IFERROR(__xludf.DUMMYFUNCTION("""COMPUTED_VALUE"""),"Kinh tế")</f>
        <v>Kinh tế</v>
      </c>
      <c r="C155" s="4" t="str">
        <f>IFERROR(__xludf.DUMMYFUNCTION("""COMPUTED_VALUE"""),"Digitalization and carbon emissions in middle-income countries: The moderating roles of non-government long-term funding")</f>
        <v>Digitalization and carbon emissions in middle-income countries: The moderating roles of non-government long-term funding</v>
      </c>
      <c r="D155" s="4" t="str">
        <f>IFERROR(__xludf.DUMMYFUNCTION("""COMPUTED_VALUE"""),"Nguyễn Phúc Nhật Khanh; Trần Mỹ Anh; Nguyễn Hoàng Gia Nghi; Lê Vũ Hải My; Lê Hà Tường Vy")</f>
        <v>Nguyễn Phúc Nhật Khanh; Trần Mỹ Anh; Nguyễn Hoàng Gia Nghi; Lê Vũ Hải My; Lê Hà Tường Vy</v>
      </c>
      <c r="E155" s="4" t="str">
        <f>IFERROR(__xludf.DUMMYFUNCTION("""COMPUTED_VALUE"""),"Đại học Kinh tế TP. Hồ Chí Minh")</f>
        <v>Đại học Kinh tế TP. Hồ Chí Minh</v>
      </c>
      <c r="F155" s="4" t="str">
        <f>IFERROR(__xludf.DUMMYFUNCTION("""COMPUTED_VALUE"""),"KTE2026-155.png")</f>
        <v>KTE2026-155.png</v>
      </c>
    </row>
    <row r="156">
      <c r="A156" s="4" t="str">
        <f>IFERROR(__xludf.DUMMYFUNCTION("""COMPUTED_VALUE"""),"KTE2026-156")</f>
        <v>KTE2026-156</v>
      </c>
      <c r="B156" s="4" t="str">
        <f>IFERROR(__xludf.DUMMYFUNCTION("""COMPUTED_VALUE"""),"Kinh tế")</f>
        <v>Kinh tế</v>
      </c>
      <c r="C156" s="4" t="str">
        <f>IFERROR(__xludf.DUMMYFUNCTION("""COMPUTED_VALUE"""),"Các nhân tố ảnh hưởng đến ý định vận dụng kế toán quản trị chi phí tại các doanh nghiệp nhỏ và vừa trên địa bàn thành phố Cần Thơ")</f>
        <v>Các nhân tố ảnh hưởng đến ý định vận dụng kế toán quản trị chi phí tại các doanh nghiệp nhỏ và vừa trên địa bàn thành phố Cần Thơ</v>
      </c>
      <c r="D156" s="4" t="str">
        <f>IFERROR(__xludf.DUMMYFUNCTION("""COMPUTED_VALUE"""),"Nguyễn Thị Kim Tuyết; Nguyễn Nhã Mi; Tô Ngọc Quyên")</f>
        <v>Nguyễn Thị Kim Tuyết; Nguyễn Nhã Mi; Tô Ngọc Quyên</v>
      </c>
      <c r="E156" s="4" t="str">
        <f>IFERROR(__xludf.DUMMYFUNCTION("""COMPUTED_VALUE"""),"Trường Đại học Tây Đô")</f>
        <v>Trường Đại học Tây Đô</v>
      </c>
      <c r="F156" s="4" t="str">
        <f>IFERROR(__xludf.DUMMYFUNCTION("""COMPUTED_VALUE"""),"KTE2026-156.png")</f>
        <v>KTE2026-156.png</v>
      </c>
    </row>
    <row r="157">
      <c r="A157" s="4" t="str">
        <f>IFERROR(__xludf.DUMMYFUNCTION("""COMPUTED_VALUE"""),"KTE2026-157")</f>
        <v>KTE2026-157</v>
      </c>
      <c r="B157" s="4" t="str">
        <f>IFERROR(__xludf.DUMMYFUNCTION("""COMPUTED_VALUE"""),"Kinh tế")</f>
        <v>Kinh tế</v>
      </c>
      <c r="C157" s="4" t="str">
        <f>IFERROR(__xludf.DUMMYFUNCTION("""COMPUTED_VALUE"""),"Các yếu tố ảnh hưởng đến ý định sử dụng dịch vụ mua trước trả sau của sinh viên Trường Cao đẳng Kỹ thuật Cao Thắng")</f>
        <v>Các yếu tố ảnh hưởng đến ý định sử dụng dịch vụ mua trước trả sau của sinh viên Trường Cao đẳng Kỹ thuật Cao Thắng</v>
      </c>
      <c r="D157" s="4" t="str">
        <f>IFERROR(__xludf.DUMMYFUNCTION("""COMPUTED_VALUE"""),"Trần Thị Kiều Linh; Lê Quang Vinh; Nguyễn Phúc Tài; Tạ Duy Tài; Phùng Yến Vy")</f>
        <v>Trần Thị Kiều Linh; Lê Quang Vinh; Nguyễn Phúc Tài; Tạ Duy Tài; Phùng Yến Vy</v>
      </c>
      <c r="E157" s="4" t="str">
        <f>IFERROR(__xludf.DUMMYFUNCTION("""COMPUTED_VALUE"""),"Trường Cao đẳng Kỹ thuật Cao Thắng")</f>
        <v>Trường Cao đẳng Kỹ thuật Cao Thắng</v>
      </c>
      <c r="F157" s="4" t="str">
        <f>IFERROR(__xludf.DUMMYFUNCTION("""COMPUTED_VALUE"""),"KTE2026-157.png")</f>
        <v>KTE2026-157.png</v>
      </c>
    </row>
    <row r="158">
      <c r="A158" s="4" t="str">
        <f>IFERROR(__xludf.DUMMYFUNCTION("""COMPUTED_VALUE"""),"KTE2026-158")</f>
        <v>KTE2026-158</v>
      </c>
      <c r="B158" s="4" t="str">
        <f>IFERROR(__xludf.DUMMYFUNCTION("""COMPUTED_VALUE"""),"Kinh tế")</f>
        <v>Kinh tế</v>
      </c>
      <c r="C158" s="4" t="str">
        <f>IFERROR(__xludf.DUMMYFUNCTION("""COMPUTED_VALUE"""),"Các nhân tố ảnh hưởng đến ý định sử dụng phần mềm kế toán trên nền tảng điện toán di động của các doanh nghiệp nhỏ và vừa tại thành phố Cần Thơ")</f>
        <v>Các nhân tố ảnh hưởng đến ý định sử dụng phần mềm kế toán trên nền tảng điện toán di động của các doanh nghiệp nhỏ và vừa tại thành phố Cần Thơ</v>
      </c>
      <c r="D158" s="4" t="str">
        <f>IFERROR(__xludf.DUMMYFUNCTION("""COMPUTED_VALUE"""),"Nguyễn Thị Tuệ Minh; Nguyễn Thị Hiếu; Hứa Hoàng Minh")</f>
        <v>Nguyễn Thị Tuệ Minh; Nguyễn Thị Hiếu; Hứa Hoàng Minh</v>
      </c>
      <c r="E158" s="4" t="str">
        <f>IFERROR(__xludf.DUMMYFUNCTION("""COMPUTED_VALUE"""),"Trường Đại học Tây Đô")</f>
        <v>Trường Đại học Tây Đô</v>
      </c>
      <c r="F158" s="4" t="str">
        <f>IFERROR(__xludf.DUMMYFUNCTION("""COMPUTED_VALUE"""),"KTE2026-158.png")</f>
        <v>KTE2026-158.png</v>
      </c>
    </row>
    <row r="159">
      <c r="A159" s="4" t="str">
        <f>IFERROR(__xludf.DUMMYFUNCTION("""COMPUTED_VALUE"""),"KTE2026-159")</f>
        <v>KTE2026-159</v>
      </c>
      <c r="B159" s="4" t="str">
        <f>IFERROR(__xludf.DUMMYFUNCTION("""COMPUTED_VALUE"""),"Kinh tế")</f>
        <v>Kinh tế</v>
      </c>
      <c r="C159" s="4" t="str">
        <f>IFERROR(__xludf.DUMMYFUNCTION("""COMPUTED_VALUE"""),"Các yếu tố ảnh hưởng đến ý định sử dụng dịch vụ buy now pay later trong mua sắm trực tuyến của thế hệ Gen Z tại thành phố Hồ Chí Minh")</f>
        <v>Các yếu tố ảnh hưởng đến ý định sử dụng dịch vụ buy now pay later trong mua sắm trực tuyến của thế hệ Gen Z tại thành phố Hồ Chí Minh</v>
      </c>
      <c r="D159" s="4" t="str">
        <f>IFERROR(__xludf.DUMMYFUNCTION("""COMPUTED_VALUE"""),"Phan Thanh Trực; Hồ Đắc Phát; Nguyễn Công Đức; Võ Trần Minh Danh")</f>
        <v>Phan Thanh Trực; Hồ Đắc Phát; Nguyễn Công Đức; Võ Trần Minh Danh</v>
      </c>
      <c r="E159" s="4" t="str">
        <f>IFERROR(__xludf.DUMMYFUNCTION("""COMPUTED_VALUE"""),"Trường Đại học Công nghệ Kỹ thuật TP. Hồ Chí Minh")</f>
        <v>Trường Đại học Công nghệ Kỹ thuật TP. Hồ Chí Minh</v>
      </c>
      <c r="F159" s="4" t="str">
        <f>IFERROR(__xludf.DUMMYFUNCTION("""COMPUTED_VALUE"""),"KTE2026-159.png")</f>
        <v>KTE2026-159.png</v>
      </c>
    </row>
    <row r="160">
      <c r="A160" s="4" t="str">
        <f>IFERROR(__xludf.DUMMYFUNCTION("""COMPUTED_VALUE"""),"KTE2026-160")</f>
        <v>KTE2026-160</v>
      </c>
      <c r="B160" s="4" t="str">
        <f>IFERROR(__xludf.DUMMYFUNCTION("""COMPUTED_VALUE"""),"Kinh tế")</f>
        <v>Kinh tế</v>
      </c>
      <c r="C160" s="4" t="str">
        <f>IFERROR(__xludf.DUMMYFUNCTION("""COMPUTED_VALUE"""),"Thực trạng và xu hướng phát triển thanh toán không dùng tiền mặt tại Việt Nam giai đoạn 2022–2026")</f>
        <v>Thực trạng và xu hướng phát triển thanh toán không dùng tiền mặt tại Việt Nam giai đoạn 2022–2026</v>
      </c>
      <c r="D160" s="4" t="str">
        <f>IFERROR(__xludf.DUMMYFUNCTION("""COMPUTED_VALUE"""),"Nguyễn Minh Nhật; Nguyễn Ngọc Thọ; Ngô Phúc Khang")</f>
        <v>Nguyễn Minh Nhật; Nguyễn Ngọc Thọ; Ngô Phúc Khang</v>
      </c>
      <c r="E160" s="4" t="str">
        <f>IFERROR(__xludf.DUMMYFUNCTION("""COMPUTED_VALUE"""),"Trường Đại học Công nghệ Kỹ thuật TP. Hồ Chí Minh")</f>
        <v>Trường Đại học Công nghệ Kỹ thuật TP. Hồ Chí Minh</v>
      </c>
      <c r="F160" s="4" t="str">
        <f>IFERROR(__xludf.DUMMYFUNCTION("""COMPUTED_VALUE"""),"KTE2026-160.png")</f>
        <v>KTE2026-160.png</v>
      </c>
    </row>
    <row r="161">
      <c r="A161" s="4" t="str">
        <f>IFERROR(__xludf.DUMMYFUNCTION("""COMPUTED_VALUE"""),"KTE2026-161")</f>
        <v>KTE2026-161</v>
      </c>
      <c r="B161" s="4" t="str">
        <f>IFERROR(__xludf.DUMMYFUNCTION("""COMPUTED_VALUE"""),"Kinh tế")</f>
        <v>Kinh tế</v>
      </c>
      <c r="C161" s="4" t="str">
        <f>IFERROR(__xludf.DUMMYFUNCTION("""COMPUTED_VALUE"""),"Các yếu tố ảnh hưởng đến ý định chấp nhận sử dụng dịch vụ số ứng dụng công nghệ blockchain của khách hàng cá nhân tại Việt Nam")</f>
        <v>Các yếu tố ảnh hưởng đến ý định chấp nhận sử dụng dịch vụ số ứng dụng công nghệ blockchain của khách hàng cá nhân tại Việt Nam</v>
      </c>
      <c r="D161" s="4" t="str">
        <f>IFERROR(__xludf.DUMMYFUNCTION("""COMPUTED_VALUE"""),"Nguyễn Hoàng Phong")</f>
        <v>Nguyễn Hoàng Phong</v>
      </c>
      <c r="E161" s="4" t="str">
        <f>IFERROR(__xludf.DUMMYFUNCTION("""COMPUTED_VALUE"""),"Trường Đại học Ngoại ngữ - Tin học TP. Hồ Chí Minh")</f>
        <v>Trường Đại học Ngoại ngữ - Tin học TP. Hồ Chí Minh</v>
      </c>
      <c r="F161" s="4" t="str">
        <f>IFERROR(__xludf.DUMMYFUNCTION("""COMPUTED_VALUE"""),"KTE2026-161.png")</f>
        <v>KTE2026-161.png</v>
      </c>
    </row>
    <row r="162">
      <c r="A162" s="4" t="str">
        <f>IFERROR(__xludf.DUMMYFUNCTION("""COMPUTED_VALUE"""),"KTE2026-162")</f>
        <v>KTE2026-162</v>
      </c>
      <c r="B162" s="4" t="str">
        <f>IFERROR(__xludf.DUMMYFUNCTION("""COMPUTED_VALUE"""),"Kinh tế")</f>
        <v>Kinh tế</v>
      </c>
      <c r="C162" s="4" t="str">
        <f>IFERROR(__xludf.DUMMYFUNCTION("""COMPUTED_VALUE"""),"Vai trò của fintech xanh trong việc thúc đẩy bền vững môi trường tại Việt Nam thông qua các dự án ESG")</f>
        <v>Vai trò của fintech xanh trong việc thúc đẩy bền vững môi trường tại Việt Nam thông qua các dự án ESG</v>
      </c>
      <c r="D162" s="4" t="str">
        <f>IFERROR(__xludf.DUMMYFUNCTION("""COMPUTED_VALUE"""),"Nguyễn Thị Thanh Hương; Nguyễn Đăng Khôi; Mai Khánh Duy")</f>
        <v>Nguyễn Thị Thanh Hương; Nguyễn Đăng Khôi; Mai Khánh Duy</v>
      </c>
      <c r="E162" s="4" t="str">
        <f>IFERROR(__xludf.DUMMYFUNCTION("""COMPUTED_VALUE"""),"Trường Đại học Công Thương TP. Hồ Chí Minh")</f>
        <v>Trường Đại học Công Thương TP. Hồ Chí Minh</v>
      </c>
      <c r="F162" s="4" t="str">
        <f>IFERROR(__xludf.DUMMYFUNCTION("""COMPUTED_VALUE"""),"KTE2026-162.png")</f>
        <v>KTE2026-162.png</v>
      </c>
    </row>
    <row r="163">
      <c r="A163" s="4" t="str">
        <f>IFERROR(__xludf.DUMMYFUNCTION("""COMPUTED_VALUE"""),"KTE2026-163")</f>
        <v>KTE2026-163</v>
      </c>
      <c r="B163" s="4" t="str">
        <f>IFERROR(__xludf.DUMMYFUNCTION("""COMPUTED_VALUE"""),"Kinh tế")</f>
        <v>Kinh tế</v>
      </c>
      <c r="C163" s="4" t="str">
        <f>IFERROR(__xludf.DUMMYFUNCTION("""COMPUTED_VALUE"""),"Ảnh hưởng của quá trình phát triển các doanh nghiệp fintech đến sự ổn định của hệ thống ngân hàng thương mại Việt Nam")</f>
        <v>Ảnh hưởng của quá trình phát triển các doanh nghiệp fintech đến sự ổn định của hệ thống ngân hàng thương mại Việt Nam</v>
      </c>
      <c r="D163" s="4" t="str">
        <f>IFERROR(__xludf.DUMMYFUNCTION("""COMPUTED_VALUE"""),"Võ Văn Bình; Nguyễn Thanh Hóa; Nguyễn Tuyết Anh; Bùi Nguyễn Minh Thư; Nguyễn Thái Thùy Anh")</f>
        <v>Võ Văn Bình; Nguyễn Thanh Hóa; Nguyễn Tuyết Anh; Bùi Nguyễn Minh Thư; Nguyễn Thái Thùy Anh</v>
      </c>
      <c r="E163" s="4" t="str">
        <f>IFERROR(__xludf.DUMMYFUNCTION("""COMPUTED_VALUE"""),"Trường Đại học Công Thương TP. Hồ Chí Minh")</f>
        <v>Trường Đại học Công Thương TP. Hồ Chí Minh</v>
      </c>
      <c r="F163" s="4" t="str">
        <f>IFERROR(__xludf.DUMMYFUNCTION("""COMPUTED_VALUE"""),"KTE2026-163.png")</f>
        <v>KTE2026-163.png</v>
      </c>
    </row>
    <row r="164">
      <c r="A164" s="4" t="str">
        <f>IFERROR(__xludf.DUMMYFUNCTION("""COMPUTED_VALUE"""),"KTE2026-164")</f>
        <v>KTE2026-164</v>
      </c>
      <c r="B164" s="4" t="str">
        <f>IFERROR(__xludf.DUMMYFUNCTION("""COMPUTED_VALUE"""),"Kinh tế")</f>
        <v>Kinh tế</v>
      </c>
      <c r="C164" s="4" t="str">
        <f>IFERROR(__xludf.DUMMYFUNCTION("""COMPUTED_VALUE"""),"Nghiên cứu chính sách thuế xanh nhằm thúc đẩy phát triển bền vững ở Việt Nam")</f>
        <v>Nghiên cứu chính sách thuế xanh nhằm thúc đẩy phát triển bền vững ở Việt Nam</v>
      </c>
      <c r="D164" s="4" t="str">
        <f>IFERROR(__xludf.DUMMYFUNCTION("""COMPUTED_VALUE"""),"Bùi Nguyễn Minh Thư; Nguyễn Thái Thùy Anh; Huỳnh Ánh Nguyệt; Hồ Thị Thanh Tuyền; Nguyễn Phúc Gia Hòa")</f>
        <v>Bùi Nguyễn Minh Thư; Nguyễn Thái Thùy Anh; Huỳnh Ánh Nguyệt; Hồ Thị Thanh Tuyền; Nguyễn Phúc Gia Hòa</v>
      </c>
      <c r="E164" s="4" t="str">
        <f>IFERROR(__xludf.DUMMYFUNCTION("""COMPUTED_VALUE"""),"Trường Đại học Công Thương TP. Hồ Chí Minh")</f>
        <v>Trường Đại học Công Thương TP. Hồ Chí Minh</v>
      </c>
      <c r="F164" s="4" t="str">
        <f>IFERROR(__xludf.DUMMYFUNCTION("""COMPUTED_VALUE"""),"KTE2026-164.png")</f>
        <v>KTE2026-164.png</v>
      </c>
    </row>
    <row r="165">
      <c r="A165" s="4" t="str">
        <f>IFERROR(__xludf.DUMMYFUNCTION("""COMPUTED_VALUE"""),"KTE2026-165")</f>
        <v>KTE2026-165</v>
      </c>
      <c r="B165" s="4" t="str">
        <f>IFERROR(__xludf.DUMMYFUNCTION("""COMPUTED_VALUE"""),"Kinh tế")</f>
        <v>Kinh tế</v>
      </c>
      <c r="C165" s="4" t="str">
        <f>IFERROR(__xludf.DUMMYFUNCTION("""COMPUTED_VALUE"""),"Vai trò trung gian của hiểu biết tài chính đến ý định sử dụng dịch vụ fintech của ngân hàng thương mại đối với thế hệ z tại thành phố Hồ Chí Minh")</f>
        <v>Vai trò trung gian của hiểu biết tài chính đến ý định sử dụng dịch vụ fintech của ngân hàng thương mại đối với thế hệ z tại thành phố Hồ Chí Minh</v>
      </c>
      <c r="D165" s="4" t="str">
        <f>IFERROR(__xludf.DUMMYFUNCTION("""COMPUTED_VALUE"""),"Bùi Phước Bảo Hân; Nguyễn Thị Minh Thư; Lê Nguyễn Như Quỳnh; Trần Tiểu Yến; Nguyễn Lê Tuyết Nhi")</f>
        <v>Bùi Phước Bảo Hân; Nguyễn Thị Minh Thư; Lê Nguyễn Như Quỳnh; Trần Tiểu Yến; Nguyễn Lê Tuyết Nhi</v>
      </c>
      <c r="E165" s="4" t="str">
        <f>IFERROR(__xludf.DUMMYFUNCTION("""COMPUTED_VALUE"""),"Trường Đại học Công Thương TP. Hồ Chí Minh")</f>
        <v>Trường Đại học Công Thương TP. Hồ Chí Minh</v>
      </c>
      <c r="F165" s="4" t="str">
        <f>IFERROR(__xludf.DUMMYFUNCTION("""COMPUTED_VALUE"""),"KTE2026-165.png")</f>
        <v>KTE2026-165.png</v>
      </c>
    </row>
    <row r="166">
      <c r="A166" s="4" t="str">
        <f>IFERROR(__xludf.DUMMYFUNCTION("""COMPUTED_VALUE"""),"KTE2026-166")</f>
        <v>KTE2026-166</v>
      </c>
      <c r="B166" s="4" t="str">
        <f>IFERROR(__xludf.DUMMYFUNCTION("""COMPUTED_VALUE"""),"Kinh tế")</f>
        <v>Kinh tế</v>
      </c>
      <c r="C166" s="4" t="str">
        <f>IFERROR(__xludf.DUMMYFUNCTION("""COMPUTED_VALUE"""),"Tín dụng xanh và hiệu quả tài chính của ngân hàng thương mại cổ phần tại Việt Nam: Vai trò điều tiết của quy mô")</f>
        <v>Tín dụng xanh và hiệu quả tài chính của ngân hàng thương mại cổ phần tại Việt Nam: Vai trò điều tiết của quy mô</v>
      </c>
      <c r="D166" s="4" t="str">
        <f>IFERROR(__xludf.DUMMYFUNCTION("""COMPUTED_VALUE"""),"Đinh Thị Bích Ngọc; Đinh Thị Kiều Oanh; Trần Đông Trường; Phạm An Khương; Nguyễn Nhật Hạ Tin")</f>
        <v>Đinh Thị Bích Ngọc; Đinh Thị Kiều Oanh; Trần Đông Trường; Phạm An Khương; Nguyễn Nhật Hạ Tin</v>
      </c>
      <c r="E166" s="4" t="str">
        <f>IFERROR(__xludf.DUMMYFUNCTION("""COMPUTED_VALUE"""),"Trường Đại học Công Thương TP. Hồ Chí Minh")</f>
        <v>Trường Đại học Công Thương TP. Hồ Chí Minh</v>
      </c>
      <c r="F166" s="4" t="str">
        <f>IFERROR(__xludf.DUMMYFUNCTION("""COMPUTED_VALUE"""),"KTE2026-166.png")</f>
        <v>KTE2026-166.png</v>
      </c>
    </row>
    <row r="167">
      <c r="A167" s="4" t="str">
        <f>IFERROR(__xludf.DUMMYFUNCTION("""COMPUTED_VALUE"""),"KTE2026-167")</f>
        <v>KTE2026-167</v>
      </c>
      <c r="B167" s="4" t="str">
        <f>IFERROR(__xludf.DUMMYFUNCTION("""COMPUTED_VALUE"""),"Kinh tế")</f>
        <v>Kinh tế</v>
      </c>
      <c r="C167" s="4" t="str">
        <f>IFERROR(__xludf.DUMMYFUNCTION("""COMPUTED_VALUE"""),"Mối liên hệ bất đối xứng giữa công nghệ xanh, phát triển tài chính, bất định chính sách kinh tế và tính bền vững môi trường tại Việt Nam")</f>
        <v>Mối liên hệ bất đối xứng giữa công nghệ xanh, phát triển tài chính, bất định chính sách kinh tế và tính bền vững môi trường tại Việt Nam</v>
      </c>
      <c r="D167" s="4" t="str">
        <f>IFERROR(__xludf.DUMMYFUNCTION("""COMPUTED_VALUE"""),"Trần Hoàng Minh Ánh; Phan Như Trúc Huyền; Ngô Nguyễn Tường Vy; Nguyễn Phương Thảo; Trương Thị Mỹ Trà")</f>
        <v>Trần Hoàng Minh Ánh; Phan Như Trúc Huyền; Ngô Nguyễn Tường Vy; Nguyễn Phương Thảo; Trương Thị Mỹ Trà</v>
      </c>
      <c r="E167" s="4" t="str">
        <f>IFERROR(__xludf.DUMMYFUNCTION("""COMPUTED_VALUE"""),"Trường Đại học Tài chính - Marketing")</f>
        <v>Trường Đại học Tài chính - Marketing</v>
      </c>
      <c r="F167" s="4" t="str">
        <f>IFERROR(__xludf.DUMMYFUNCTION("""COMPUTED_VALUE"""),"KTE2026-167.png")</f>
        <v>KTE2026-167.png</v>
      </c>
    </row>
    <row r="168">
      <c r="A168" s="4" t="str">
        <f>IFERROR(__xludf.DUMMYFUNCTION("""COMPUTED_VALUE"""),"KTE2026-168")</f>
        <v>KTE2026-168</v>
      </c>
      <c r="B168" s="4" t="str">
        <f>IFERROR(__xludf.DUMMYFUNCTION("""COMPUTED_VALUE"""),"Kinh tế")</f>
        <v>Kinh tế</v>
      </c>
      <c r="C168" s="4" t="str">
        <f>IFERROR(__xludf.DUMMYFUNCTION("""COMPUTED_VALUE"""),"Tác động của dịch vụ mua trước, trả sau (BNPL) đến hành vi mua sắm bốc đồng và rủi ro tài chính của thế hệ z: Bằng chứng thực nghiệm tại thành phố Hồ Chí Minh")</f>
        <v>Tác động của dịch vụ mua trước, trả sau (BNPL) đến hành vi mua sắm bốc đồng và rủi ro tài chính của thế hệ z: Bằng chứng thực nghiệm tại thành phố Hồ Chí Minh</v>
      </c>
      <c r="D168" s="4" t="str">
        <f>IFERROR(__xludf.DUMMYFUNCTION("""COMPUTED_VALUE"""),"Trần Lê Thanh Trúc; Nguyễn Ngọc Duy Anh; Nguyễn Thị Như Ý; Bùi Thị Kiều Tiên; Trương Quang Thanh Phúc")</f>
        <v>Trần Lê Thanh Trúc; Nguyễn Ngọc Duy Anh; Nguyễn Thị Như Ý; Bùi Thị Kiều Tiên; Trương Quang Thanh Phúc</v>
      </c>
      <c r="E168" s="4" t="str">
        <f>IFERROR(__xludf.DUMMYFUNCTION("""COMPUTED_VALUE"""),"Trường Đại học Công Thương TP. Hồ Chí Minh")</f>
        <v>Trường Đại học Công Thương TP. Hồ Chí Minh</v>
      </c>
      <c r="F168" s="4" t="str">
        <f>IFERROR(__xludf.DUMMYFUNCTION("""COMPUTED_VALUE"""),"KTE2026-168.png")</f>
        <v>KTE2026-168.png</v>
      </c>
    </row>
    <row r="169">
      <c r="A169" s="4" t="str">
        <f>IFERROR(__xludf.DUMMYFUNCTION("""COMPUTED_VALUE"""),"KTE2026-169")</f>
        <v>KTE2026-169</v>
      </c>
      <c r="B169" s="4" t="str">
        <f>IFERROR(__xludf.DUMMYFUNCTION("""COMPUTED_VALUE"""),"Kinh tế")</f>
        <v>Kinh tế</v>
      </c>
      <c r="C169" s="4" t="str">
        <f>IFERROR(__xludf.DUMMYFUNCTION("""COMPUTED_VALUE"""),"Vận dụng phương pháp bao dữ liệu để đo lường hiệu quả hoạt động tại Ngân hàng TMCP Đầu tư và Phát triển Việt Nam")</f>
        <v>Vận dụng phương pháp bao dữ liệu để đo lường hiệu quả hoạt động tại Ngân hàng TMCP Đầu tư và Phát triển Việt Nam</v>
      </c>
      <c r="D169" s="4" t="str">
        <f>IFERROR(__xludf.DUMMYFUNCTION("""COMPUTED_VALUE"""),"Lê Thị Trang; Phạm Thị Trang; Phạm Ngọc Phượng; Lê Thị Thanh Hiền; Đào Thị Thủy")</f>
        <v>Lê Thị Trang; Phạm Thị Trang; Phạm Ngọc Phượng; Lê Thị Thanh Hiền; Đào Thị Thủy</v>
      </c>
      <c r="E169" s="4" t="str">
        <f>IFERROR(__xludf.DUMMYFUNCTION("""COMPUTED_VALUE"""),"Trường Đại học Hồng Đức")</f>
        <v>Trường Đại học Hồng Đức</v>
      </c>
      <c r="F169" s="4" t="str">
        <f>IFERROR(__xludf.DUMMYFUNCTION("""COMPUTED_VALUE"""),"KTE2026-169.png")</f>
        <v>KTE2026-169.png</v>
      </c>
    </row>
    <row r="170">
      <c r="A170" s="4" t="str">
        <f>IFERROR(__xludf.DUMMYFUNCTION("""COMPUTED_VALUE"""),"KTE2026-170")</f>
        <v>KTE2026-170</v>
      </c>
      <c r="B170" s="4" t="str">
        <f>IFERROR(__xludf.DUMMYFUNCTION("""COMPUTED_VALUE"""),"Kinh tế")</f>
        <v>Kinh tế</v>
      </c>
      <c r="C170" s="4" t="str">
        <f>IFERROR(__xludf.DUMMYFUNCTION("""COMPUTED_VALUE"""),"When intelligent payments build trust but trigger anxiety: Understanding millennials’ continuance intention")</f>
        <v>When intelligent payments build trust but trigger anxiety: Understanding millennials’ continuance intention</v>
      </c>
      <c r="D170" s="4" t="str">
        <f>IFERROR(__xludf.DUMMYFUNCTION("""COMPUTED_VALUE"""),"Nguyễn Hoàng Mai Linh")</f>
        <v>Nguyễn Hoàng Mai Linh</v>
      </c>
      <c r="E170" s="4" t="str">
        <f>IFERROR(__xludf.DUMMYFUNCTION("""COMPUTED_VALUE"""),"Trường Đại học Ngoại ngữ - Tin học TP. Hồ Chí Minh")</f>
        <v>Trường Đại học Ngoại ngữ - Tin học TP. Hồ Chí Minh</v>
      </c>
      <c r="F170" s="4" t="str">
        <f>IFERROR(__xludf.DUMMYFUNCTION("""COMPUTED_VALUE"""),"KTE2026-170.png")</f>
        <v>KTE2026-170.png</v>
      </c>
    </row>
    <row r="171">
      <c r="A171" s="4" t="str">
        <f>IFERROR(__xludf.DUMMYFUNCTION("""COMPUTED_VALUE"""),"KTE2026-171")</f>
        <v>KTE2026-171</v>
      </c>
      <c r="B171" s="4" t="str">
        <f>IFERROR(__xludf.DUMMYFUNCTION("""COMPUTED_VALUE"""),"Kinh tế")</f>
        <v>Kinh tế</v>
      </c>
      <c r="C171" s="4" t="str">
        <f>IFERROR(__xludf.DUMMYFUNCTION("""COMPUTED_VALUE"""),"Understanding the role of service co-creation literacy in enhancing customer loyalty on fintech platforms")</f>
        <v>Understanding the role of service co-creation literacy in enhancing customer loyalty on fintech platforms</v>
      </c>
      <c r="D171" s="4" t="str">
        <f>IFERROR(__xludf.DUMMYFUNCTION("""COMPUTED_VALUE"""),"Nguyễn Khánh Ngọc")</f>
        <v>Nguyễn Khánh Ngọc</v>
      </c>
      <c r="E171" s="4" t="str">
        <f>IFERROR(__xludf.DUMMYFUNCTION("""COMPUTED_VALUE"""),"Trường Đại học Ngoại ngữ - Tin học TP. Hồ Chí Minh")</f>
        <v>Trường Đại học Ngoại ngữ - Tin học TP. Hồ Chí Minh</v>
      </c>
      <c r="F171" s="4" t="str">
        <f>IFERROR(__xludf.DUMMYFUNCTION("""COMPUTED_VALUE"""),"KTE2026-171.png")</f>
        <v>KTE2026-171.png</v>
      </c>
    </row>
    <row r="172">
      <c r="A172" s="4" t="str">
        <f>IFERROR(__xludf.DUMMYFUNCTION("""COMPUTED_VALUE"""),"KTE2026-172")</f>
        <v>KTE2026-172</v>
      </c>
      <c r="B172" s="4" t="str">
        <f>IFERROR(__xludf.DUMMYFUNCTION("""COMPUTED_VALUE"""),"Kinh tế")</f>
        <v>Kinh tế</v>
      </c>
      <c r="C172" s="4" t="str">
        <f>IFERROR(__xludf.DUMMYFUNCTION("""COMPUTED_VALUE"""),"Các yếu tố ảnh hưởng đến ý định sử dụng robo-advisor như công cụ hỗ trợ ra quyết định của nhà đầu tư chứng khoán cá nhân: Vai trò trung gian của niềm tin nhận thức về năng lực và tính chính trực")</f>
        <v>Các yếu tố ảnh hưởng đến ý định sử dụng robo-advisor như công cụ hỗ trợ ra quyết định của nhà đầu tư chứng khoán cá nhân: Vai trò trung gian của niềm tin nhận thức về năng lực và tính chính trực</v>
      </c>
      <c r="D172" s="4" t="str">
        <f>IFERROR(__xludf.DUMMYFUNCTION("""COMPUTED_VALUE"""),"Phạm Thùy Linh")</f>
        <v>Phạm Thùy Linh</v>
      </c>
      <c r="E172" s="4" t="str">
        <f>IFERROR(__xludf.DUMMYFUNCTION("""COMPUTED_VALUE"""),"Viện Nghiên cứu và Đào tạo Việt - Anh, Đại học Đà Nẵng")</f>
        <v>Viện Nghiên cứu và Đào tạo Việt - Anh, Đại học Đà Nẵng</v>
      </c>
      <c r="F172" s="4" t="str">
        <f>IFERROR(__xludf.DUMMYFUNCTION("""COMPUTED_VALUE"""),"KTE2026-172.png")</f>
        <v>KTE2026-172.png</v>
      </c>
    </row>
    <row r="173">
      <c r="A173" s="4" t="str">
        <f>IFERROR(__xludf.DUMMYFUNCTION("""COMPUTED_VALUE"""),"KTE2026-173")</f>
        <v>KTE2026-173</v>
      </c>
      <c r="B173" s="4" t="str">
        <f>IFERROR(__xludf.DUMMYFUNCTION("""COMPUTED_VALUE"""),"Kinh tế")</f>
        <v>Kinh tế</v>
      </c>
      <c r="C173" s="4" t="str">
        <f>IFERROR(__xludf.DUMMYFUNCTION("""COMPUTED_VALUE"""),"Climate stress, investor attention and downside risk in global financial markets: A machine learning analysis")</f>
        <v>Climate stress, investor attention and downside risk in global financial markets: A machine learning analysis</v>
      </c>
      <c r="D173" s="4" t="str">
        <f>IFERROR(__xludf.DUMMYFUNCTION("""COMPUTED_VALUE"""),"Hoàng Minh Hiếu")</f>
        <v>Hoàng Minh Hiếu</v>
      </c>
      <c r="E173" s="4" t="str">
        <f>IFERROR(__xludf.DUMMYFUNCTION("""COMPUTED_VALUE"""),"Trường Đại học Ngoại thương")</f>
        <v>Trường Đại học Ngoại thương</v>
      </c>
      <c r="F173" s="4" t="str">
        <f>IFERROR(__xludf.DUMMYFUNCTION("""COMPUTED_VALUE"""),"KTE2026-173.png")</f>
        <v>KTE2026-173.png</v>
      </c>
    </row>
    <row r="174">
      <c r="A174" s="4" t="str">
        <f>IFERROR(__xludf.DUMMYFUNCTION("""COMPUTED_VALUE"""),"KTE2026-174")</f>
        <v>KTE2026-174</v>
      </c>
      <c r="B174" s="4" t="str">
        <f>IFERROR(__xludf.DUMMYFUNCTION("""COMPUTED_VALUE"""),"Kinh tế")</f>
        <v>Kinh tế</v>
      </c>
      <c r="C174" s="4" t="str">
        <f>IFERROR(__xludf.DUMMYFUNCTION("""COMPUTED_VALUE"""),"From AI optimism to climate skepticism: AI adoption, climate transition risk, and cost of equity capital in ASEAN")</f>
        <v>From AI optimism to climate skepticism: AI adoption, climate transition risk, and cost of equity capital in ASEAN</v>
      </c>
      <c r="D174" s="4" t="str">
        <f>IFERROR(__xludf.DUMMYFUNCTION("""COMPUTED_VALUE"""),"Vũ Quốc Mạnh; Vũ Thị Hà Trang; Nguyễn Lưu Vân Khánh; Hoàng Vũ Quỳnh Anh")</f>
        <v>Vũ Quốc Mạnh; Vũ Thị Hà Trang; Nguyễn Lưu Vân Khánh; Hoàng Vũ Quỳnh Anh</v>
      </c>
      <c r="E174" s="4" t="str">
        <f>IFERROR(__xludf.DUMMYFUNCTION("""COMPUTED_VALUE"""),"Trường Đại học Ngoại thương")</f>
        <v>Trường Đại học Ngoại thương</v>
      </c>
      <c r="F174" s="4" t="str">
        <f>IFERROR(__xludf.DUMMYFUNCTION("""COMPUTED_VALUE"""),"KTE2026-174.png")</f>
        <v>KTE2026-174.png</v>
      </c>
    </row>
    <row r="175">
      <c r="A175" s="4" t="str">
        <f>IFERROR(__xludf.DUMMYFUNCTION("""COMPUTED_VALUE"""),"KTE2026-175")</f>
        <v>KTE2026-175</v>
      </c>
      <c r="B175" s="4" t="str">
        <f>IFERROR(__xludf.DUMMYFUNCTION("""COMPUTED_VALUE"""),"Kinh tế")</f>
        <v>Kinh tế</v>
      </c>
      <c r="C175" s="4" t="str">
        <f>IFERROR(__xludf.DUMMYFUNCTION("""COMPUTED_VALUE"""),"Các nhân tố ảnh hưởng tới khả năng chống chịu và phục hồi của thị trường chứng khoán Việt Nam trong cú sốc thuế đối ứng năm 2025")</f>
        <v>Các nhân tố ảnh hưởng tới khả năng chống chịu và phục hồi của thị trường chứng khoán Việt Nam trong cú sốc thuế đối ứng năm 2025</v>
      </c>
      <c r="D175" s="4" t="str">
        <f>IFERROR(__xludf.DUMMYFUNCTION("""COMPUTED_VALUE"""),"Trần Quốc Thái; Phạm Hạnh Nguyên; Nguyễn Thúc Quỳnh Chi; Lương Mạnh Đức; Hoàng Minh Anh")</f>
        <v>Trần Quốc Thái; Phạm Hạnh Nguyên; Nguyễn Thúc Quỳnh Chi; Lương Mạnh Đức; Hoàng Minh Anh</v>
      </c>
      <c r="E175" s="4" t="str">
        <f>IFERROR(__xludf.DUMMYFUNCTION("""COMPUTED_VALUE"""),"Trường Đại học Ngoại thương")</f>
        <v>Trường Đại học Ngoại thương</v>
      </c>
      <c r="F175" s="4" t="str">
        <f>IFERROR(__xludf.DUMMYFUNCTION("""COMPUTED_VALUE"""),"KTE2026-175.png")</f>
        <v>KTE2026-175.png</v>
      </c>
    </row>
    <row r="176">
      <c r="A176" s="4" t="str">
        <f>IFERROR(__xludf.DUMMYFUNCTION("""COMPUTED_VALUE"""),"KTE2026-176")</f>
        <v>KTE2026-176</v>
      </c>
      <c r="B176" s="4" t="str">
        <f>IFERROR(__xludf.DUMMYFUNCTION("""COMPUTED_VALUE"""),"Kinh tế")</f>
        <v>Kinh tế</v>
      </c>
      <c r="C176" s="4" t="str">
        <f>IFERROR(__xludf.DUMMYFUNCTION("""COMPUTED_VALUE"""),"Tác động của hành vi tránh thuế và chất lượng quản trị hành chính địa phương đến mức độ chấp nhận rủi ro của doanh nghiệp: Bằng chứng thực nghiệm từ các doanh nghiệp niêm yết Việt Nam")</f>
        <v>Tác động của hành vi tránh thuế và chất lượng quản trị hành chính địa phương đến mức độ chấp nhận rủi ro của doanh nghiệp: Bằng chứng thực nghiệm từ các doanh nghiệp niêm yết Việt Nam</v>
      </c>
      <c r="D176" s="4" t="str">
        <f>IFERROR(__xludf.DUMMYFUNCTION("""COMPUTED_VALUE"""),"Phạm Vũ Thanh Nhàn; Chu Phương Thảo; Trần Linh Giang; Hoàng Thảo Linh; Lê Thị Minh Trâm")</f>
        <v>Phạm Vũ Thanh Nhàn; Chu Phương Thảo; Trần Linh Giang; Hoàng Thảo Linh; Lê Thị Minh Trâm</v>
      </c>
      <c r="E176" s="4" t="str">
        <f>IFERROR(__xludf.DUMMYFUNCTION("""COMPUTED_VALUE"""),"Trường Đại học Ngoại thương")</f>
        <v>Trường Đại học Ngoại thương</v>
      </c>
      <c r="F176" s="4" t="str">
        <f>IFERROR(__xludf.DUMMYFUNCTION("""COMPUTED_VALUE"""),"KTE2026-176.png")</f>
        <v>KTE2026-176.png</v>
      </c>
    </row>
    <row r="177">
      <c r="A177" s="4" t="str">
        <f>IFERROR(__xludf.DUMMYFUNCTION("""COMPUTED_VALUE"""),"KTE2026-177")</f>
        <v>KTE2026-177</v>
      </c>
      <c r="B177" s="4" t="str">
        <f>IFERROR(__xludf.DUMMYFUNCTION("""COMPUTED_VALUE"""),"Kinh tế")</f>
        <v>Kinh tế</v>
      </c>
      <c r="C177" s="4" t="str">
        <f>IFERROR(__xludf.DUMMYFUNCTION("""COMPUTED_VALUE"""),"Tích hợp tài chính hành vi vào quản trị rủi ro tài chính định lượng: Mô hình phòng vệ rủi ro danh mục thích ứng theo trạng thái tâm lý thị trường – bằng chứng từ thị trường chứng khoán Việt Nam")</f>
        <v>Tích hợp tài chính hành vi vào quản trị rủi ro tài chính định lượng: Mô hình phòng vệ rủi ro danh mục thích ứng theo trạng thái tâm lý thị trường – bằng chứng từ thị trường chứng khoán Việt Nam</v>
      </c>
      <c r="D177" s="4" t="str">
        <f>IFERROR(__xludf.DUMMYFUNCTION("""COMPUTED_VALUE"""),"Đỗ Thành Đạt")</f>
        <v>Đỗ Thành Đạt</v>
      </c>
      <c r="E177" s="4" t="str">
        <f>IFERROR(__xludf.DUMMYFUNCTION("""COMPUTED_VALUE"""),"Trường Đại học Ngoại thương")</f>
        <v>Trường Đại học Ngoại thương</v>
      </c>
      <c r="F177" s="4" t="str">
        <f>IFERROR(__xludf.DUMMYFUNCTION("""COMPUTED_VALUE"""),"KTE2026-177.png")</f>
        <v>KTE2026-177.png</v>
      </c>
    </row>
    <row r="178">
      <c r="A178" s="4" t="str">
        <f>IFERROR(__xludf.DUMMYFUNCTION("""COMPUTED_VALUE"""),"KTE2026-178")</f>
        <v>KTE2026-178</v>
      </c>
      <c r="B178" s="4" t="str">
        <f>IFERROR(__xludf.DUMMYFUNCTION("""COMPUTED_VALUE"""),"Kinh tế")</f>
        <v>Kinh tế</v>
      </c>
      <c r="C178" s="4" t="str">
        <f>IFERROR(__xludf.DUMMYFUNCTION("""COMPUTED_VALUE"""),"Tác động của chu kỳ kinh tế đến hiệu quả tài chính của các ngân hàng mục tiêu hậu M&amp;A tại Việt Nam: Trường hợp các giao dịch mua bán cổ phần chiến lược")</f>
        <v>Tác động của chu kỳ kinh tế đến hiệu quả tài chính của các ngân hàng mục tiêu hậu M&amp;A tại Việt Nam: Trường hợp các giao dịch mua bán cổ phần chiến lược</v>
      </c>
      <c r="D178" s="4" t="str">
        <f>IFERROR(__xludf.DUMMYFUNCTION("""COMPUTED_VALUE"""),"Lưu Thị Phương Nhung; Đỗ Minh Châu; Bùi Đức Hiếu; Bùi Diệu Linh")</f>
        <v>Lưu Thị Phương Nhung; Đỗ Minh Châu; Bùi Đức Hiếu; Bùi Diệu Linh</v>
      </c>
      <c r="E178" s="4" t="str">
        <f>IFERROR(__xludf.DUMMYFUNCTION("""COMPUTED_VALUE"""),"Trường Đại học Ngoại thương")</f>
        <v>Trường Đại học Ngoại thương</v>
      </c>
      <c r="F178" s="4" t="str">
        <f>IFERROR(__xludf.DUMMYFUNCTION("""COMPUTED_VALUE"""),"KTE2026-178.png")</f>
        <v>KTE2026-178.png</v>
      </c>
    </row>
    <row r="179">
      <c r="A179" s="4" t="str">
        <f>IFERROR(__xludf.DUMMYFUNCTION("""COMPUTED_VALUE"""),"KTE2026-179")</f>
        <v>KTE2026-179</v>
      </c>
      <c r="B179" s="4" t="str">
        <f>IFERROR(__xludf.DUMMYFUNCTION("""COMPUTED_VALUE"""),"Kinh tế")</f>
        <v>Kinh tế</v>
      </c>
      <c r="C179" s="4" t="str">
        <f>IFERROR(__xludf.DUMMYFUNCTION("""COMPUTED_VALUE"""),"Thiết kế mô hình hỗ trợ cộng đồng 3C nhằm nâng cao năng lực tuân thủ thuế của hộ kinh doanh trong môi trường số")</f>
        <v>Thiết kế mô hình hỗ trợ cộng đồng 3C nhằm nâng cao năng lực tuân thủ thuế của hộ kinh doanh trong môi trường số</v>
      </c>
      <c r="D179" s="4" t="str">
        <f>IFERROR(__xludf.DUMMYFUNCTION("""COMPUTED_VALUE"""),"Châu Hoàng Phi Khanh")</f>
        <v>Châu Hoàng Phi Khanh</v>
      </c>
      <c r="E179" s="4" t="str">
        <f>IFERROR(__xludf.DUMMYFUNCTION("""COMPUTED_VALUE"""),"Trường Cao đẳng Kinh tế Đối ngoại")</f>
        <v>Trường Cao đẳng Kinh tế Đối ngoại</v>
      </c>
      <c r="F179" s="4" t="str">
        <f>IFERROR(__xludf.DUMMYFUNCTION("""COMPUTED_VALUE"""),"KTE2026-179.png")</f>
        <v>KTE2026-179.png</v>
      </c>
    </row>
    <row r="180">
      <c r="A180" s="4" t="str">
        <f>IFERROR(__xludf.DUMMYFUNCTION("""COMPUTED_VALUE"""),"KTE2026-180")</f>
        <v>KTE2026-180</v>
      </c>
      <c r="B180" s="4" t="str">
        <f>IFERROR(__xludf.DUMMYFUNCTION("""COMPUTED_VALUE"""),"Kinh tế")</f>
        <v>Kinh tế</v>
      </c>
      <c r="C180" s="4" t="str">
        <f>IFERROR(__xludf.DUMMYFUNCTION("""COMPUTED_VALUE"""),"A-COMPASS: Mô hình đánh giá mức độ đáp ứng và khoảng cách năng lực theo vị trí việc làm cho sinh viên kế toán trình độ cao đẳng")</f>
        <v>A-COMPASS: Mô hình đánh giá mức độ đáp ứng và khoảng cách năng lực theo vị trí việc làm cho sinh viên kế toán trình độ cao đẳng</v>
      </c>
      <c r="D180" s="4" t="str">
        <f>IFERROR(__xludf.DUMMYFUNCTION("""COMPUTED_VALUE"""),"Vũ Thị Thanh Trang; Nguyễn Thị Khánh Huyền; Danh Thùy Vân; Nguyễn Trọng Hào; Nguyễn Xuân Thành")</f>
        <v>Vũ Thị Thanh Trang; Nguyễn Thị Khánh Huyền; Danh Thùy Vân; Nguyễn Trọng Hào; Nguyễn Xuân Thành</v>
      </c>
      <c r="E180" s="4" t="str">
        <f>IFERROR(__xludf.DUMMYFUNCTION("""COMPUTED_VALUE"""),"Trường Cao đẳng Kinh tế Đối ngoại")</f>
        <v>Trường Cao đẳng Kinh tế Đối ngoại</v>
      </c>
      <c r="F180" s="4" t="str">
        <f>IFERROR(__xludf.DUMMYFUNCTION("""COMPUTED_VALUE"""),"KTE2026-180.png")</f>
        <v>KTE2026-180.png</v>
      </c>
    </row>
    <row r="181">
      <c r="A181" s="4" t="str">
        <f>IFERROR(__xludf.DUMMYFUNCTION("""COMPUTED_VALUE"""),"KTE2026-181")</f>
        <v>KTE2026-181</v>
      </c>
      <c r="B181" s="4" t="str">
        <f>IFERROR(__xludf.DUMMYFUNCTION("""COMPUTED_VALUE"""),"Kinh tế")</f>
        <v>Kinh tế</v>
      </c>
      <c r="C181" s="4" t="str">
        <f>IFERROR(__xludf.DUMMYFUNCTION("""COMPUTED_VALUE"""),"Các yếu tố ảnh hưởng đến mức độ sẵn sàng công bố thông tin ESG của doanh nghiệp nhỏ và vừa trong bối cảnh chuyển đổi số kế toán")</f>
        <v>Các yếu tố ảnh hưởng đến mức độ sẵn sàng công bố thông tin ESG của doanh nghiệp nhỏ và vừa trong bối cảnh chuyển đổi số kế toán</v>
      </c>
      <c r="D181" s="4" t="str">
        <f>IFERROR(__xludf.DUMMYFUNCTION("""COMPUTED_VALUE"""),"Lương Thị Kim Oanh; Nguyễn Thị Hồng Phúc; Phan Thị Thùy An; Phan Vĩ Khang; Phạm Trang Nhung")</f>
        <v>Lương Thị Kim Oanh; Nguyễn Thị Hồng Phúc; Phan Thị Thùy An; Phan Vĩ Khang; Phạm Trang Nhung</v>
      </c>
      <c r="E181" s="4" t="str">
        <f>IFERROR(__xludf.DUMMYFUNCTION("""COMPUTED_VALUE"""),"Trường Đại học Bình Dương")</f>
        <v>Trường Đại học Bình Dương</v>
      </c>
      <c r="F181" s="4" t="str">
        <f>IFERROR(__xludf.DUMMYFUNCTION("""COMPUTED_VALUE"""),"KTE2026-181.png")</f>
        <v>KTE2026-181.png</v>
      </c>
    </row>
    <row r="182">
      <c r="A182" s="4" t="str">
        <f>IFERROR(__xludf.DUMMYFUNCTION("""COMPUTED_VALUE"""),"KTE2026-182")</f>
        <v>KTE2026-182</v>
      </c>
      <c r="B182" s="4" t="str">
        <f>IFERROR(__xludf.DUMMYFUNCTION("""COMPUTED_VALUE"""),"Kinh tế")</f>
        <v>Kinh tế</v>
      </c>
      <c r="C182" s="4" t="str">
        <f>IFERROR(__xludf.DUMMYFUNCTION("""COMPUTED_VALUE"""),"Những nhân tố tác động đến áp dụng kế toán xanh tại các doanh nghiệp sản xuất trên địa bàn thành phố Hồ Chí Minh")</f>
        <v>Những nhân tố tác động đến áp dụng kế toán xanh tại các doanh nghiệp sản xuất trên địa bàn thành phố Hồ Chí Minh</v>
      </c>
      <c r="D182" s="4" t="str">
        <f>IFERROR(__xludf.DUMMYFUNCTION("""COMPUTED_VALUE"""),"Vũ Thị Minh Thư; Nguyễn Thị Thanh Thảo; Đào Thị Yến Vy")</f>
        <v>Vũ Thị Minh Thư; Nguyễn Thị Thanh Thảo; Đào Thị Yến Vy</v>
      </c>
      <c r="E182" s="4" t="str">
        <f>IFERROR(__xludf.DUMMYFUNCTION("""COMPUTED_VALUE"""),"Trường Đại học Bình Dương")</f>
        <v>Trường Đại học Bình Dương</v>
      </c>
      <c r="F182" s="4" t="str">
        <f>IFERROR(__xludf.DUMMYFUNCTION("""COMPUTED_VALUE"""),"KTE2026-182.png")</f>
        <v>KTE2026-182.png</v>
      </c>
    </row>
    <row r="183">
      <c r="A183" s="4" t="str">
        <f>IFERROR(__xludf.DUMMYFUNCTION("""COMPUTED_VALUE"""),"KTE2026-183")</f>
        <v>KTE2026-183</v>
      </c>
      <c r="B183" s="4" t="str">
        <f>IFERROR(__xludf.DUMMYFUNCTION("""COMPUTED_VALUE"""),"Kinh tế")</f>
        <v>Kinh tế</v>
      </c>
      <c r="C183" s="4" t="str">
        <f>IFERROR(__xludf.DUMMYFUNCTION("""COMPUTED_VALUE"""),"The impact of the anchoring and adjustment bias on analysts’ forecast: Empirical evidence from VN30")</f>
        <v>The impact of the anchoring and adjustment bias on analysts’ forecast: Empirical evidence from VN30</v>
      </c>
      <c r="D183" s="4" t="str">
        <f>IFERROR(__xludf.DUMMYFUNCTION("""COMPUTED_VALUE"""),"Ngô Thị Anh Thư; Phạm Thị Thanh Tuyền; Nguyễn Hoàng Yến Nhi; Võ Huỳnh Thảo Nhi")</f>
        <v>Ngô Thị Anh Thư; Phạm Thị Thanh Tuyền; Nguyễn Hoàng Yến Nhi; Võ Huỳnh Thảo Nhi</v>
      </c>
      <c r="E183" s="4" t="str">
        <f>IFERROR(__xludf.DUMMYFUNCTION("""COMPUTED_VALUE"""),"Trường Đại học Quốc tế, ĐHQG-HCM")</f>
        <v>Trường Đại học Quốc tế, ĐHQG-HCM</v>
      </c>
      <c r="F183" s="4" t="str">
        <f>IFERROR(__xludf.DUMMYFUNCTION("""COMPUTED_VALUE"""),"KTE2026-183.png")</f>
        <v>KTE2026-183.png</v>
      </c>
    </row>
    <row r="184">
      <c r="A184" s="4" t="str">
        <f>IFERROR(__xludf.DUMMYFUNCTION("""COMPUTED_VALUE"""),"KTE2026-184")</f>
        <v>KTE2026-184</v>
      </c>
      <c r="B184" s="4" t="str">
        <f>IFERROR(__xludf.DUMMYFUNCTION("""COMPUTED_VALUE"""),"Kinh tế")</f>
        <v>Kinh tế</v>
      </c>
      <c r="C184" s="4" t="str">
        <f>IFERROR(__xludf.DUMMYFUNCTION("""COMPUTED_VALUE"""),"The Lunar New Year effect on trading behaviors: Evidence from the Vietnam gold market")</f>
        <v>The Lunar New Year effect on trading behaviors: Evidence from the Vietnam gold market</v>
      </c>
      <c r="D184" s="4" t="str">
        <f>IFERROR(__xludf.DUMMYFUNCTION("""COMPUTED_VALUE"""),"Võ Nguyên Phúc; Đào Thị Hồng Ngọc; Trương Phú Hưng; Lâm Kim Vy; Đỗ Minh Nhiên")</f>
        <v>Võ Nguyên Phúc; Đào Thị Hồng Ngọc; Trương Phú Hưng; Lâm Kim Vy; Đỗ Minh Nhiên</v>
      </c>
      <c r="E184" s="4" t="str">
        <f>IFERROR(__xludf.DUMMYFUNCTION("""COMPUTED_VALUE"""),"Trường Đại học Quốc tế, ĐHQG-HCM")</f>
        <v>Trường Đại học Quốc tế, ĐHQG-HCM</v>
      </c>
      <c r="F184" s="4" t="str">
        <f>IFERROR(__xludf.DUMMYFUNCTION("""COMPUTED_VALUE"""),"KTE2026-184.png")</f>
        <v>KTE2026-184.png</v>
      </c>
    </row>
    <row r="185">
      <c r="A185" s="4" t="str">
        <f>IFERROR(__xludf.DUMMYFUNCTION("""COMPUTED_VALUE"""),"KTE2026-185")</f>
        <v>KTE2026-185</v>
      </c>
      <c r="B185" s="4" t="str">
        <f>IFERROR(__xludf.DUMMYFUNCTION("""COMPUTED_VALUE"""),"Kinh tế")</f>
        <v>Kinh tế</v>
      </c>
      <c r="C185" s="4" t="str">
        <f>IFERROR(__xludf.DUMMYFUNCTION("""COMPUTED_VALUE"""),"Tác động của Basel III đến hiệu quả hoạt động và rủi ro tín dụng của ngân hàng thương mại tại ASEAN-5: Bài học kinh nghiệm cho Việt Nam")</f>
        <v>Tác động của Basel III đến hiệu quả hoạt động và rủi ro tín dụng của ngân hàng thương mại tại ASEAN-5: Bài học kinh nghiệm cho Việt Nam</v>
      </c>
      <c r="D185" s="4" t="str">
        <f>IFERROR(__xludf.DUMMYFUNCTION("""COMPUTED_VALUE"""),"Nguyễn Thị Nhật Thanh; Phan Huy Minh; Bùi Đình Quân; Trần Phương Thanh")</f>
        <v>Nguyễn Thị Nhật Thanh; Phan Huy Minh; Bùi Đình Quân; Trần Phương Thanh</v>
      </c>
      <c r="E185" s="4" t="str">
        <f>IFERROR(__xludf.DUMMYFUNCTION("""COMPUTED_VALUE"""),"Học viện Ngân hàng")</f>
        <v>Học viện Ngân hàng</v>
      </c>
      <c r="F185" s="4" t="str">
        <f>IFERROR(__xludf.DUMMYFUNCTION("""COMPUTED_VALUE"""),"KTE2026-185.png")</f>
        <v>KTE2026-185.png</v>
      </c>
    </row>
    <row r="186">
      <c r="A186" s="4" t="str">
        <f>IFERROR(__xludf.DUMMYFUNCTION("""COMPUTED_VALUE"""),"KTE2026-186")</f>
        <v>KTE2026-186</v>
      </c>
      <c r="B186" s="4" t="str">
        <f>IFERROR(__xludf.DUMMYFUNCTION("""COMPUTED_VALUE"""),"Kinh tế")</f>
        <v>Kinh tế</v>
      </c>
      <c r="C186" s="4" t="str">
        <f>IFERROR(__xludf.DUMMYFUNCTION("""COMPUTED_VALUE"""),"Tác động của rủi ro chuyển đổi đến hoạt động cho vay ngân hàng: Bằng chứng thực nghiệm từ Việt Nam")</f>
        <v>Tác động của rủi ro chuyển đổi đến hoạt động cho vay ngân hàng: Bằng chứng thực nghiệm từ Việt Nam</v>
      </c>
      <c r="D186" s="4" t="str">
        <f>IFERROR(__xludf.DUMMYFUNCTION("""COMPUTED_VALUE"""),"Phan Thị Phương Diễm")</f>
        <v>Phan Thị Phương Diễm</v>
      </c>
      <c r="E186" s="4" t="str">
        <f>IFERROR(__xludf.DUMMYFUNCTION("""COMPUTED_VALUE"""),"Học viện Ngân hàng")</f>
        <v>Học viện Ngân hàng</v>
      </c>
      <c r="F186" s="4" t="str">
        <f>IFERROR(__xludf.DUMMYFUNCTION("""COMPUTED_VALUE"""),"KTE2026-186.png")</f>
        <v>KTE2026-186.png</v>
      </c>
    </row>
    <row r="187">
      <c r="A187" s="4" t="str">
        <f>IFERROR(__xludf.DUMMYFUNCTION("""COMPUTED_VALUE"""),"KTE2026-187")</f>
        <v>KTE2026-187</v>
      </c>
      <c r="B187" s="4" t="str">
        <f>IFERROR(__xludf.DUMMYFUNCTION("""COMPUTED_VALUE"""),"Kinh tế")</f>
        <v>Kinh tế</v>
      </c>
      <c r="C187" s="4" t="str">
        <f>IFERROR(__xludf.DUMMYFUNCTION("""COMPUTED_VALUE"""),"Tác động của lan truyền biến động liên ngành đến rủi ro hệ thống trên thị trường của ngành ngân hàng tại Việt Nam")</f>
        <v>Tác động của lan truyền biến động liên ngành đến rủi ro hệ thống trên thị trường của ngành ngân hàng tại Việt Nam</v>
      </c>
      <c r="D187" s="4" t="str">
        <f>IFERROR(__xludf.DUMMYFUNCTION("""COMPUTED_VALUE"""),"Khuất Thu Hiền; Lê Ngọc Linh; Nguyễn Thị Ngọc Dung; Vũ Hải Đăng")</f>
        <v>Khuất Thu Hiền; Lê Ngọc Linh; Nguyễn Thị Ngọc Dung; Vũ Hải Đăng</v>
      </c>
      <c r="E187" s="4" t="str">
        <f>IFERROR(__xludf.DUMMYFUNCTION("""COMPUTED_VALUE"""),"Học viện Ngân hàng")</f>
        <v>Học viện Ngân hàng</v>
      </c>
      <c r="F187" s="4" t="str">
        <f>IFERROR(__xludf.DUMMYFUNCTION("""COMPUTED_VALUE"""),"KTE2026-187.png")</f>
        <v>KTE2026-187.png</v>
      </c>
    </row>
    <row r="188">
      <c r="A188" s="4" t="str">
        <f>IFERROR(__xludf.DUMMYFUNCTION("""COMPUTED_VALUE"""),"KTE2026-188")</f>
        <v>KTE2026-188</v>
      </c>
      <c r="B188" s="4" t="str">
        <f>IFERROR(__xludf.DUMMYFUNCTION("""COMPUTED_VALUE"""),"Kinh tế")</f>
        <v>Kinh tế</v>
      </c>
      <c r="C188" s="4" t="str">
        <f>IFERROR(__xludf.DUMMYFUNCTION("""COMPUTED_VALUE"""),"Tác động lan truyền rủi ro từ thị trường tài sản toàn cầu đến thị trường chứng khoán Việt Nam")</f>
        <v>Tác động lan truyền rủi ro từ thị trường tài sản toàn cầu đến thị trường chứng khoán Việt Nam</v>
      </c>
      <c r="D188" s="4" t="str">
        <f>IFERROR(__xludf.DUMMYFUNCTION("""COMPUTED_VALUE"""),"Nguyễn An Hồng; Trần Phương Nhung; Dương Mai Anh; Trần Diệu Vy; Nguyễn Thu Hà")</f>
        <v>Nguyễn An Hồng; Trần Phương Nhung; Dương Mai Anh; Trần Diệu Vy; Nguyễn Thu Hà</v>
      </c>
      <c r="E188" s="4" t="str">
        <f>IFERROR(__xludf.DUMMYFUNCTION("""COMPUTED_VALUE"""),"Học viện Ngân hàng")</f>
        <v>Học viện Ngân hàng</v>
      </c>
      <c r="F188" s="4" t="str">
        <f>IFERROR(__xludf.DUMMYFUNCTION("""COMPUTED_VALUE"""),"KTE2026-188.png")</f>
        <v>KTE2026-188.png</v>
      </c>
    </row>
    <row r="189">
      <c r="A189" s="4" t="str">
        <f>IFERROR(__xludf.DUMMYFUNCTION("""COMPUTED_VALUE"""),"KTE2026-189")</f>
        <v>KTE2026-189</v>
      </c>
      <c r="B189" s="4" t="str">
        <f>IFERROR(__xludf.DUMMYFUNCTION("""COMPUTED_VALUE"""),"Kinh tế")</f>
        <v>Kinh tế</v>
      </c>
      <c r="C189" s="4" t="str">
        <f>IFERROR(__xludf.DUMMYFUNCTION("""COMPUTED_VALUE"""),"The impact of digital financial inclusion on ESG performance in Asian countries during the 2010–2024 period: The moderating role of financial development")</f>
        <v>The impact of digital financial inclusion on ESG performance in Asian countries during the 2010–2024 period: The moderating role of financial development</v>
      </c>
      <c r="D189" s="4" t="str">
        <f>IFERROR(__xludf.DUMMYFUNCTION("""COMPUTED_VALUE"""),"Trần Đình Khải; Nguyễn Huy Tùng Dương; Vũ Mạnh Tuấn; Lê Chí Dũng; Đinh Đức Tùng")</f>
        <v>Trần Đình Khải; Nguyễn Huy Tùng Dương; Vũ Mạnh Tuấn; Lê Chí Dũng; Đinh Đức Tùng</v>
      </c>
      <c r="E189" s="4" t="str">
        <f>IFERROR(__xludf.DUMMYFUNCTION("""COMPUTED_VALUE"""),"Học viện Ngân hàng")</f>
        <v>Học viện Ngân hàng</v>
      </c>
      <c r="F189" s="4" t="str">
        <f>IFERROR(__xludf.DUMMYFUNCTION("""COMPUTED_VALUE"""),"KTE2026-189.png")</f>
        <v>KTE2026-189.png</v>
      </c>
    </row>
    <row r="190">
      <c r="A190" s="4" t="str">
        <f>IFERROR(__xludf.DUMMYFUNCTION("""COMPUTED_VALUE"""),"KTE2026-190")</f>
        <v>KTE2026-190</v>
      </c>
      <c r="B190" s="4" t="str">
        <f>IFERROR(__xludf.DUMMYFUNCTION("""COMPUTED_VALUE"""),"Kinh tế")</f>
        <v>Kinh tế</v>
      </c>
      <c r="C190" s="4" t="str">
        <f>IFERROR(__xludf.DUMMYFUNCTION("""COMPUTED_VALUE"""),"Banks’ risk-taking behaviour and systemic risk: A network perspective")</f>
        <v>Banks’ risk-taking behaviour and systemic risk: A network perspective</v>
      </c>
      <c r="D190" s="4" t="str">
        <f>IFERROR(__xludf.DUMMYFUNCTION("""COMPUTED_VALUE"""),"Bùi Yến Nhi; Phạm Thị Xuân")</f>
        <v>Bùi Yến Nhi; Phạm Thị Xuân</v>
      </c>
      <c r="E190" s="4" t="str">
        <f>IFERROR(__xludf.DUMMYFUNCTION("""COMPUTED_VALUE"""),"Trường Đại học Kinh tế, ĐHQG Hà Nội")</f>
        <v>Trường Đại học Kinh tế, ĐHQG Hà Nội</v>
      </c>
      <c r="F190" s="4" t="str">
        <f>IFERROR(__xludf.DUMMYFUNCTION("""COMPUTED_VALUE"""),"KTE2026-190.png")</f>
        <v>KTE2026-190.png</v>
      </c>
    </row>
    <row r="191">
      <c r="A191" s="4" t="str">
        <f>IFERROR(__xludf.DUMMYFUNCTION("""COMPUTED_VALUE"""),"KTE2026-191")</f>
        <v>KTE2026-191</v>
      </c>
      <c r="B191" s="4" t="str">
        <f>IFERROR(__xludf.DUMMYFUNCTION("""COMPUTED_VALUE"""),"Kinh tế")</f>
        <v>Kinh tế</v>
      </c>
      <c r="C191" s="4" t="str">
        <f>IFERROR(__xludf.DUMMYFUNCTION("""COMPUTED_VALUE"""),"Tác động của chất lượng báo cáo tài chính và kỳ hạn nợ đến hiệu quả đầu tư của các doanh nghiệp niêm yết tại Việt Nam trong giai đoạn 2019 - 2023")</f>
        <v>Tác động của chất lượng báo cáo tài chính và kỳ hạn nợ đến hiệu quả đầu tư của các doanh nghiệp niêm yết tại Việt Nam trong giai đoạn 2019 - 2023</v>
      </c>
      <c r="D191" s="4" t="str">
        <f>IFERROR(__xludf.DUMMYFUNCTION("""COMPUTED_VALUE"""),"Đỗ Xuân Anh; Vương Đặng Phương Anh; Trần Đức Duy; Phạm Phương Lan; Bùi Thị Minh Thư")</f>
        <v>Đỗ Xuân Anh; Vương Đặng Phương Anh; Trần Đức Duy; Phạm Phương Lan; Bùi Thị Minh Thư</v>
      </c>
      <c r="E191" s="4" t="str">
        <f>IFERROR(__xludf.DUMMYFUNCTION("""COMPUTED_VALUE"""),"Học viện Ngân hàng")</f>
        <v>Học viện Ngân hàng</v>
      </c>
      <c r="F191" s="4" t="str">
        <f>IFERROR(__xludf.DUMMYFUNCTION("""COMPUTED_VALUE"""),"KTE2026-191.png")</f>
        <v>KTE2026-191.png</v>
      </c>
    </row>
    <row r="192">
      <c r="A192" s="4" t="str">
        <f>IFERROR(__xludf.DUMMYFUNCTION("""COMPUTED_VALUE"""),"KTE2026-192")</f>
        <v>KTE2026-192</v>
      </c>
      <c r="B192" s="4" t="str">
        <f>IFERROR(__xludf.DUMMYFUNCTION("""COMPUTED_VALUE"""),"Kinh tế")</f>
        <v>Kinh tế</v>
      </c>
      <c r="C192" s="4" t="str">
        <f>IFERROR(__xludf.DUMMYFUNCTION("""COMPUTED_VALUE"""),"Digital transformation intensity and firm cost efficiency: Evidence of a nonlinear relationship from Vietnamese listed firms/ Cường độ chuyển đổi số và hiệu quả chi phí của doanh nghiệp: Bằng chứng về mối quan hệ phi tuyến tính từ các doanh nghiệp niêm yế"&amp;"t tại Việt Nam")</f>
        <v>Digital transformation intensity and firm cost efficiency: Evidence of a nonlinear relationship from Vietnamese listed firms/ Cường độ chuyển đổi số và hiệu quả chi phí của doanh nghiệp: Bằng chứng về mối quan hệ phi tuyến tính từ các doanh nghiệp niêm yết tại Việt Nam</v>
      </c>
      <c r="D192" s="4" t="str">
        <f>IFERROR(__xludf.DUMMYFUNCTION("""COMPUTED_VALUE"""),"Nguyễn Ngọc Thủy Tiên; Nguyễn Thùy Linh; Trần Thúy Thu")</f>
        <v>Nguyễn Ngọc Thủy Tiên; Nguyễn Thùy Linh; Trần Thúy Thu</v>
      </c>
      <c r="E192" s="4" t="str">
        <f>IFERROR(__xludf.DUMMYFUNCTION("""COMPUTED_VALUE"""),"Học viện Ngân hàng")</f>
        <v>Học viện Ngân hàng</v>
      </c>
      <c r="F192" s="4" t="str">
        <f>IFERROR(__xludf.DUMMYFUNCTION("""COMPUTED_VALUE"""),"KTE2026-192.png")</f>
        <v>KTE2026-192.png</v>
      </c>
    </row>
    <row r="193">
      <c r="A193" s="4" t="str">
        <f>IFERROR(__xludf.DUMMYFUNCTION("""COMPUTED_VALUE"""),"KTE2026-193")</f>
        <v>KTE2026-193</v>
      </c>
      <c r="B193" s="4" t="str">
        <f>IFERROR(__xludf.DUMMYFUNCTION("""COMPUTED_VALUE"""),"Kinh tế")</f>
        <v>Kinh tế</v>
      </c>
      <c r="C193" s="4" t="str">
        <f>IFERROR(__xludf.DUMMYFUNCTION("""COMPUTED_VALUE"""),"Economic policy uncertainty, geopolitical risk, and the disposition effect: Evidence from capital gains overhang in Vietnam")</f>
        <v>Economic policy uncertainty, geopolitical risk, and the disposition effect: Evidence from capital gains overhang in Vietnam</v>
      </c>
      <c r="D193" s="4" t="str">
        <f>IFERROR(__xludf.DUMMYFUNCTION("""COMPUTED_VALUE"""),"Nghiêm Gia Khánh; Nguyễn Thị Yến Anh; Lê Ngọc Khánh; Triệu Phương Ninh")</f>
        <v>Nghiêm Gia Khánh; Nguyễn Thị Yến Anh; Lê Ngọc Khánh; Triệu Phương Ninh</v>
      </c>
      <c r="E193" s="4" t="str">
        <f>IFERROR(__xludf.DUMMYFUNCTION("""COMPUTED_VALUE"""),"Trường Đại học Kinh tế, ĐHQG Hà Nội")</f>
        <v>Trường Đại học Kinh tế, ĐHQG Hà Nội</v>
      </c>
      <c r="F193" s="4" t="str">
        <f>IFERROR(__xludf.DUMMYFUNCTION("""COMPUTED_VALUE"""),"KTE2026-193.png")</f>
        <v>KTE2026-193.png</v>
      </c>
    </row>
    <row r="194">
      <c r="A194" s="4" t="str">
        <f>IFERROR(__xludf.DUMMYFUNCTION("""COMPUTED_VALUE"""),"KTE2026-194")</f>
        <v>KTE2026-194</v>
      </c>
      <c r="B194" s="4" t="str">
        <f>IFERROR(__xludf.DUMMYFUNCTION("""COMPUTED_VALUE"""),"Kinh tế")</f>
        <v>Kinh tế</v>
      </c>
      <c r="C194" s="4" t="str">
        <f>IFERROR(__xludf.DUMMYFUNCTION("""COMPUTED_VALUE"""),"Managerial overconfidence and accounting conservatism: Evidence from Vietnam")</f>
        <v>Managerial overconfidence and accounting conservatism: Evidence from Vietnam</v>
      </c>
      <c r="D194" s="4" t="str">
        <f>IFERROR(__xludf.DUMMYFUNCTION("""COMPUTED_VALUE"""),"Nguyễn Hoàng Khánh Linh; Lê Huỳnh Minh Châu; Trần Thị Thanh Duyên; Nguyễn Phan Thùy Dung; Mai Hồ Hoàng Diệp")</f>
        <v>Nguyễn Hoàng Khánh Linh; Lê Huỳnh Minh Châu; Trần Thị Thanh Duyên; Nguyễn Phan Thùy Dung; Mai Hồ Hoàng Diệp</v>
      </c>
      <c r="E194" s="4" t="str">
        <f>IFERROR(__xludf.DUMMYFUNCTION("""COMPUTED_VALUE"""),"Phân hiệu Trường Đại học Ngoại thương tại TP. Hồ Chí Minh")</f>
        <v>Phân hiệu Trường Đại học Ngoại thương tại TP. Hồ Chí Minh</v>
      </c>
      <c r="F194" s="4" t="str">
        <f>IFERROR(__xludf.DUMMYFUNCTION("""COMPUTED_VALUE"""),"KTE2026-194.png")</f>
        <v>KTE2026-194.png</v>
      </c>
    </row>
    <row r="195">
      <c r="A195" s="4" t="str">
        <f>IFERROR(__xludf.DUMMYFUNCTION("""COMPUTED_VALUE"""),"KTE2026-195")</f>
        <v>KTE2026-195</v>
      </c>
      <c r="B195" s="4" t="str">
        <f>IFERROR(__xludf.DUMMYFUNCTION("""COMPUTED_VALUE"""),"Kinh tế")</f>
        <v>Kinh tế</v>
      </c>
      <c r="C195" s="4" t="str">
        <f>IFERROR(__xludf.DUMMYFUNCTION("""COMPUTED_VALUE"""),"The impact of sustainable development goals disclosure on earnings management: Evidence from Vietnamese listed firms")</f>
        <v>The impact of sustainable development goals disclosure on earnings management: Evidence from Vietnamese listed firms</v>
      </c>
      <c r="D195" s="4" t="str">
        <f>IFERROR(__xludf.DUMMYFUNCTION("""COMPUTED_VALUE"""),"Hà Nguyễn Trâm Anh; Nguyễn Thanh Hải; Nguyễn Thị Kim Ngân")</f>
        <v>Hà Nguyễn Trâm Anh; Nguyễn Thanh Hải; Nguyễn Thị Kim Ngân</v>
      </c>
      <c r="E195" s="4" t="str">
        <f>IFERROR(__xludf.DUMMYFUNCTION("""COMPUTED_VALUE"""),"Phân hiệu Trường Đại học Ngoại thương tại TP. Hồ Chí Minh")</f>
        <v>Phân hiệu Trường Đại học Ngoại thương tại TP. Hồ Chí Minh</v>
      </c>
      <c r="F195" s="4" t="str">
        <f>IFERROR(__xludf.DUMMYFUNCTION("""COMPUTED_VALUE"""),"KTE2026-195.png")</f>
        <v>KTE2026-195.png</v>
      </c>
    </row>
    <row r="196">
      <c r="A196" s="4" t="str">
        <f>IFERROR(__xludf.DUMMYFUNCTION("""COMPUTED_VALUE"""),"KTE2026-196")</f>
        <v>KTE2026-196</v>
      </c>
      <c r="B196" s="4" t="str">
        <f>IFERROR(__xludf.DUMMYFUNCTION("""COMPUTED_VALUE"""),"Kinh tế")</f>
        <v>Kinh tế</v>
      </c>
      <c r="C196" s="4" t="str">
        <f>IFERROR(__xludf.DUMMYFUNCTION("""COMPUTED_VALUE"""),"Ảnh hưởng của hạn chế tài chính doanh nghiệp đến sự gian lận và trì hoãn trong việc công bố báo cáo tài chính")</f>
        <v>Ảnh hưởng của hạn chế tài chính doanh nghiệp đến sự gian lận và trì hoãn trong việc công bố báo cáo tài chính</v>
      </c>
      <c r="D196" s="4" t="str">
        <f>IFERROR(__xludf.DUMMYFUNCTION("""COMPUTED_VALUE"""),"Trần Đức Anh; Nguyễn Thành Vinh; Nguyễn Thu Hà; Nguyễn Ngọc Thanh Đa; Nguyễn Kiều Lan Vy")</f>
        <v>Trần Đức Anh; Nguyễn Thành Vinh; Nguyễn Thu Hà; Nguyễn Ngọc Thanh Đa; Nguyễn Kiều Lan Vy</v>
      </c>
      <c r="E196" s="4" t="str">
        <f>IFERROR(__xludf.DUMMYFUNCTION("""COMPUTED_VALUE"""),"Phân hiệu Trường Đại học Ngoại thương tại TP. Hồ Chí Minh")</f>
        <v>Phân hiệu Trường Đại học Ngoại thương tại TP. Hồ Chí Minh</v>
      </c>
      <c r="F196" s="4" t="str">
        <f>IFERROR(__xludf.DUMMYFUNCTION("""COMPUTED_VALUE"""),"KTE2026-196.png")</f>
        <v>KTE2026-196.png</v>
      </c>
    </row>
    <row r="197">
      <c r="A197" s="4" t="str">
        <f>IFERROR(__xludf.DUMMYFUNCTION("""COMPUTED_VALUE"""),"KTE2026-197")</f>
        <v>KTE2026-197</v>
      </c>
      <c r="B197" s="4" t="str">
        <f>IFERROR(__xludf.DUMMYFUNCTION("""COMPUTED_VALUE"""),"Kinh tế")</f>
        <v>Kinh tế</v>
      </c>
      <c r="C197" s="4" t="str">
        <f>IFERROR(__xludf.DUMMYFUNCTION("""COMPUTED_VALUE"""),"The effect of the science and technology development fund on firm performance: Evidence from Vietnamese listed companies")</f>
        <v>The effect of the science and technology development fund on firm performance: Evidence from Vietnamese listed companies</v>
      </c>
      <c r="D197" s="4" t="str">
        <f>IFERROR(__xludf.DUMMYFUNCTION("""COMPUTED_VALUE"""),"Nguyễn Phước Nguyên; Đỗ Khánh Như; Trần Mai Phương")</f>
        <v>Nguyễn Phước Nguyên; Đỗ Khánh Như; Trần Mai Phương</v>
      </c>
      <c r="E197" s="4" t="str">
        <f>IFERROR(__xludf.DUMMYFUNCTION("""COMPUTED_VALUE"""),"Phân hiệu Trường Đại học Ngoại thương tại TP. Hồ Chí Minh")</f>
        <v>Phân hiệu Trường Đại học Ngoại thương tại TP. Hồ Chí Minh</v>
      </c>
      <c r="F197" s="4" t="str">
        <f>IFERROR(__xludf.DUMMYFUNCTION("""COMPUTED_VALUE"""),"KTE2026-197.png")</f>
        <v>KTE2026-197.png</v>
      </c>
    </row>
    <row r="198">
      <c r="A198" s="4" t="str">
        <f>IFERROR(__xludf.DUMMYFUNCTION("""COMPUTED_VALUE"""),"KTE2026-198")</f>
        <v>KTE2026-198</v>
      </c>
      <c r="B198" s="4" t="str">
        <f>IFERROR(__xludf.DUMMYFUNCTION("""COMPUTED_VALUE"""),"Kinh tế")</f>
        <v>Kinh tế</v>
      </c>
      <c r="C198" s="4" t="str">
        <f>IFERROR(__xludf.DUMMYFUNCTION("""COMPUTED_VALUE"""),"Mô hình mô phỏng xếp hạng tín dụng doanh nghiệp dựa trên học máy cho các doanh nghiệp niêm yết tại Việt Nam")</f>
        <v>Mô hình mô phỏng xếp hạng tín dụng doanh nghiệp dựa trên học máy cho các doanh nghiệp niêm yết tại Việt Nam</v>
      </c>
      <c r="D198" s="4" t="str">
        <f>IFERROR(__xludf.DUMMYFUNCTION("""COMPUTED_VALUE"""),"Nguyễn Ngọc Đạt; Nguyễn Thị Kim Hằng; Nguyễn Cao Trung Thông; Lê Huỳnh Mỹ Tâm; Nguyễn Thị Bích Ngọc")</f>
        <v>Nguyễn Ngọc Đạt; Nguyễn Thị Kim Hằng; Nguyễn Cao Trung Thông; Lê Huỳnh Mỹ Tâm; Nguyễn Thị Bích Ngọc</v>
      </c>
      <c r="E198" s="4" t="str">
        <f>IFERROR(__xludf.DUMMYFUNCTION("""COMPUTED_VALUE"""),"Phân hiệu Trường Đại học Ngoại thương tại TP. Hồ Chí Minh")</f>
        <v>Phân hiệu Trường Đại học Ngoại thương tại TP. Hồ Chí Minh</v>
      </c>
      <c r="F198" s="4" t="str">
        <f>IFERROR(__xludf.DUMMYFUNCTION("""COMPUTED_VALUE"""),"KTE2026-198.png")</f>
        <v>KTE2026-198.png</v>
      </c>
    </row>
    <row r="199">
      <c r="A199" s="4" t="str">
        <f>IFERROR(__xludf.DUMMYFUNCTION("""COMPUTED_VALUE"""),"KTE2026-199")</f>
        <v>KTE2026-199</v>
      </c>
      <c r="B199" s="4" t="str">
        <f>IFERROR(__xludf.DUMMYFUNCTION("""COMPUTED_VALUE"""),"Kinh tế")</f>
        <v>Kinh tế</v>
      </c>
      <c r="C199" s="4" t="str">
        <f>IFERROR(__xludf.DUMMYFUNCTION("""COMPUTED_VALUE"""),"Cảm xúc nhà đầu tư trên mạng xã hội: Tín hiệu dẫn dắt hay phản ứng trước biến động thị trường chứng khoán Việt Nam")</f>
        <v>Cảm xúc nhà đầu tư trên mạng xã hội: Tín hiệu dẫn dắt hay phản ứng trước biến động thị trường chứng khoán Việt Nam</v>
      </c>
      <c r="D199" s="4" t="str">
        <f>IFERROR(__xludf.DUMMYFUNCTION("""COMPUTED_VALUE"""),"Phan Thị Hoài Thanh; Nguyễn Thị Thuỳ; Lê Thành Vinh")</f>
        <v>Phan Thị Hoài Thanh; Nguyễn Thị Thuỳ; Lê Thành Vinh</v>
      </c>
      <c r="E199" s="4" t="str">
        <f>IFERROR(__xludf.DUMMYFUNCTION("""COMPUTED_VALUE"""),"Trường Kinh tế, Đại học Bách khoa Hà Nội")</f>
        <v>Trường Kinh tế, Đại học Bách khoa Hà Nội</v>
      </c>
      <c r="F199" s="4" t="str">
        <f>IFERROR(__xludf.DUMMYFUNCTION("""COMPUTED_VALUE"""),"KTE2026-199.png")</f>
        <v>KTE2026-199.png</v>
      </c>
    </row>
    <row r="200">
      <c r="A200" s="4" t="str">
        <f>IFERROR(__xludf.DUMMYFUNCTION("""COMPUTED_VALUE"""),"KTE2026-200")</f>
        <v>KTE2026-200</v>
      </c>
      <c r="B200" s="4" t="str">
        <f>IFERROR(__xludf.DUMMYFUNCTION("""COMPUTED_VALUE"""),"Kinh tế")</f>
        <v>Kinh tế</v>
      </c>
      <c r="C200" s="4" t="str">
        <f>IFERROR(__xludf.DUMMYFUNCTION("""COMPUTED_VALUE"""),"Tác động của đa dạng hóa danh mục cho vay đến sự ổn định tài chính của ngân hàng thương mại Việt Nam: Tiếp cận bằng mô hình học máy")</f>
        <v>Tác động của đa dạng hóa danh mục cho vay đến sự ổn định tài chính của ngân hàng thương mại Việt Nam: Tiếp cận bằng mô hình học máy</v>
      </c>
      <c r="D200" s="4" t="str">
        <f>IFERROR(__xludf.DUMMYFUNCTION("""COMPUTED_VALUE"""),"Nguyễn Thị Phương Linh; Trần Hoàng Thanh Trúc; Nguyễn Hoàng Anh Thư; Phạm Việt Y; Ngô Hoàng Khánh Duy")</f>
        <v>Nguyễn Thị Phương Linh; Trần Hoàng Thanh Trúc; Nguyễn Hoàng Anh Thư; Phạm Việt Y; Ngô Hoàng Khánh Duy</v>
      </c>
      <c r="E200" s="4" t="str">
        <f>IFERROR(__xludf.DUMMYFUNCTION("""COMPUTED_VALUE"""),"Trường Đại học Ngân hàng TP. Hồ Chí Minh")</f>
        <v>Trường Đại học Ngân hàng TP. Hồ Chí Minh</v>
      </c>
      <c r="F200" s="4" t="str">
        <f>IFERROR(__xludf.DUMMYFUNCTION("""COMPUTED_VALUE"""),"KTE2026-200.png")</f>
        <v>KTE2026-200.png</v>
      </c>
    </row>
    <row r="201">
      <c r="A201" s="4" t="str">
        <f>IFERROR(__xludf.DUMMYFUNCTION("""COMPUTED_VALUE"""),"KTE2026-203")</f>
        <v>KTE2026-203</v>
      </c>
      <c r="B201" s="4" t="str">
        <f>IFERROR(__xludf.DUMMYFUNCTION("""COMPUTED_VALUE"""),"Kinh tế")</f>
        <v>Kinh tế</v>
      </c>
      <c r="C201" s="4" t="str">
        <f>IFERROR(__xludf.DUMMYFUNCTION("""COMPUTED_VALUE"""),"Nâng cao hiệu quả dự báo thị trường chứng khoán Việt Nam bằng mô hình GRU tích hợp phân tích cảm xúc và mô hình ngôn ngữ lớn (large language model - LLM)")</f>
        <v>Nâng cao hiệu quả dự báo thị trường chứng khoán Việt Nam bằng mô hình GRU tích hợp phân tích cảm xúc và mô hình ngôn ngữ lớn (large language model - LLM)</v>
      </c>
      <c r="D201" s="4" t="str">
        <f>IFERROR(__xludf.DUMMYFUNCTION("""COMPUTED_VALUE"""),"Nguyễn Hoàng Biển; Trần Thị Thu Trang; Nguyễn Ngọc Trâm Anh")</f>
        <v>Nguyễn Hoàng Biển; Trần Thị Thu Trang; Nguyễn Ngọc Trâm Anh</v>
      </c>
      <c r="E201" s="4" t="str">
        <f>IFERROR(__xludf.DUMMYFUNCTION("""COMPUTED_VALUE"""),"Trường Đại học Ngân hàng TP. Hồ Chí Minh")</f>
        <v>Trường Đại học Ngân hàng TP. Hồ Chí Minh</v>
      </c>
      <c r="F201" s="4" t="str">
        <f>IFERROR(__xludf.DUMMYFUNCTION("""COMPUTED_VALUE"""),"KTE2026-203.png")</f>
        <v>KTE2026-203.png</v>
      </c>
    </row>
    <row r="202">
      <c r="A202" s="4" t="str">
        <f>IFERROR(__xludf.DUMMYFUNCTION("""COMPUTED_VALUE"""),"KTE2026-204")</f>
        <v>KTE2026-204</v>
      </c>
      <c r="B202" s="4" t="str">
        <f>IFERROR(__xludf.DUMMYFUNCTION("""COMPUTED_VALUE"""),"Kinh tế")</f>
        <v>Kinh tế</v>
      </c>
      <c r="C202" s="4" t="str">
        <f>IFERROR(__xludf.DUMMYFUNCTION("""COMPUTED_VALUE"""),"Tác động lan toả của Bitcoin đến thị trường chứng khoán Việt Nam: Bằng chứng từ mô hình DCC-GARCH")</f>
        <v>Tác động lan toả của Bitcoin đến thị trường chứng khoán Việt Nam: Bằng chứng từ mô hình DCC-GARCH</v>
      </c>
      <c r="D202" s="4" t="str">
        <f>IFERROR(__xludf.DUMMYFUNCTION("""COMPUTED_VALUE"""),"Nguyễn Dương Lập; Nguyễn Ngọc Gia Hân")</f>
        <v>Nguyễn Dương Lập; Nguyễn Ngọc Gia Hân</v>
      </c>
      <c r="E202" s="4" t="str">
        <f>IFERROR(__xludf.DUMMYFUNCTION("""COMPUTED_VALUE"""),"Trường Đại học Ngân hàng TP. Hồ Chí Minh")</f>
        <v>Trường Đại học Ngân hàng TP. Hồ Chí Minh</v>
      </c>
      <c r="F202" s="4" t="str">
        <f>IFERROR(__xludf.DUMMYFUNCTION("""COMPUTED_VALUE"""),"KTE2026-204.png")</f>
        <v>KTE2026-204.png</v>
      </c>
    </row>
    <row r="203">
      <c r="A203" s="4" t="str">
        <f>IFERROR(__xludf.DUMMYFUNCTION("""COMPUTED_VALUE"""),"KTE2026-205")</f>
        <v>KTE2026-205</v>
      </c>
      <c r="B203" s="4" t="str">
        <f>IFERROR(__xludf.DUMMYFUNCTION("""COMPUTED_VALUE"""),"Kinh tế")</f>
        <v>Kinh tế</v>
      </c>
      <c r="C203" s="4" t="str">
        <f>IFERROR(__xludf.DUMMYFUNCTION("""COMPUTED_VALUE"""),"Dự báo tỷ giá hối đoái dựa trên các thuật toán học máy và tối ưu hóa siêu tham số")</f>
        <v>Dự báo tỷ giá hối đoái dựa trên các thuật toán học máy và tối ưu hóa siêu tham số</v>
      </c>
      <c r="D203" s="4" t="str">
        <f>IFERROR(__xludf.DUMMYFUNCTION("""COMPUTED_VALUE"""),"Nguyễn Phương Quỳnh; Trần Thị Thu Hằng; Lê Ngọc Quỳnh; Nguỵ Hoàng Hy; Tôn Thất Bảo Thịnh")</f>
        <v>Nguyễn Phương Quỳnh; Trần Thị Thu Hằng; Lê Ngọc Quỳnh; Nguỵ Hoàng Hy; Tôn Thất Bảo Thịnh</v>
      </c>
      <c r="E203" s="4" t="str">
        <f>IFERROR(__xludf.DUMMYFUNCTION("""COMPUTED_VALUE"""),"Trường Đại học Ngân hàng TP. Hồ Chí Minh")</f>
        <v>Trường Đại học Ngân hàng TP. Hồ Chí Minh</v>
      </c>
      <c r="F203" s="4" t="str">
        <f>IFERROR(__xludf.DUMMYFUNCTION("""COMPUTED_VALUE"""),"KTE2026-205.png")</f>
        <v>KTE2026-205.png</v>
      </c>
    </row>
    <row r="204">
      <c r="A204" s="4" t="str">
        <f>IFERROR(__xludf.DUMMYFUNCTION("""COMPUTED_VALUE"""),"KTE2026-206")</f>
        <v>KTE2026-206</v>
      </c>
      <c r="B204" s="4" t="str">
        <f>IFERROR(__xludf.DUMMYFUNCTION("""COMPUTED_VALUE"""),"Kinh tế")</f>
        <v>Kinh tế</v>
      </c>
      <c r="C204" s="4" t="str">
        <f>IFERROR(__xludf.DUMMYFUNCTION("""COMPUTED_VALUE"""),"Tối ưu hóa danh mục đầu tư động bằng hybrid deep reinforcement learning bằng chứng thực nghiệm từ thị trường chứng khoán Hoa Kỳ và Việt Nam")</f>
        <v>Tối ưu hóa danh mục đầu tư động bằng hybrid deep reinforcement learning bằng chứng thực nghiệm từ thị trường chứng khoán Hoa Kỳ và Việt Nam</v>
      </c>
      <c r="D204" s="4" t="str">
        <f>IFERROR(__xludf.DUMMYFUNCTION("""COMPUTED_VALUE"""),"Nguyễn Thiện Hoài; Trương Công Phát; Ngô Quang Hùng")</f>
        <v>Nguyễn Thiện Hoài; Trương Công Phát; Ngô Quang Hùng</v>
      </c>
      <c r="E204" s="4" t="str">
        <f>IFERROR(__xludf.DUMMYFUNCTION("""COMPUTED_VALUE"""),"Trường Đại học Ngân hàng TP. Hồ Chí Minh")</f>
        <v>Trường Đại học Ngân hàng TP. Hồ Chí Minh</v>
      </c>
      <c r="F204" s="4" t="str">
        <f>IFERROR(__xludf.DUMMYFUNCTION("""COMPUTED_VALUE"""),"KTE2026-206.png")</f>
        <v>KTE2026-206.png</v>
      </c>
    </row>
    <row r="205">
      <c r="A205" s="4" t="str">
        <f>IFERROR(__xludf.DUMMYFUNCTION("""COMPUTED_VALUE"""),"KTE2026-207")</f>
        <v>KTE2026-207</v>
      </c>
      <c r="B205" s="4" t="str">
        <f>IFERROR(__xludf.DUMMYFUNCTION("""COMPUTED_VALUE"""),"Kinh tế")</f>
        <v>Kinh tế</v>
      </c>
      <c r="C205" s="4" t="str">
        <f>IFERROR(__xludf.DUMMYFUNCTION("""COMPUTED_VALUE"""),"Firm performance under environmental regulation: Evidence from Vietnam’s 2020 environmental protection law")</f>
        <v>Firm performance under environmental regulation: Evidence from Vietnam’s 2020 environmental protection law</v>
      </c>
      <c r="D205" s="4" t="str">
        <f>IFERROR(__xludf.DUMMYFUNCTION("""COMPUTED_VALUE"""),"Đinh Diệu Hiền; Nguyễn Ngân Giang")</f>
        <v>Đinh Diệu Hiền; Nguyễn Ngân Giang</v>
      </c>
      <c r="E205" s="4" t="str">
        <f>IFERROR(__xludf.DUMMYFUNCTION("""COMPUTED_VALUE"""),"Trường Đại học Kinh tế, ĐHQG Hà Nội")</f>
        <v>Trường Đại học Kinh tế, ĐHQG Hà Nội</v>
      </c>
      <c r="F205" s="4" t="str">
        <f>IFERROR(__xludf.DUMMYFUNCTION("""COMPUTED_VALUE"""),"KTE2026-207.png")</f>
        <v>KTE2026-207.png</v>
      </c>
    </row>
    <row r="206">
      <c r="A206" s="4" t="str">
        <f>IFERROR(__xludf.DUMMYFUNCTION("""COMPUTED_VALUE"""),"KTE2026-208")</f>
        <v>KTE2026-208</v>
      </c>
      <c r="B206" s="4" t="str">
        <f>IFERROR(__xludf.DUMMYFUNCTION("""COMPUTED_VALUE"""),"Kinh tế")</f>
        <v>Kinh tế</v>
      </c>
      <c r="C206" s="4" t="str">
        <f>IFERROR(__xludf.DUMMYFUNCTION("""COMPUTED_VALUE"""),"Từ tín hiệu đến chi trả: Rủi ro cơ sở và ngưỡng khả thi của bảo hiểm tham số kích hoạt bằng cảm biến Wi-Fi không tiếp xúc")</f>
        <v>Từ tín hiệu đến chi trả: Rủi ro cơ sở và ngưỡng khả thi của bảo hiểm tham số kích hoạt bằng cảm biến Wi-Fi không tiếp xúc</v>
      </c>
      <c r="D206" s="4" t="str">
        <f>IFERROR(__xludf.DUMMYFUNCTION("""COMPUTED_VALUE"""),"Đinh Văn Nam")</f>
        <v>Đinh Văn Nam</v>
      </c>
      <c r="E206" s="4" t="str">
        <f>IFERROR(__xludf.DUMMYFUNCTION("""COMPUTED_VALUE"""),"Trường Đại học Công Thương TP. Hồ Chí Minh")</f>
        <v>Trường Đại học Công Thương TP. Hồ Chí Minh</v>
      </c>
      <c r="F206" s="4" t="str">
        <f>IFERROR(__xludf.DUMMYFUNCTION("""COMPUTED_VALUE"""),"KTE2026-208.png")</f>
        <v>KTE2026-208.png</v>
      </c>
    </row>
    <row r="207">
      <c r="A207" s="4" t="str">
        <f>IFERROR(__xludf.DUMMYFUNCTION("""COMPUTED_VALUE"""),"KTE2026-209")</f>
        <v>KTE2026-209</v>
      </c>
      <c r="B207" s="4" t="str">
        <f>IFERROR(__xludf.DUMMYFUNCTION("""COMPUTED_VALUE"""),"Kinh tế")</f>
        <v>Kinh tế</v>
      </c>
      <c r="C207" s="4" t="str">
        <f>IFERROR(__xludf.DUMMYFUNCTION("""COMPUTED_VALUE"""),"The impact of personal financial education on the intention to pursue a career in personal financial planning among students in economics-related fields in Vietnam")</f>
        <v>The impact of personal financial education on the intention to pursue a career in personal financial planning among students in economics-related fields in Vietnam</v>
      </c>
      <c r="D207" s="4" t="str">
        <f>IFERROR(__xludf.DUMMYFUNCTION("""COMPUTED_VALUE"""),"Đỗ Thị Tiểu Luận; Bùi Phương Ly; Trần Thị Minh Nguyệt; Nguyễn Thu Trang; Nguyễn Thanh Bình")</f>
        <v>Đỗ Thị Tiểu Luận; Bùi Phương Ly; Trần Thị Minh Nguyệt; Nguyễn Thu Trang; Nguyễn Thanh Bình</v>
      </c>
      <c r="E207" s="4" t="str">
        <f>IFERROR(__xludf.DUMMYFUNCTION("""COMPUTED_VALUE"""),"Đại học Kinh tế Quốc dân")</f>
        <v>Đại học Kinh tế Quốc dân</v>
      </c>
      <c r="F207" s="4" t="str">
        <f>IFERROR(__xludf.DUMMYFUNCTION("""COMPUTED_VALUE"""),"KTE2026-209.png")</f>
        <v>KTE2026-209.png</v>
      </c>
    </row>
    <row r="208">
      <c r="A208" s="4" t="str">
        <f>IFERROR(__xludf.DUMMYFUNCTION("""COMPUTED_VALUE"""),"KTE2026-210")</f>
        <v>KTE2026-210</v>
      </c>
      <c r="B208" s="4" t="str">
        <f>IFERROR(__xludf.DUMMYFUNCTION("""COMPUTED_VALUE"""),"Kinh tế")</f>
        <v>Kinh tế</v>
      </c>
      <c r="C208" s="4" t="str">
        <f>IFERROR(__xludf.DUMMYFUNCTION("""COMPUTED_VALUE"""),"Nghiên cứu năng lực số của nhân lực kế toán và tác động của năng lực số của nhân lực kế toán đến chuyển đổi số trong doanh nghiệp - trường hợp tại các doanh nghiệp vừa và nhỏ tỉnh Thanh Hóa")</f>
        <v>Nghiên cứu năng lực số của nhân lực kế toán và tác động của năng lực số của nhân lực kế toán đến chuyển đổi số trong doanh nghiệp - trường hợp tại các doanh nghiệp vừa và nhỏ tỉnh Thanh Hóa</v>
      </c>
      <c r="D208" s="4" t="str">
        <f>IFERROR(__xludf.DUMMYFUNCTION("""COMPUTED_VALUE"""),"Bùi Thanh Hằng; Phạm Khánh Ly; Trần Thị Phương Anh; Trần Ngọc Huyền; Nguyễn Thị Khánh Linh")</f>
        <v>Bùi Thanh Hằng; Phạm Khánh Ly; Trần Thị Phương Anh; Trần Ngọc Huyền; Nguyễn Thị Khánh Linh</v>
      </c>
      <c r="E208" s="4" t="str">
        <f>IFERROR(__xludf.DUMMYFUNCTION("""COMPUTED_VALUE"""),"Trường Đại học Hồng Đức")</f>
        <v>Trường Đại học Hồng Đức</v>
      </c>
      <c r="F208" s="4" t="str">
        <f>IFERROR(__xludf.DUMMYFUNCTION("""COMPUTED_VALUE"""),"KTE2026-210.png")</f>
        <v>KTE2026-210.png</v>
      </c>
    </row>
    <row r="209">
      <c r="A209" s="4" t="str">
        <f>IFERROR(__xludf.DUMMYFUNCTION("""COMPUTED_VALUE"""),"KTE2026-211")</f>
        <v>KTE2026-211</v>
      </c>
      <c r="B209" s="4" t="str">
        <f>IFERROR(__xludf.DUMMYFUNCTION("""COMPUTED_VALUE"""),"Kinh tế")</f>
        <v>Kinh tế</v>
      </c>
      <c r="C209" s="4" t="str">
        <f>IFERROR(__xludf.DUMMYFUNCTION("""COMPUTED_VALUE"""),"Đo lường rủi ro thông qua value at risk và expected shortfall tiếp cận bằng mô hình học máy có điều kiện ứng dụng cho danh mục đầu tư và các chỉ số thị trường trên thị trường chứng khoán Việt Nam")</f>
        <v>Đo lường rủi ro thông qua value at risk và expected shortfall tiếp cận bằng mô hình học máy có điều kiện ứng dụng cho danh mục đầu tư và các chỉ số thị trường trên thị trường chứng khoán Việt Nam</v>
      </c>
      <c r="D209" s="4" t="str">
        <f>IFERROR(__xludf.DUMMYFUNCTION("""COMPUTED_VALUE"""),"Trần Xuân Phát; Phan Văn Hồng Nguyên; Nguyễn Bích Duyên")</f>
        <v>Trần Xuân Phát; Phan Văn Hồng Nguyên; Nguyễn Bích Duyên</v>
      </c>
      <c r="E209" s="4" t="str">
        <f>IFERROR(__xludf.DUMMYFUNCTION("""COMPUTED_VALUE"""),"Trường Đại học Tài chính - Marketing")</f>
        <v>Trường Đại học Tài chính - Marketing</v>
      </c>
      <c r="F209" s="4" t="str">
        <f>IFERROR(__xludf.DUMMYFUNCTION("""COMPUTED_VALUE"""),"KTE2026-211.png")</f>
        <v>KTE2026-211.png</v>
      </c>
    </row>
    <row r="210">
      <c r="A210" s="4" t="str">
        <f>IFERROR(__xludf.DUMMYFUNCTION("""COMPUTED_VALUE"""),"KTE2026-212")</f>
        <v>KTE2026-212</v>
      </c>
      <c r="B210" s="4" t="str">
        <f>IFERROR(__xludf.DUMMYFUNCTION("""COMPUTED_VALUE"""),"Kinh tế")</f>
        <v>Kinh tế</v>
      </c>
      <c r="C210" s="4" t="str">
        <f>IFERROR(__xludf.DUMMYFUNCTION("""COMPUTED_VALUE"""),"Nhận thức về sự sẵn lòng chi trả của khách hàng cho mỹ phẩm xanh: Vai trò của niềm tin, giá trị cảm nhận và sự hoài nghi xanh")</f>
        <v>Nhận thức về sự sẵn lòng chi trả của khách hàng cho mỹ phẩm xanh: Vai trò của niềm tin, giá trị cảm nhận và sự hoài nghi xanh</v>
      </c>
      <c r="D210" s="4" t="str">
        <f>IFERROR(__xludf.DUMMYFUNCTION("""COMPUTED_VALUE"""),"Nguyễn Hoàng Thanh Nhã; Trần Kim Anh; Nguyễn Cao Cát Tường; Phạm Minh Thơ; Nguyễn Trần Mỹ Tâm")</f>
        <v>Nguyễn Hoàng Thanh Nhã; Trần Kim Anh; Nguyễn Cao Cát Tường; Phạm Minh Thơ; Nguyễn Trần Mỹ Tâm</v>
      </c>
      <c r="E210" s="4"/>
      <c r="F210" s="4" t="str">
        <f>IFERROR(__xludf.DUMMYFUNCTION("""COMPUTED_VALUE"""),"KTE2026-212.png")</f>
        <v>KTE2026-212.png</v>
      </c>
    </row>
    <row r="211">
      <c r="A211" s="4" t="str">
        <f>IFERROR(__xludf.DUMMYFUNCTION("""COMPUTED_VALUE"""),"KTE2026-213")</f>
        <v>KTE2026-213</v>
      </c>
      <c r="B211" s="4" t="str">
        <f>IFERROR(__xludf.DUMMYFUNCTION("""COMPUTED_VALUE"""),"Kinh tế")</f>
        <v>Kinh tế</v>
      </c>
      <c r="C211" s="4" t="str">
        <f>IFERROR(__xludf.DUMMYFUNCTION("""COMPUTED_VALUE"""),"Awareness and adoption of circular economy in supply chains for sustainable development: The role of technology and policy solutions")</f>
        <v>Awareness and adoption of circular economy in supply chains for sustainable development: The role of technology and policy solutions</v>
      </c>
      <c r="D211" s="4" t="str">
        <f>IFERROR(__xludf.DUMMYFUNCTION("""COMPUTED_VALUE"""),"Đặng Nguyễn Nhật Bảo; Huỳnh Nguyễn Hoàng Phúc; Văn Nguyễn Kiện Quân")</f>
        <v>Đặng Nguyễn Nhật Bảo; Huỳnh Nguyễn Hoàng Phúc; Văn Nguyễn Kiện Quân</v>
      </c>
      <c r="E211" s="4" t="str">
        <f>IFERROR(__xludf.DUMMYFUNCTION("""COMPUTED_VALUE"""),"Trường Đại học Tôn Đức Thắng")</f>
        <v>Trường Đại học Tôn Đức Thắng</v>
      </c>
      <c r="F211" s="4" t="str">
        <f>IFERROR(__xludf.DUMMYFUNCTION("""COMPUTED_VALUE"""),"KTE2026-213.png")</f>
        <v>KTE2026-213.png</v>
      </c>
    </row>
    <row r="212">
      <c r="A212" s="4" t="str">
        <f>IFERROR(__xludf.DUMMYFUNCTION("""COMPUTED_VALUE"""),"KTE2026-214")</f>
        <v>KTE2026-214</v>
      </c>
      <c r="B212" s="4" t="str">
        <f>IFERROR(__xludf.DUMMYFUNCTION("""COMPUTED_VALUE"""),"Kinh tế")</f>
        <v>Kinh tế</v>
      </c>
      <c r="C212" s="4" t="str">
        <f>IFERROR(__xludf.DUMMYFUNCTION("""COMPUTED_VALUE"""),"The role of AI-generated green marketing content in driving sustainable consumption intentions in Vietnam")</f>
        <v>The role of AI-generated green marketing content in driving sustainable consumption intentions in Vietnam</v>
      </c>
      <c r="D212" s="4" t="str">
        <f>IFERROR(__xludf.DUMMYFUNCTION("""COMPUTED_VALUE"""),"Nguyễn Anh Khoa")</f>
        <v>Nguyễn Anh Khoa</v>
      </c>
      <c r="E212" s="4" t="str">
        <f>IFERROR(__xludf.DUMMYFUNCTION("""COMPUTED_VALUE"""),"Trường Đại học Tôn Đức Thắng")</f>
        <v>Trường Đại học Tôn Đức Thắng</v>
      </c>
      <c r="F212" s="4" t="str">
        <f>IFERROR(__xludf.DUMMYFUNCTION("""COMPUTED_VALUE"""),"KTE2026-214.png")</f>
        <v>KTE2026-214.png</v>
      </c>
    </row>
    <row r="213">
      <c r="A213" s="4" t="str">
        <f>IFERROR(__xludf.DUMMYFUNCTION("""COMPUTED_VALUE"""),"KTE2026-215")</f>
        <v>KTE2026-215</v>
      </c>
      <c r="B213" s="4" t="str">
        <f>IFERROR(__xludf.DUMMYFUNCTION("""COMPUTED_VALUE"""),"Kinh tế")</f>
        <v>Kinh tế</v>
      </c>
      <c r="C213" s="4" t="str">
        <f>IFERROR(__xludf.DUMMYFUNCTION("""COMPUTED_VALUE"""),"How customer attitudes towards rebranding change their behaviors?")</f>
        <v>How customer attitudes towards rebranding change their behaviors?</v>
      </c>
      <c r="D213" s="4" t="str">
        <f>IFERROR(__xludf.DUMMYFUNCTION("""COMPUTED_VALUE"""),"Lê Ngọc Xuân Hoa; Huỳnh Lê Vân Anh; Lê Ngọc Anh")</f>
        <v>Lê Ngọc Xuân Hoa; Huỳnh Lê Vân Anh; Lê Ngọc Anh</v>
      </c>
      <c r="E213" s="4" t="str">
        <f>IFERROR(__xludf.DUMMYFUNCTION("""COMPUTED_VALUE"""),"Trường Đại học Tôn Đức Thắng")</f>
        <v>Trường Đại học Tôn Đức Thắng</v>
      </c>
      <c r="F213" s="4" t="str">
        <f>IFERROR(__xludf.DUMMYFUNCTION("""COMPUTED_VALUE"""),"KTE2026-215.png")</f>
        <v>KTE2026-215.png</v>
      </c>
    </row>
    <row r="214">
      <c r="A214" s="4" t="str">
        <f>IFERROR(__xludf.DUMMYFUNCTION("""COMPUTED_VALUE"""),"KTE2026-216")</f>
        <v>KTE2026-216</v>
      </c>
      <c r="B214" s="4" t="str">
        <f>IFERROR(__xludf.DUMMYFUNCTION("""COMPUTED_VALUE"""),"Kinh tế")</f>
        <v>Kinh tế</v>
      </c>
      <c r="C214" s="4" t="str">
        <f>IFERROR(__xludf.DUMMYFUNCTION("""COMPUTED_VALUE"""),"Ngành khách sạn 5.0: Năng lực động, đổi mới xanh và hiệu quả bền vững trong bối cảnh môi trường biến động")</f>
        <v>Ngành khách sạn 5.0: Năng lực động, đổi mới xanh và hiệu quả bền vững trong bối cảnh môi trường biến động</v>
      </c>
      <c r="D214" s="4" t="str">
        <f>IFERROR(__xludf.DUMMYFUNCTION("""COMPUTED_VALUE"""),"Đặng Minh Thư; Đoàn Trương Đan Quỳnh")</f>
        <v>Đặng Minh Thư; Đoàn Trương Đan Quỳnh</v>
      </c>
      <c r="E214" s="4" t="str">
        <f>IFERROR(__xludf.DUMMYFUNCTION("""COMPUTED_VALUE"""),"Trường Đại học Tôn Đức Thắng")</f>
        <v>Trường Đại học Tôn Đức Thắng</v>
      </c>
      <c r="F214" s="4" t="str">
        <f>IFERROR(__xludf.DUMMYFUNCTION("""COMPUTED_VALUE"""),"KTE2026-216.png")</f>
        <v>KTE2026-216.png</v>
      </c>
    </row>
    <row r="215">
      <c r="A215" s="4" t="str">
        <f>IFERROR(__xludf.DUMMYFUNCTION("""COMPUTED_VALUE"""),"KTE2026-217")</f>
        <v>KTE2026-217</v>
      </c>
      <c r="B215" s="4" t="str">
        <f>IFERROR(__xludf.DUMMYFUNCTION("""COMPUTED_VALUE"""),"Kinh tế")</f>
        <v>Kinh tế</v>
      </c>
      <c r="C215" s="4" t="str">
        <f>IFERROR(__xludf.DUMMYFUNCTION("""COMPUTED_VALUE"""),"Nghiên cứu tác động của bối cảnh thương mại giai đoạn hậu COVID-19 đến hoạt động xuất nhập khẩu của Việt Nam")</f>
        <v>Nghiên cứu tác động của bối cảnh thương mại giai đoạn hậu COVID-19 đến hoạt động xuất nhập khẩu của Việt Nam</v>
      </c>
      <c r="D215" s="4" t="str">
        <f>IFERROR(__xludf.DUMMYFUNCTION("""COMPUTED_VALUE"""),"Trương Ngọc Bích Thùy; Hồ Ý Nhi")</f>
        <v>Trương Ngọc Bích Thùy; Hồ Ý Nhi</v>
      </c>
      <c r="E215" s="4" t="str">
        <f>IFERROR(__xludf.DUMMYFUNCTION("""COMPUTED_VALUE"""),"Trường Đại học Tôn Đức Thắng")</f>
        <v>Trường Đại học Tôn Đức Thắng</v>
      </c>
      <c r="F215" s="4" t="str">
        <f>IFERROR(__xludf.DUMMYFUNCTION("""COMPUTED_VALUE"""),"KTE2026-217.png")</f>
        <v>KTE2026-217.png</v>
      </c>
    </row>
    <row r="216">
      <c r="A216" s="4" t="str">
        <f>IFERROR(__xludf.DUMMYFUNCTION("""COMPUTED_VALUE"""),"KTE2026-218")</f>
        <v>KTE2026-218</v>
      </c>
      <c r="B216" s="4" t="str">
        <f>IFERROR(__xludf.DUMMYFUNCTION("""COMPUTED_VALUE"""),"Kinh tế")</f>
        <v>Kinh tế</v>
      </c>
      <c r="C216" s="4" t="str">
        <f>IFERROR(__xludf.DUMMYFUNCTION("""COMPUTED_VALUE"""),"Vai trò của thực hành quản trị nguồn nhân lực hướng tới hạnh phúc đến hành vi phản tác dụng của nhân viên")</f>
        <v>Vai trò của thực hành quản trị nguồn nhân lực hướng tới hạnh phúc đến hành vi phản tác dụng của nhân viên</v>
      </c>
      <c r="D216" s="4" t="str">
        <f>IFERROR(__xludf.DUMMYFUNCTION("""COMPUTED_VALUE"""),"Phan Hoàng Anh; Đinh Thị Bích Phương; Nguyễn Võ Minh Thuận")</f>
        <v>Phan Hoàng Anh; Đinh Thị Bích Phương; Nguyễn Võ Minh Thuận</v>
      </c>
      <c r="E216" s="4" t="str">
        <f>IFERROR(__xludf.DUMMYFUNCTION("""COMPUTED_VALUE"""),"Trường Đại học Tôn Đức Thắng")</f>
        <v>Trường Đại học Tôn Đức Thắng</v>
      </c>
      <c r="F216" s="4" t="str">
        <f>IFERROR(__xludf.DUMMYFUNCTION("""COMPUTED_VALUE"""),"KTE2026-218.png")</f>
        <v>KTE2026-218.png</v>
      </c>
    </row>
    <row r="217">
      <c r="A217" s="4" t="str">
        <f>IFERROR(__xludf.DUMMYFUNCTION("""COMPUTED_VALUE"""),"KTE2026-219")</f>
        <v>KTE2026-219</v>
      </c>
      <c r="B217" s="4" t="str">
        <f>IFERROR(__xludf.DUMMYFUNCTION("""COMPUTED_VALUE"""),"Kinh tế")</f>
        <v>Kinh tế</v>
      </c>
      <c r="C217" s="4" t="str">
        <f>IFERROR(__xludf.DUMMYFUNCTION("""COMPUTED_VALUE"""),"Tác động của chánh niệm xanh đến khả năng phục hồi tổ chức và hạnh phúc bền vững của nhân viên: Vai trò trung gian của tự hiệu quả xanh và hành vi đổi mới xanh dưới sự điều tiết của lãnh đạo chuyển đổi xanh")</f>
        <v>Tác động của chánh niệm xanh đến khả năng phục hồi tổ chức và hạnh phúc bền vững của nhân viên: Vai trò trung gian của tự hiệu quả xanh và hành vi đổi mới xanh dưới sự điều tiết của lãnh đạo chuyển đổi xanh</v>
      </c>
      <c r="D217" s="4" t="str">
        <f>IFERROR(__xludf.DUMMYFUNCTION("""COMPUTED_VALUE"""),"Vũ Việt Hoàng; Nguyễn Trần Thu Phương; Nguyễn Khánh Linh")</f>
        <v>Vũ Việt Hoàng; Nguyễn Trần Thu Phương; Nguyễn Khánh Linh</v>
      </c>
      <c r="E217" s="4" t="str">
        <f>IFERROR(__xludf.DUMMYFUNCTION("""COMPUTED_VALUE"""),"Trường Đại học Tôn Đức Thắng")</f>
        <v>Trường Đại học Tôn Đức Thắng</v>
      </c>
      <c r="F217" s="4" t="str">
        <f>IFERROR(__xludf.DUMMYFUNCTION("""COMPUTED_VALUE"""),"KTE2026-219.png")</f>
        <v>KTE2026-219.png</v>
      </c>
    </row>
    <row r="218">
      <c r="A218" s="4" t="str">
        <f>IFERROR(__xludf.DUMMYFUNCTION("""COMPUTED_VALUE"""),"KTE2026-220")</f>
        <v>KTE2026-220</v>
      </c>
      <c r="B218" s="4" t="str">
        <f>IFERROR(__xludf.DUMMYFUNCTION("""COMPUTED_VALUE"""),"Kinh tế")</f>
        <v>Kinh tế</v>
      </c>
      <c r="C218" s="4" t="str">
        <f>IFERROR(__xludf.DUMMYFUNCTION("""COMPUTED_VALUE"""),"Ảnh hưởng của quản trị nguồn nhân lực xanh và lãnh đạo khởi nghiệp xanh đến hành vi xanh của nhân viên: Vai trò của trung gian của trách nhiệm xã hội và bầu không khí tâm lý xanh")</f>
        <v>Ảnh hưởng của quản trị nguồn nhân lực xanh và lãnh đạo khởi nghiệp xanh đến hành vi xanh của nhân viên: Vai trò của trung gian của trách nhiệm xã hội và bầu không khí tâm lý xanh</v>
      </c>
      <c r="D218" s="4" t="str">
        <f>IFERROR(__xludf.DUMMYFUNCTION("""COMPUTED_VALUE"""),"Nguyễn Khánh Linh; Ngô Thị Ngọc Tuyết; Võ Thành Luân")</f>
        <v>Nguyễn Khánh Linh; Ngô Thị Ngọc Tuyết; Võ Thành Luân</v>
      </c>
      <c r="E218" s="4"/>
      <c r="F218" s="4" t="str">
        <f>IFERROR(__xludf.DUMMYFUNCTION("""COMPUTED_VALUE"""),"KTE2026-220.png")</f>
        <v>KTE2026-220.png</v>
      </c>
    </row>
    <row r="219">
      <c r="A219" s="4" t="str">
        <f>IFERROR(__xludf.DUMMYFUNCTION("""COMPUTED_VALUE"""),"KTE2026-221")</f>
        <v>KTE2026-221</v>
      </c>
      <c r="B219" s="4" t="str">
        <f>IFERROR(__xludf.DUMMYFUNCTION("""COMPUTED_VALUE"""),"Kinh tế")</f>
        <v>Kinh tế</v>
      </c>
      <c r="C219" s="4" t="str">
        <f>IFERROR(__xludf.DUMMYFUNCTION("""COMPUTED_VALUE"""),"Ảnh hưởng của tâm lý FOMO đến hành vi tiêu dùng của thế hệ Gen Z trên các sàn thương mại điện tử")</f>
        <v>Ảnh hưởng của tâm lý FOMO đến hành vi tiêu dùng của thế hệ Gen Z trên các sàn thương mại điện tử</v>
      </c>
      <c r="D219" s="4" t="str">
        <f>IFERROR(__xludf.DUMMYFUNCTION("""COMPUTED_VALUE"""),"Nguyễn Thị Huyền; Đặng Tuyết Ly; Phan Thị Minh Chi")</f>
        <v>Nguyễn Thị Huyền; Đặng Tuyết Ly; Phan Thị Minh Chi</v>
      </c>
      <c r="E219" s="4" t="str">
        <f>IFERROR(__xludf.DUMMYFUNCTION("""COMPUTED_VALUE"""),"Trường Đại học Mở Hà Nội")</f>
        <v>Trường Đại học Mở Hà Nội</v>
      </c>
      <c r="F219" s="4" t="str">
        <f>IFERROR(__xludf.DUMMYFUNCTION("""COMPUTED_VALUE"""),"KTE2026-221.png")</f>
        <v>KTE2026-221.png</v>
      </c>
    </row>
    <row r="220">
      <c r="A220" s="4" t="str">
        <f>IFERROR(__xludf.DUMMYFUNCTION("""COMPUTED_VALUE"""),"KTE2026-222")</f>
        <v>KTE2026-222</v>
      </c>
      <c r="B220" s="4" t="str">
        <f>IFERROR(__xludf.DUMMYFUNCTION("""COMPUTED_VALUE"""),"Kinh tế")</f>
        <v>Kinh tế</v>
      </c>
      <c r="C220" s="4" t="str">
        <f>IFERROR(__xludf.DUMMYFUNCTION("""COMPUTED_VALUE"""),"Ứng dụng AI trong cá nhân hóa trải nghiệm mua sắm mỹ phẩm trên sàn thương mại điện tử Shopee tại Việt Nam")</f>
        <v>Ứng dụng AI trong cá nhân hóa trải nghiệm mua sắm mỹ phẩm trên sàn thương mại điện tử Shopee tại Việt Nam</v>
      </c>
      <c r="D220" s="4" t="str">
        <f>IFERROR(__xludf.DUMMYFUNCTION("""COMPUTED_VALUE"""),"Đoàn Thị Thanh Quyến; Nguyễn Thị Hồng Ngọc; Nguyễn Thị Bích Nguyệt")</f>
        <v>Đoàn Thị Thanh Quyến; Nguyễn Thị Hồng Ngọc; Nguyễn Thị Bích Nguyệt</v>
      </c>
      <c r="E220" s="4" t="str">
        <f>IFERROR(__xludf.DUMMYFUNCTION("""COMPUTED_VALUE"""),"Trường Đại học Mở Hà Nội")</f>
        <v>Trường Đại học Mở Hà Nội</v>
      </c>
      <c r="F220" s="4" t="str">
        <f>IFERROR(__xludf.DUMMYFUNCTION("""COMPUTED_VALUE"""),"KTE2026-222.png")</f>
        <v>KTE2026-222.png</v>
      </c>
    </row>
    <row r="221">
      <c r="A221" s="4" t="str">
        <f>IFERROR(__xludf.DUMMYFUNCTION("""COMPUTED_VALUE"""),"KTE2026-223")</f>
        <v>KTE2026-223</v>
      </c>
      <c r="B221" s="4" t="str">
        <f>IFERROR(__xludf.DUMMYFUNCTION("""COMPUTED_VALUE"""),"Kinh tế")</f>
        <v>Kinh tế</v>
      </c>
      <c r="C221" s="4" t="str">
        <f>IFERROR(__xludf.DUMMYFUNCTION("""COMPUTED_VALUE"""),"Nghiên cứu các yếu tố ảnh hưởng đến quyết định mua hàng bốc đồng trên các sàn thương mại điện tử của thế hệ Gen Z tại tỉnh Gia Lai")</f>
        <v>Nghiên cứu các yếu tố ảnh hưởng đến quyết định mua hàng bốc đồng trên các sàn thương mại điện tử của thế hệ Gen Z tại tỉnh Gia Lai</v>
      </c>
      <c r="D221" s="4" t="str">
        <f>IFERROR(__xludf.DUMMYFUNCTION("""COMPUTED_VALUE"""),"Nguyễn Hoàng Trình; Nguyễn Bảo Ý; Võ Huỳnh Na; Thao Thị Yến Vy; Hoàng Kim Tuyến")</f>
        <v>Nguyễn Hoàng Trình; Nguyễn Bảo Ý; Võ Huỳnh Na; Thao Thị Yến Vy; Hoàng Kim Tuyến</v>
      </c>
      <c r="E221" s="4" t="str">
        <f>IFERROR(__xludf.DUMMYFUNCTION("""COMPUTED_VALUE"""),"Trường Đại học Quy Nhơn")</f>
        <v>Trường Đại học Quy Nhơn</v>
      </c>
      <c r="F221" s="4" t="str">
        <f>IFERROR(__xludf.DUMMYFUNCTION("""COMPUTED_VALUE"""),"KTE2026-223.png")</f>
        <v>KTE2026-223.png</v>
      </c>
    </row>
    <row r="222">
      <c r="A222" s="4" t="str">
        <f>IFERROR(__xludf.DUMMYFUNCTION("""COMPUTED_VALUE"""),"KTE2026-224")</f>
        <v>KTE2026-224</v>
      </c>
      <c r="B222" s="4" t="str">
        <f>IFERROR(__xludf.DUMMYFUNCTION("""COMPUTED_VALUE"""),"Kinh tế")</f>
        <v>Kinh tế</v>
      </c>
      <c r="C222" s="4" t="str">
        <f>IFERROR(__xludf.DUMMYFUNCTION("""COMPUTED_VALUE"""),"Các yếu tố tác động đến xuất khẩu gạo Việt Nam sang Nam Phi")</f>
        <v>Các yếu tố tác động đến xuất khẩu gạo Việt Nam sang Nam Phi</v>
      </c>
      <c r="D222" s="4" t="str">
        <f>IFERROR(__xludf.DUMMYFUNCTION("""COMPUTED_VALUE"""),"Trần Phạm Bảo Linh")</f>
        <v>Trần Phạm Bảo Linh</v>
      </c>
      <c r="E222" s="4" t="str">
        <f>IFERROR(__xludf.DUMMYFUNCTION("""COMPUTED_VALUE"""),"Học viện Ngoại giao")</f>
        <v>Học viện Ngoại giao</v>
      </c>
      <c r="F222" s="4" t="str">
        <f>IFERROR(__xludf.DUMMYFUNCTION("""COMPUTED_VALUE"""),"KTE2026-224.png")</f>
        <v>KTE2026-224.png</v>
      </c>
    </row>
    <row r="223">
      <c r="A223" s="4" t="str">
        <f>IFERROR(__xludf.DUMMYFUNCTION("""COMPUTED_VALUE"""),"KTE2026-225")</f>
        <v>KTE2026-225</v>
      </c>
      <c r="B223" s="4" t="str">
        <f>IFERROR(__xludf.DUMMYFUNCTION("""COMPUTED_VALUE"""),"Kinh tế")</f>
        <v>Kinh tế</v>
      </c>
      <c r="C223" s="4" t="str">
        <f>IFERROR(__xludf.DUMMYFUNCTION("""COMPUTED_VALUE"""),"Supply chain resilience of Vietnam-EU sea route against geopolitical risks: Evidence from the Red Sea crisis and Suez disruption")</f>
        <v>Supply chain resilience of Vietnam-EU sea route against geopolitical risks: Evidence from the Red Sea crisis and Suez disruption</v>
      </c>
      <c r="D223" s="4" t="str">
        <f>IFERROR(__xludf.DUMMYFUNCTION("""COMPUTED_VALUE"""),"Nguyễn Phương Anh; Trần Thùy Trang; Bùi Thị Thùy Trang; Đỗ Thị Huyền Trang")</f>
        <v>Nguyễn Phương Anh; Trần Thùy Trang; Bùi Thị Thùy Trang; Đỗ Thị Huyền Trang</v>
      </c>
      <c r="E223" s="4" t="str">
        <f>IFERROR(__xludf.DUMMYFUNCTION("""COMPUTED_VALUE"""),"Học viện Ngoại giao")</f>
        <v>Học viện Ngoại giao</v>
      </c>
      <c r="F223" s="4" t="str">
        <f>IFERROR(__xludf.DUMMYFUNCTION("""COMPUTED_VALUE"""),"KTE2026-225.png")</f>
        <v>KTE2026-225.png</v>
      </c>
    </row>
    <row r="224">
      <c r="A224" s="4" t="str">
        <f>IFERROR(__xludf.DUMMYFUNCTION("""COMPUTED_VALUE"""),"KTE2026-226")</f>
        <v>KTE2026-226</v>
      </c>
      <c r="B224" s="4" t="str">
        <f>IFERROR(__xludf.DUMMYFUNCTION("""COMPUTED_VALUE"""),"Kinh tế")</f>
        <v>Kinh tế</v>
      </c>
      <c r="C224" s="4" t="str">
        <f>IFERROR(__xludf.DUMMYFUNCTION("""COMPUTED_VALUE"""),"Ảnh hưởng của nhận thức về “tẩy xanh” (greenwashing) đến niềm tin thương hiệu và ý định mua hàng bền vững của Gen Z tại Hà Nội")</f>
        <v>Ảnh hưởng của nhận thức về “tẩy xanh” (greenwashing) đến niềm tin thương hiệu và ý định mua hàng bền vững của Gen Z tại Hà Nội</v>
      </c>
      <c r="D224" s="4" t="str">
        <f>IFERROR(__xludf.DUMMYFUNCTION("""COMPUTED_VALUE"""),"Lê Vân Anh; Lương Hải Anh; Nguyễn Khánh Huyền; Hoàng Thị Thúy Hiền; Lê Trần Tường Vy")</f>
        <v>Lê Vân Anh; Lương Hải Anh; Nguyễn Khánh Huyền; Hoàng Thị Thúy Hiền; Lê Trần Tường Vy</v>
      </c>
      <c r="E224" s="4" t="str">
        <f>IFERROR(__xludf.DUMMYFUNCTION("""COMPUTED_VALUE"""),"Học viện Ngoại giao")</f>
        <v>Học viện Ngoại giao</v>
      </c>
      <c r="F224" s="4" t="str">
        <f>IFERROR(__xludf.DUMMYFUNCTION("""COMPUTED_VALUE"""),"KTE2026-226.png")</f>
        <v>KTE2026-226.png</v>
      </c>
    </row>
    <row r="225">
      <c r="A225" s="4" t="str">
        <f>IFERROR(__xludf.DUMMYFUNCTION("""COMPUTED_VALUE"""),"KTE2026-227")</f>
        <v>KTE2026-227</v>
      </c>
      <c r="B225" s="4" t="str">
        <f>IFERROR(__xludf.DUMMYFUNCTION("""COMPUTED_VALUE"""),"Kinh tế")</f>
        <v>Kinh tế</v>
      </c>
      <c r="C225" s="4" t="str">
        <f>IFERROR(__xludf.DUMMYFUNCTION("""COMPUTED_VALUE"""),"Nghiên cứu các nhân tố ảnh hưởng đến ý định sử dụng phương tiện giao thông xanh của sinh viên trên địa bàn tỉnh Nghệ An")</f>
        <v>Nghiên cứu các nhân tố ảnh hưởng đến ý định sử dụng phương tiện giao thông xanh của sinh viên trên địa bàn tỉnh Nghệ An</v>
      </c>
      <c r="D225" s="4" t="str">
        <f>IFERROR(__xludf.DUMMYFUNCTION("""COMPUTED_VALUE"""),"Bạch Thị Nhi; Bùi Thị Linh")</f>
        <v>Bạch Thị Nhi; Bùi Thị Linh</v>
      </c>
      <c r="E225" s="4" t="str">
        <f>IFERROR(__xludf.DUMMYFUNCTION("""COMPUTED_VALUE"""),"Trường Đại học Nghệ An")</f>
        <v>Trường Đại học Nghệ An</v>
      </c>
      <c r="F225" s="4" t="str">
        <f>IFERROR(__xludf.DUMMYFUNCTION("""COMPUTED_VALUE"""),"KTE2026-227.png")</f>
        <v>KTE2026-227.png</v>
      </c>
    </row>
    <row r="226">
      <c r="A226" s="4" t="str">
        <f>IFERROR(__xludf.DUMMYFUNCTION("""COMPUTED_VALUE"""),"KTE2026-228")</f>
        <v>KTE2026-228</v>
      </c>
      <c r="B226" s="4" t="str">
        <f>IFERROR(__xludf.DUMMYFUNCTION("""COMPUTED_VALUE"""),"Kinh tế")</f>
        <v>Kinh tế</v>
      </c>
      <c r="C226" s="4" t="str">
        <f>IFERROR(__xludf.DUMMYFUNCTION("""COMPUTED_VALUE"""),"Ảnh hưởng của TikTok marketing đến hành vi mua sắm của thế hệ z tại Trường Đại học Nghệ An")</f>
        <v>Ảnh hưởng của TikTok marketing đến hành vi mua sắm của thế hệ z tại Trường Đại học Nghệ An</v>
      </c>
      <c r="D226" s="4" t="str">
        <f>IFERROR(__xludf.DUMMYFUNCTION("""COMPUTED_VALUE"""),"Đinh Nguyễn Tuệ Nhi")</f>
        <v>Đinh Nguyễn Tuệ Nhi</v>
      </c>
      <c r="E226" s="4" t="str">
        <f>IFERROR(__xludf.DUMMYFUNCTION("""COMPUTED_VALUE"""),"Trường Đại học Nghệ An")</f>
        <v>Trường Đại học Nghệ An</v>
      </c>
      <c r="F226" s="4" t="str">
        <f>IFERROR(__xludf.DUMMYFUNCTION("""COMPUTED_VALUE"""),"KTE2026-228.png")</f>
        <v>KTE2026-228.png</v>
      </c>
    </row>
    <row r="227">
      <c r="A227" s="4" t="str">
        <f>IFERROR(__xludf.DUMMYFUNCTION("""COMPUTED_VALUE"""),"KTE2026-229")</f>
        <v>KTE2026-229</v>
      </c>
      <c r="B227" s="4" t="str">
        <f>IFERROR(__xludf.DUMMYFUNCTION("""COMPUTED_VALUE"""),"Kinh tế")</f>
        <v>Kinh tế</v>
      </c>
      <c r="C227" s="4" t="str">
        <f>IFERROR(__xludf.DUMMYFUNCTION("""COMPUTED_VALUE"""),"Tăng cường ứng dụng công nghệ số để phát triển du lịch bền vững tỉnh Quảng Trị")</f>
        <v>Tăng cường ứng dụng công nghệ số để phát triển du lịch bền vững tỉnh Quảng Trị</v>
      </c>
      <c r="D227" s="4" t="str">
        <f>IFERROR(__xludf.DUMMYFUNCTION("""COMPUTED_VALUE"""),"Nguyễn Thị Thanh Lan; Nguyễn Trần Ngọc Hoài; Hoàng Huyền Trang")</f>
        <v>Nguyễn Thị Thanh Lan; Nguyễn Trần Ngọc Hoài; Hoàng Huyền Trang</v>
      </c>
      <c r="E227" s="4" t="str">
        <f>IFERROR(__xludf.DUMMYFUNCTION("""COMPUTED_VALUE"""),"Trường Đại học Nghệ An")</f>
        <v>Trường Đại học Nghệ An</v>
      </c>
      <c r="F227" s="4" t="str">
        <f>IFERROR(__xludf.DUMMYFUNCTION("""COMPUTED_VALUE"""),"KTE2026-229.png")</f>
        <v>KTE2026-229.png</v>
      </c>
    </row>
    <row r="228">
      <c r="A228" s="4" t="str">
        <f>IFERROR(__xludf.DUMMYFUNCTION("""COMPUTED_VALUE"""),"KTE2026-230")</f>
        <v>KTE2026-230</v>
      </c>
      <c r="B228" s="4" t="str">
        <f>IFERROR(__xludf.DUMMYFUNCTION("""COMPUTED_VALUE"""),"Kinh tế")</f>
        <v>Kinh tế</v>
      </c>
      <c r="C228" s="4" t="str">
        <f>IFERROR(__xludf.DUMMYFUNCTION("""COMPUTED_VALUE"""),"Ứng dụng logistics xanh nhằm giảm thiểu tác động tới môi trường tại tỉnh Nghệ An")</f>
        <v>Ứng dụng logistics xanh nhằm giảm thiểu tác động tới môi trường tại tỉnh Nghệ An</v>
      </c>
      <c r="D228" s="4" t="str">
        <f>IFERROR(__xludf.DUMMYFUNCTION("""COMPUTED_VALUE"""),"Nguyễn Thị Thu Phương")</f>
        <v>Nguyễn Thị Thu Phương</v>
      </c>
      <c r="E228" s="4" t="str">
        <f>IFERROR(__xludf.DUMMYFUNCTION("""COMPUTED_VALUE"""),"Trường Đại học Nghệ An")</f>
        <v>Trường Đại học Nghệ An</v>
      </c>
      <c r="F228" s="4" t="str">
        <f>IFERROR(__xludf.DUMMYFUNCTION("""COMPUTED_VALUE"""),"KTE2026-230.png")</f>
        <v>KTE2026-230.png</v>
      </c>
    </row>
    <row r="229">
      <c r="A229" s="4" t="str">
        <f>IFERROR(__xludf.DUMMYFUNCTION("""COMPUTED_VALUE"""),"KTE2026-231")</f>
        <v>KTE2026-231</v>
      </c>
      <c r="B229" s="4" t="str">
        <f>IFERROR(__xludf.DUMMYFUNCTION("""COMPUTED_VALUE"""),"Kinh tế")</f>
        <v>Kinh tế</v>
      </c>
      <c r="C229" s="4" t="str">
        <f>IFERROR(__xludf.DUMMYFUNCTION("""COMPUTED_VALUE"""),"Đánh giá tác động của việc sử dụng nhiên liệu LNG trong logistics đến hiệu quả hoạt động và kinh tế trong chuỗi cung ứng xuất khẩu nông sản Việt Nam")</f>
        <v>Đánh giá tác động của việc sử dụng nhiên liệu LNG trong logistics đến hiệu quả hoạt động và kinh tế trong chuỗi cung ứng xuất khẩu nông sản Việt Nam</v>
      </c>
      <c r="D229" s="4" t="str">
        <f>IFERROR(__xludf.DUMMYFUNCTION("""COMPUTED_VALUE"""),"Hồ Thị Trang Nhung")</f>
        <v>Hồ Thị Trang Nhung</v>
      </c>
      <c r="E229" s="4" t="str">
        <f>IFERROR(__xludf.DUMMYFUNCTION("""COMPUTED_VALUE"""),"Học viện Hàng không Việt Nam")</f>
        <v>Học viện Hàng không Việt Nam</v>
      </c>
      <c r="F229" s="4" t="str">
        <f>IFERROR(__xludf.DUMMYFUNCTION("""COMPUTED_VALUE"""),"KTE2026-231.png")</f>
        <v>KTE2026-231.png</v>
      </c>
    </row>
    <row r="230">
      <c r="A230" s="4" t="str">
        <f>IFERROR(__xludf.DUMMYFUNCTION("""COMPUTED_VALUE"""),"KTE2026-232")</f>
        <v>KTE2026-232</v>
      </c>
      <c r="B230" s="4" t="str">
        <f>IFERROR(__xludf.DUMMYFUNCTION("""COMPUTED_VALUE"""),"Kinh tế")</f>
        <v>Kinh tế</v>
      </c>
      <c r="C230" s="4" t="str">
        <f>IFERROR(__xludf.DUMMYFUNCTION("""COMPUTED_VALUE"""),"Nghiên cứu các động lực hình thành sự chấp nhận của người tiêu dùng đối với mỹ phẩm xanh từ vi tảo: Trường hợp tại thành phố Hồ Chí Minh và một số tỉnh phía Nam")</f>
        <v>Nghiên cứu các động lực hình thành sự chấp nhận của người tiêu dùng đối với mỹ phẩm xanh từ vi tảo: Trường hợp tại thành phố Hồ Chí Minh và một số tỉnh phía Nam</v>
      </c>
      <c r="D230" s="4" t="str">
        <f>IFERROR(__xludf.DUMMYFUNCTION("""COMPUTED_VALUE"""),"Bùi Ngọc Hiếu Thảo; Trần Đông Sun")</f>
        <v>Bùi Ngọc Hiếu Thảo; Trần Đông Sun</v>
      </c>
      <c r="E230" s="4" t="str">
        <f>IFERROR(__xludf.DUMMYFUNCTION("""COMPUTED_VALUE"""),"Trường Đại học Nguyễn Tất Thành")</f>
        <v>Trường Đại học Nguyễn Tất Thành</v>
      </c>
      <c r="F230" s="4" t="str">
        <f>IFERROR(__xludf.DUMMYFUNCTION("""COMPUTED_VALUE"""),"KTE2026-232.png")</f>
        <v>KTE2026-232.png</v>
      </c>
    </row>
    <row r="231">
      <c r="A231" s="4" t="str">
        <f>IFERROR(__xludf.DUMMYFUNCTION("""COMPUTED_VALUE"""),"KTE2026-233")</f>
        <v>KTE2026-233</v>
      </c>
      <c r="B231" s="4" t="str">
        <f>IFERROR(__xludf.DUMMYFUNCTION("""COMPUTED_VALUE"""),"Kinh tế")</f>
        <v>Kinh tế</v>
      </c>
      <c r="C231" s="4" t="str">
        <f>IFERROR(__xludf.DUMMYFUNCTION("""COMPUTED_VALUE"""),"Nghiên cứu hành vi mua sắm bốc đồng của người tiêu dùng tại thành phố Đà Nẵng trong bối cảnh thương mại xã hội thông qua màn hình thứ hai")</f>
        <v>Nghiên cứu hành vi mua sắm bốc đồng của người tiêu dùng tại thành phố Đà Nẵng trong bối cảnh thương mại xã hội thông qua màn hình thứ hai</v>
      </c>
      <c r="D231" s="4" t="str">
        <f>IFERROR(__xludf.DUMMYFUNCTION("""COMPUTED_VALUE"""),"Nguyễn Thanh Tĩnh; Nguyễn Phạm Mỹ Duyên; Phan Thị Bạch Tuyết; Tạ Thị Lệ Quyên")</f>
        <v>Nguyễn Thanh Tĩnh; Nguyễn Phạm Mỹ Duyên; Phan Thị Bạch Tuyết; Tạ Thị Lệ Quyên</v>
      </c>
      <c r="E231" s="4" t="str">
        <f>IFERROR(__xludf.DUMMYFUNCTION("""COMPUTED_VALUE"""),"Trường Đại học Đông Á")</f>
        <v>Trường Đại học Đông Á</v>
      </c>
      <c r="F231" s="4" t="str">
        <f>IFERROR(__xludf.DUMMYFUNCTION("""COMPUTED_VALUE"""),"KTE2026-233.png")</f>
        <v>KTE2026-233.png</v>
      </c>
    </row>
    <row r="232">
      <c r="A232" s="4" t="str">
        <f>IFERROR(__xludf.DUMMYFUNCTION("""COMPUTED_VALUE"""),"KTE2026-234")</f>
        <v>KTE2026-234</v>
      </c>
      <c r="B232" s="4" t="str">
        <f>IFERROR(__xludf.DUMMYFUNCTION("""COMPUTED_VALUE"""),"Kinh tế")</f>
        <v>Kinh tế</v>
      </c>
      <c r="C232" s="4" t="str">
        <f>IFERROR(__xludf.DUMMYFUNCTION("""COMPUTED_VALUE"""),"Ảnh hưởng của trò chơi hóa (gamification) trong thương mại điện tử đến quyết định mua hàng của sinh viên. Trường hợp nghiên cứu tại một cơ sở giáo dục đại học công lập ở TP. HCM")</f>
        <v>Ảnh hưởng của trò chơi hóa (gamification) trong thương mại điện tử đến quyết định mua hàng của sinh viên. Trường hợp nghiên cứu tại một cơ sở giáo dục đại học công lập ở TP. HCM</v>
      </c>
      <c r="D232" s="4" t="str">
        <f>IFERROR(__xludf.DUMMYFUNCTION("""COMPUTED_VALUE"""),"Phan Anh Đạt")</f>
        <v>Phan Anh Đạt</v>
      </c>
      <c r="E232" s="4" t="str">
        <f>IFERROR(__xludf.DUMMYFUNCTION("""COMPUTED_VALUE"""),"Trường Đại học Lao động - Xã hội (CS2)")</f>
        <v>Trường Đại học Lao động - Xã hội (CS2)</v>
      </c>
      <c r="F232" s="4" t="str">
        <f>IFERROR(__xludf.DUMMYFUNCTION("""COMPUTED_VALUE"""),"KTE2026-234.png")</f>
        <v>KTE2026-234.png</v>
      </c>
    </row>
    <row r="233">
      <c r="A233" s="4" t="str">
        <f>IFERROR(__xludf.DUMMYFUNCTION("""COMPUTED_VALUE"""),"KTE2026-235")</f>
        <v>KTE2026-235</v>
      </c>
      <c r="B233" s="4" t="str">
        <f>IFERROR(__xludf.DUMMYFUNCTION("""COMPUTED_VALUE"""),"Kinh tế")</f>
        <v>Kinh tế</v>
      </c>
      <c r="C233" s="4" t="str">
        <f>IFERROR(__xludf.DUMMYFUNCTION("""COMPUTED_VALUE"""),"Tác động của logistics xanh đối với xuất khẩu hàng hoá thân thiện với môi trường")</f>
        <v>Tác động của logistics xanh đối với xuất khẩu hàng hoá thân thiện với môi trường</v>
      </c>
      <c r="D233" s="4" t="str">
        <f>IFERROR(__xludf.DUMMYFUNCTION("""COMPUTED_VALUE"""),"Nguyễn Thị Hồng; Nguyễn Tuấn Hùng; Nguyễn Thị Ngân; Nguyễn Ngọc Phương")</f>
        <v>Nguyễn Thị Hồng; Nguyễn Tuấn Hùng; Nguyễn Thị Ngân; Nguyễn Ngọc Phương</v>
      </c>
      <c r="E233" s="4" t="str">
        <f>IFERROR(__xludf.DUMMYFUNCTION("""COMPUTED_VALUE"""),"Đại học Phenikaa")</f>
        <v>Đại học Phenikaa</v>
      </c>
      <c r="F233" s="4" t="str">
        <f>IFERROR(__xludf.DUMMYFUNCTION("""COMPUTED_VALUE"""),"KTE2026-235.png")</f>
        <v>KTE2026-235.png</v>
      </c>
    </row>
    <row r="234">
      <c r="A234" s="4" t="str">
        <f>IFERROR(__xludf.DUMMYFUNCTION("""COMPUTED_VALUE"""),"KTE2026-236")</f>
        <v>KTE2026-236</v>
      </c>
      <c r="B234" s="4" t="str">
        <f>IFERROR(__xludf.DUMMYFUNCTION("""COMPUTED_VALUE"""),"Kinh tế")</f>
        <v>Kinh tế</v>
      </c>
      <c r="C234" s="4" t="str">
        <f>IFERROR(__xludf.DUMMYFUNCTION("""COMPUTED_VALUE"""),"Corporate social responsibility disclosure and corporate financial performance: The role of board gender diversity in Vietnamese listed financial and real estate companies")</f>
        <v>Corporate social responsibility disclosure and corporate financial performance: The role of board gender diversity in Vietnamese listed financial and real estate companies</v>
      </c>
      <c r="D234" s="4" t="str">
        <f>IFERROR(__xludf.DUMMYFUNCTION("""COMPUTED_VALUE"""),"Nguyễn Xuân Đức; Phạm Minh Tân")</f>
        <v>Nguyễn Xuân Đức; Phạm Minh Tân</v>
      </c>
      <c r="E234" s="4" t="str">
        <f>IFERROR(__xludf.DUMMYFUNCTION("""COMPUTED_VALUE"""),"Đại học Phenikaa")</f>
        <v>Đại học Phenikaa</v>
      </c>
      <c r="F234" s="4" t="str">
        <f>IFERROR(__xludf.DUMMYFUNCTION("""COMPUTED_VALUE"""),"KTE2026-236.png")</f>
        <v>KTE2026-236.png</v>
      </c>
    </row>
    <row r="235">
      <c r="A235" s="4" t="str">
        <f>IFERROR(__xludf.DUMMYFUNCTION("""COMPUTED_VALUE"""),"KTE2026-237")</f>
        <v>KTE2026-237</v>
      </c>
      <c r="B235" s="4" t="str">
        <f>IFERROR(__xludf.DUMMYFUNCTION("""COMPUTED_VALUE"""),"Kinh tế")</f>
        <v>Kinh tế</v>
      </c>
      <c r="C235" s="4" t="str">
        <f>IFERROR(__xludf.DUMMYFUNCTION("""COMPUTED_VALUE"""),"Hiệu ứng FOMO và hành vi tiêu dùng Gen Z trong nền kinh tế số: Nghiên cứu trường hợp sinh viên của Phân hiệu Học viện Hành chính và Quản trị công tại thành phố Hồ Chí Minh")</f>
        <v>Hiệu ứng FOMO và hành vi tiêu dùng Gen Z trong nền kinh tế số: Nghiên cứu trường hợp sinh viên của Phân hiệu Học viện Hành chính và Quản trị công tại thành phố Hồ Chí Minh</v>
      </c>
      <c r="D235" s="4" t="str">
        <f>IFERROR(__xludf.DUMMYFUNCTION("""COMPUTED_VALUE"""),"Nguyễn Ngọc Sang; Bùi Thị Hồng Đào; Phạm Thị Diệu Linh; Lê Quyền Trân; Võ Thị Thanh Tuyền")</f>
        <v>Nguyễn Ngọc Sang; Bùi Thị Hồng Đào; Phạm Thị Diệu Linh; Lê Quyền Trân; Võ Thị Thanh Tuyền</v>
      </c>
      <c r="E235" s="4" t="str">
        <f>IFERROR(__xludf.DUMMYFUNCTION("""COMPUTED_VALUE"""),"Học viện Hành chính và Quản trị công")</f>
        <v>Học viện Hành chính và Quản trị công</v>
      </c>
      <c r="F235" s="4" t="str">
        <f>IFERROR(__xludf.DUMMYFUNCTION("""COMPUTED_VALUE"""),"KTE2026-237.png")</f>
        <v>KTE2026-237.png</v>
      </c>
    </row>
    <row r="236">
      <c r="A236" s="4" t="str">
        <f>IFERROR(__xludf.DUMMYFUNCTION("""COMPUTED_VALUE"""),"KTE2026-238")</f>
        <v>KTE2026-238</v>
      </c>
      <c r="B236" s="4" t="str">
        <f>IFERROR(__xludf.DUMMYFUNCTION("""COMPUTED_VALUE"""),"Kinh tế")</f>
        <v>Kinh tế</v>
      </c>
      <c r="C236" s="4" t="str">
        <f>IFERROR(__xludf.DUMMYFUNCTION("""COMPUTED_VALUE"""),"The sociocultural impact of learning, environmentalism, and ethnocentrism on customer engagement with locally pro-environmental products")</f>
        <v>The sociocultural impact of learning, environmentalism, and ethnocentrism on customer engagement with locally pro-environmental products</v>
      </c>
      <c r="D236" s="4" t="str">
        <f>IFERROR(__xludf.DUMMYFUNCTION("""COMPUTED_VALUE"""),"Nguyễn Thị Phương Thảo; Nguyễn Thị Đan Phượng; Võ Hà Gia Minh; Hồ Mạnh Thắng")</f>
        <v>Nguyễn Thị Phương Thảo; Nguyễn Thị Đan Phượng; Võ Hà Gia Minh; Hồ Mạnh Thắng</v>
      </c>
      <c r="E236" s="4" t="str">
        <f>IFERROR(__xludf.DUMMYFUNCTION("""COMPUTED_VALUE"""),"Trường Quốc tế, ĐHQG Hà Nội")</f>
        <v>Trường Quốc tế, ĐHQG Hà Nội</v>
      </c>
      <c r="F236" s="4" t="str">
        <f>IFERROR(__xludf.DUMMYFUNCTION("""COMPUTED_VALUE"""),"KTE2026-238.png")</f>
        <v>KTE2026-238.png</v>
      </c>
    </row>
    <row r="237">
      <c r="A237" s="4" t="str">
        <f>IFERROR(__xludf.DUMMYFUNCTION("""COMPUTED_VALUE"""),"KTE2026-239")</f>
        <v>KTE2026-239</v>
      </c>
      <c r="B237" s="4" t="str">
        <f>IFERROR(__xludf.DUMMYFUNCTION("""COMPUTED_VALUE"""),"Kinh tế")</f>
        <v>Kinh tế</v>
      </c>
      <c r="C237" s="4" t="str">
        <f>IFERROR(__xludf.DUMMYFUNCTION("""COMPUTED_VALUE"""),"The impact of green brand trust and brand love on parents’ intention to choose eco-labeled summer camps in Vietnam: The moderating role of parental mindfulness")</f>
        <v>The impact of green brand trust and brand love on parents’ intention to choose eco-labeled summer camps in Vietnam: The moderating role of parental mindfulness</v>
      </c>
      <c r="D237" s="4" t="str">
        <f>IFERROR(__xludf.DUMMYFUNCTION("""COMPUTED_VALUE"""),"Nguyễn Thu Trang")</f>
        <v>Nguyễn Thu Trang</v>
      </c>
      <c r="E237" s="4" t="str">
        <f>IFERROR(__xludf.DUMMYFUNCTION("""COMPUTED_VALUE"""),"Trường Quốc tế, ĐHQG Hà Nội")</f>
        <v>Trường Quốc tế, ĐHQG Hà Nội</v>
      </c>
      <c r="F237" s="4" t="str">
        <f>IFERROR(__xludf.DUMMYFUNCTION("""COMPUTED_VALUE"""),"KTE2026-239.png")</f>
        <v>KTE2026-239.png</v>
      </c>
    </row>
    <row r="238">
      <c r="A238" s="4" t="str">
        <f>IFERROR(__xludf.DUMMYFUNCTION("""COMPUTED_VALUE"""),"KTE2026-240")</f>
        <v>KTE2026-240</v>
      </c>
      <c r="B238" s="4" t="str">
        <f>IFERROR(__xludf.DUMMYFUNCTION("""COMPUTED_VALUE"""),"Kinh tế")</f>
        <v>Kinh tế</v>
      </c>
      <c r="C238" s="4" t="str">
        <f>IFERROR(__xludf.DUMMYFUNCTION("""COMPUTED_VALUE"""),"The impact of the fear of missing out (FOMO) on the impulsive online shopping behavior via TikTok livestream in Vietnam")</f>
        <v>The impact of the fear of missing out (FOMO) on the impulsive online shopping behavior via TikTok livestream in Vietnam</v>
      </c>
      <c r="D238" s="4" t="str">
        <f>IFERROR(__xludf.DUMMYFUNCTION("""COMPUTED_VALUE"""),"Ngô Vân Giang; Vương Thị Bích Ngọc; Đỗ Hải Yến; Nguyễn Mai Thu Trang")</f>
        <v>Ngô Vân Giang; Vương Thị Bích Ngọc; Đỗ Hải Yến; Nguyễn Mai Thu Trang</v>
      </c>
      <c r="E238" s="4" t="str">
        <f>IFERROR(__xludf.DUMMYFUNCTION("""COMPUTED_VALUE"""),"Trường Quốc tế, ĐHQG Hà Nội")</f>
        <v>Trường Quốc tế, ĐHQG Hà Nội</v>
      </c>
      <c r="F238" s="4" t="str">
        <f>IFERROR(__xludf.DUMMYFUNCTION("""COMPUTED_VALUE"""),"KTE2026-240.png")</f>
        <v>KTE2026-240.png</v>
      </c>
    </row>
    <row r="239">
      <c r="A239" s="4" t="str">
        <f>IFERROR(__xludf.DUMMYFUNCTION("""COMPUTED_VALUE"""),"KTE2026-241")</f>
        <v>KTE2026-241</v>
      </c>
      <c r="B239" s="4" t="str">
        <f>IFERROR(__xludf.DUMMYFUNCTION("""COMPUTED_VALUE"""),"Kinh tế")</f>
        <v>Kinh tế</v>
      </c>
      <c r="C239" s="4" t="str">
        <f>IFERROR(__xludf.DUMMYFUNCTION("""COMPUTED_VALUE"""),"Ảnh hưởng của chuyển đổi đến hiệu quả cá nhân hoá trải nghiệm khách hàng trong khách sạn từ 4 - 5 sao tại thành phố Hồ Chí Minh")</f>
        <v>Ảnh hưởng của chuyển đổi đến hiệu quả cá nhân hoá trải nghiệm khách hàng trong khách sạn từ 4 - 5 sao tại thành phố Hồ Chí Minh</v>
      </c>
      <c r="D239" s="4" t="str">
        <f>IFERROR(__xludf.DUMMYFUNCTION("""COMPUTED_VALUE"""),"Bùi Đoàn Trâm Anh; Phạm Võ Kim Ngân")</f>
        <v>Bùi Đoàn Trâm Anh; Phạm Võ Kim Ngân</v>
      </c>
      <c r="E239" s="4" t="str">
        <f>IFERROR(__xludf.DUMMYFUNCTION("""COMPUTED_VALUE"""),"Trường Đại học Kinh tế - Tài chính TP. Hồ Chí Minh")</f>
        <v>Trường Đại học Kinh tế - Tài chính TP. Hồ Chí Minh</v>
      </c>
      <c r="F239" s="4" t="str">
        <f>IFERROR(__xludf.DUMMYFUNCTION("""COMPUTED_VALUE"""),"KTE2026-241.png")</f>
        <v>KTE2026-241.png</v>
      </c>
    </row>
    <row r="240">
      <c r="A240" s="4" t="str">
        <f>IFERROR(__xludf.DUMMYFUNCTION("""COMPUTED_VALUE"""),"KTE2026-242")</f>
        <v>KTE2026-242</v>
      </c>
      <c r="B240" s="4" t="str">
        <f>IFERROR(__xludf.DUMMYFUNCTION("""COMPUTED_VALUE"""),"Kinh tế")</f>
        <v>Kinh tế</v>
      </c>
      <c r="C240" s="4" t="str">
        <f>IFERROR(__xludf.DUMMYFUNCTION("""COMPUTED_VALUE"""),"Tương tác cận xã hội và suy giảm tự kiểm soát trong hành vi mua sắm bốc đồng: Bằng chứng từ phân tích điều kiện cần và đủ tại thành phố Hồ Chí Minh")</f>
        <v>Tương tác cận xã hội và suy giảm tự kiểm soát trong hành vi mua sắm bốc đồng: Bằng chứng từ phân tích điều kiện cần và đủ tại thành phố Hồ Chí Minh</v>
      </c>
      <c r="D240" s="4" t="str">
        <f>IFERROR(__xludf.DUMMYFUNCTION("""COMPUTED_VALUE"""),"Phạm Phương Anh; Lê Nguyễn Bảo Ly; Nguyễn Trần Mỹ Uyên; Hồ Như Thuỷ; Nguyễn Thị Thanh Hằng")</f>
        <v>Phạm Phương Anh; Lê Nguyễn Bảo Ly; Nguyễn Trần Mỹ Uyên; Hồ Như Thuỷ; Nguyễn Thị Thanh Hằng</v>
      </c>
      <c r="E240" s="4" t="str">
        <f>IFERROR(__xludf.DUMMYFUNCTION("""COMPUTED_VALUE"""),"Trường Đại học Kinh tế - Tài chính TP. Hồ Chí Minh")</f>
        <v>Trường Đại học Kinh tế - Tài chính TP. Hồ Chí Minh</v>
      </c>
      <c r="F240" s="4" t="str">
        <f>IFERROR(__xludf.DUMMYFUNCTION("""COMPUTED_VALUE"""),"KTE2026-242.png")</f>
        <v>KTE2026-242.png</v>
      </c>
    </row>
    <row r="241">
      <c r="A241" s="4" t="str">
        <f>IFERROR(__xludf.DUMMYFUNCTION("""COMPUTED_VALUE"""),"KTE2026-243")</f>
        <v>KTE2026-243</v>
      </c>
      <c r="B241" s="4" t="str">
        <f>IFERROR(__xludf.DUMMYFUNCTION("""COMPUTED_VALUE"""),"Kinh tế")</f>
        <v>Kinh tế</v>
      </c>
      <c r="C241" s="4" t="str">
        <f>IFERROR(__xludf.DUMMYFUNCTION("""COMPUTED_VALUE"""),"Ảnh hưởng của livestream marketing đến ý định mua hàng trực tuyến của người dùng Gen X: Vai trò trung gian của niềm tin")</f>
        <v>Ảnh hưởng của livestream marketing đến ý định mua hàng trực tuyến của người dùng Gen X: Vai trò trung gian của niềm tin</v>
      </c>
      <c r="D241" s="4" t="str">
        <f>IFERROR(__xludf.DUMMYFUNCTION("""COMPUTED_VALUE"""),"Nguyễn Thị Như Quỳnh; Lê Vũ Linh Nguyên")</f>
        <v>Nguyễn Thị Như Quỳnh; Lê Vũ Linh Nguyên</v>
      </c>
      <c r="E241" s="4" t="str">
        <f>IFERROR(__xludf.DUMMYFUNCTION("""COMPUTED_VALUE"""),"Trường Đại học Công nghệ TP. Hồ Chí Minh")</f>
        <v>Trường Đại học Công nghệ TP. Hồ Chí Minh</v>
      </c>
      <c r="F241" s="4" t="str">
        <f>IFERROR(__xludf.DUMMYFUNCTION("""COMPUTED_VALUE"""),"KTE2026-243.png")</f>
        <v>KTE2026-243.png</v>
      </c>
    </row>
    <row r="242">
      <c r="A242" s="4" t="str">
        <f>IFERROR(__xludf.DUMMYFUNCTION("""COMPUTED_VALUE"""),"KTE2026-244")</f>
        <v>KTE2026-244</v>
      </c>
      <c r="B242" s="4" t="str">
        <f>IFERROR(__xludf.DUMMYFUNCTION("""COMPUTED_VALUE"""),"Kinh tế")</f>
        <v>Kinh tế</v>
      </c>
      <c r="C242" s="4" t="str">
        <f>IFERROR(__xludf.DUMMYFUNCTION("""COMPUTED_VALUE"""),"Sự chấp nhận thanh toán không tiền mặt của người tiêu dùng thuộc thế hệ Gen Z và millennials tại thành phố Hồ Chí Minh trong bối cảnh chuyển đổi số")</f>
        <v>Sự chấp nhận thanh toán không tiền mặt của người tiêu dùng thuộc thế hệ Gen Z và millennials tại thành phố Hồ Chí Minh trong bối cảnh chuyển đổi số</v>
      </c>
      <c r="D242" s="4" t="str">
        <f>IFERROR(__xludf.DUMMYFUNCTION("""COMPUTED_VALUE"""),"Phạm Ngọc Thảo Trang; Phạm Ngọc Mai Phương")</f>
        <v>Phạm Ngọc Thảo Trang; Phạm Ngọc Mai Phương</v>
      </c>
      <c r="E242" s="4" t="str">
        <f>IFERROR(__xludf.DUMMYFUNCTION("""COMPUTED_VALUE"""),"Trường Đại học Công nghệ TP. Hồ Chí Minh")</f>
        <v>Trường Đại học Công nghệ TP. Hồ Chí Minh</v>
      </c>
      <c r="F242" s="4" t="str">
        <f>IFERROR(__xludf.DUMMYFUNCTION("""COMPUTED_VALUE"""),"KTE2026-244.png")</f>
        <v>KTE2026-244.png</v>
      </c>
    </row>
    <row r="243">
      <c r="A243" s="4" t="str">
        <f>IFERROR(__xludf.DUMMYFUNCTION("""COMPUTED_VALUE"""),"KTE2026-245")</f>
        <v>KTE2026-245</v>
      </c>
      <c r="B243" s="4" t="str">
        <f>IFERROR(__xludf.DUMMYFUNCTION("""COMPUTED_VALUE"""),"Kinh tế")</f>
        <v>Kinh tế</v>
      </c>
      <c r="C243" s="4" t="str">
        <f>IFERROR(__xludf.DUMMYFUNCTION("""COMPUTED_VALUE"""),"Tác động chuyển đổi số đến hiệu suất ESG trong các doanh nghiệp logistics tại thành phố Hồ Chí Minh: Vai trò điều tiết của quy mô doanh nghiệp")</f>
        <v>Tác động chuyển đổi số đến hiệu suất ESG trong các doanh nghiệp logistics tại thành phố Hồ Chí Minh: Vai trò điều tiết của quy mô doanh nghiệp</v>
      </c>
      <c r="D243" s="4" t="str">
        <f>IFERROR(__xludf.DUMMYFUNCTION("""COMPUTED_VALUE"""),"Phan Anh Thư; Phạm Thị Yến Nhi; Đoàn Dự")</f>
        <v>Phan Anh Thư; Phạm Thị Yến Nhi; Đoàn Dự</v>
      </c>
      <c r="E243" s="4" t="str">
        <f>IFERROR(__xludf.DUMMYFUNCTION("""COMPUTED_VALUE"""),"Trường Đại học Công nghệ TP. Hồ Chí Minh")</f>
        <v>Trường Đại học Công nghệ TP. Hồ Chí Minh</v>
      </c>
      <c r="F243" s="4" t="str">
        <f>IFERROR(__xludf.DUMMYFUNCTION("""COMPUTED_VALUE"""),"KTE2026-245.png")</f>
        <v>KTE2026-245.png</v>
      </c>
    </row>
    <row r="244">
      <c r="A244" s="4" t="str">
        <f>IFERROR(__xludf.DUMMYFUNCTION("""COMPUTED_VALUE"""),"KTE2026-246")</f>
        <v>KTE2026-246</v>
      </c>
      <c r="B244" s="4" t="str">
        <f>IFERROR(__xludf.DUMMYFUNCTION("""COMPUTED_VALUE"""),"Kinh tế")</f>
        <v>Kinh tế</v>
      </c>
      <c r="C244" s="4" t="str">
        <f>IFERROR(__xludf.DUMMYFUNCTION("""COMPUTED_VALUE"""),"From CSR to brand love: Exploring the mediating mechanism of brand trust in campaigns featuring virtual influencers (từ CSR đến tình yêu thương hiệu: Khám phá cơ chế trung gian của niềm tin thương hiệu trong các chiến dịch với người ảnh hưởng ảo)")</f>
        <v>From CSR to brand love: Exploring the mediating mechanism of brand trust in campaigns featuring virtual influencers (từ CSR đến tình yêu thương hiệu: Khám phá cơ chế trung gian của niềm tin thương hiệu trong các chiến dịch với người ảnh hưởng ảo)</v>
      </c>
      <c r="D244" s="4" t="str">
        <f>IFERROR(__xludf.DUMMYFUNCTION("""COMPUTED_VALUE"""),"Nguyễn Mai Phương")</f>
        <v>Nguyễn Mai Phương</v>
      </c>
      <c r="E244" s="4" t="str">
        <f>IFERROR(__xludf.DUMMYFUNCTION("""COMPUTED_VALUE"""),"Trường Đại học Văn Lang")</f>
        <v>Trường Đại học Văn Lang</v>
      </c>
      <c r="F244" s="4" t="str">
        <f>IFERROR(__xludf.DUMMYFUNCTION("""COMPUTED_VALUE"""),"KTE2026-246.png")</f>
        <v>KTE2026-246.png</v>
      </c>
    </row>
    <row r="245">
      <c r="A245" s="4" t="str">
        <f>IFERROR(__xludf.DUMMYFUNCTION("""COMPUTED_VALUE"""),"KTE2026-247")</f>
        <v>KTE2026-247</v>
      </c>
      <c r="B245" s="4" t="str">
        <f>IFERROR(__xludf.DUMMYFUNCTION("""COMPUTED_VALUE"""),"Kinh tế")</f>
        <v>Kinh tế</v>
      </c>
      <c r="C245" s="4" t="str">
        <f>IFERROR(__xludf.DUMMYFUNCTION("""COMPUTED_VALUE"""),"Ứng dụng mô hình cấu trúc tuyến tính (SEM) nghiên cứu mối quan hệ các yếu tố ảnh hưởng đến hành vi nhảy việc của lực lượng lao động thế hệ z trong ngành bán lẻ")</f>
        <v>Ứng dụng mô hình cấu trúc tuyến tính (SEM) nghiên cứu mối quan hệ các yếu tố ảnh hưởng đến hành vi nhảy việc của lực lượng lao động thế hệ z trong ngành bán lẻ</v>
      </c>
      <c r="D245" s="4" t="str">
        <f>IFERROR(__xludf.DUMMYFUNCTION("""COMPUTED_VALUE"""),"Nguyễn Minh Thư; Hoàng Lê Phương Thảo; Nguyễn Huỳnh Anh Thư")</f>
        <v>Nguyễn Minh Thư; Hoàng Lê Phương Thảo; Nguyễn Huỳnh Anh Thư</v>
      </c>
      <c r="E245" s="4" t="str">
        <f>IFERROR(__xludf.DUMMYFUNCTION("""COMPUTED_VALUE"""),"Trường Đại học Công nghệ TP. Hồ Chí Minh")</f>
        <v>Trường Đại học Công nghệ TP. Hồ Chí Minh</v>
      </c>
      <c r="F245" s="4" t="str">
        <f>IFERROR(__xludf.DUMMYFUNCTION("""COMPUTED_VALUE"""),"KTE2026-247.png")</f>
        <v>KTE2026-247.png</v>
      </c>
    </row>
    <row r="246">
      <c r="A246" s="4" t="str">
        <f>IFERROR(__xludf.DUMMYFUNCTION("""COMPUTED_VALUE"""),"KTE2026-248")</f>
        <v>KTE2026-248</v>
      </c>
      <c r="B246" s="4" t="str">
        <f>IFERROR(__xludf.DUMMYFUNCTION("""COMPUTED_VALUE"""),"Kinh tế")</f>
        <v>Kinh tế</v>
      </c>
      <c r="C246" s="4" t="str">
        <f>IFERROR(__xludf.DUMMYFUNCTION("""COMPUTED_VALUE"""),"Ảnh hưởng của phát trực tiếp đến hành vi mua hàng ngẫu hứng: Vai trò của trải nghiệm dòng chảy và thái độ người dùng về hình thức mua trước trả sau")</f>
        <v>Ảnh hưởng của phát trực tiếp đến hành vi mua hàng ngẫu hứng: Vai trò của trải nghiệm dòng chảy và thái độ người dùng về hình thức mua trước trả sau</v>
      </c>
      <c r="D246" s="4" t="str">
        <f>IFERROR(__xludf.DUMMYFUNCTION("""COMPUTED_VALUE"""),"Võ Doãn Gia Hân")</f>
        <v>Võ Doãn Gia Hân</v>
      </c>
      <c r="E246" s="4" t="str">
        <f>IFERROR(__xludf.DUMMYFUNCTION("""COMPUTED_VALUE"""),"Trường Đại học Văn Lang")</f>
        <v>Trường Đại học Văn Lang</v>
      </c>
      <c r="F246" s="4" t="str">
        <f>IFERROR(__xludf.DUMMYFUNCTION("""COMPUTED_VALUE"""),"KTE2026-248.png")</f>
        <v>KTE2026-248.png</v>
      </c>
    </row>
    <row r="247">
      <c r="A247" s="4" t="str">
        <f>IFERROR(__xludf.DUMMYFUNCTION("""COMPUTED_VALUE"""),"KTE2026-249")</f>
        <v>KTE2026-249</v>
      </c>
      <c r="B247" s="4" t="str">
        <f>IFERROR(__xludf.DUMMYFUNCTION("""COMPUTED_VALUE"""),"Kinh tế")</f>
        <v>Kinh tế</v>
      </c>
      <c r="C247" s="4" t="str">
        <f>IFERROR(__xludf.DUMMYFUNCTION("""COMPUTED_VALUE"""),"Tác động của trải nghiệm logistics đầu – cuối đến sự hài lòng và ý định mua lại trực tuyến của khách hàng tại TP. Hồ Chí Minh")</f>
        <v>Tác động của trải nghiệm logistics đầu – cuối đến sự hài lòng và ý định mua lại trực tuyến của khách hàng tại TP. Hồ Chí Minh</v>
      </c>
      <c r="D247" s="4" t="str">
        <f>IFERROR(__xludf.DUMMYFUNCTION("""COMPUTED_VALUE"""),"Nguyễn Thị Minh Thư; Nguyễn Thị Hồng Mơ; Lê Lương Gia Thuận")</f>
        <v>Nguyễn Thị Minh Thư; Nguyễn Thị Hồng Mơ; Lê Lương Gia Thuận</v>
      </c>
      <c r="E247" s="4" t="str">
        <f>IFERROR(__xludf.DUMMYFUNCTION("""COMPUTED_VALUE"""),"Trường Đại học Công nghệ TP. Hồ Chí Minh")</f>
        <v>Trường Đại học Công nghệ TP. Hồ Chí Minh</v>
      </c>
      <c r="F247" s="4" t="str">
        <f>IFERROR(__xludf.DUMMYFUNCTION("""COMPUTED_VALUE"""),"KTE2026-249.png")</f>
        <v>KTE2026-249.png</v>
      </c>
    </row>
    <row r="248">
      <c r="A248" s="4" t="str">
        <f>IFERROR(__xludf.DUMMYFUNCTION("""COMPUTED_VALUE"""),"KTE2026-250")</f>
        <v>KTE2026-250</v>
      </c>
      <c r="B248" s="4" t="str">
        <f>IFERROR(__xludf.DUMMYFUNCTION("""COMPUTED_VALUE"""),"Kinh tế")</f>
        <v>Kinh tế</v>
      </c>
      <c r="C248" s="4" t="str">
        <f>IFERROR(__xludf.DUMMYFUNCTION("""COMPUTED_VALUE"""),"Nỗi đau cảm xúc từ tẩy xanh: Cảm nhận bị phản bội thúc đẩy hành vi tẩy chay thương hiệu ở người tiêu dùng Gen Z như thế nào")</f>
        <v>Nỗi đau cảm xúc từ tẩy xanh: Cảm nhận bị phản bội thúc đẩy hành vi tẩy chay thương hiệu ở người tiêu dùng Gen Z như thế nào</v>
      </c>
      <c r="D248" s="4" t="str">
        <f>IFERROR(__xludf.DUMMYFUNCTION("""COMPUTED_VALUE"""),"Nguyễn Hoàng Khánh Ngọc; Đoàn Ngọc Minh Khánh")</f>
        <v>Nguyễn Hoàng Khánh Ngọc; Đoàn Ngọc Minh Khánh</v>
      </c>
      <c r="E248" s="4" t="str">
        <f>IFERROR(__xludf.DUMMYFUNCTION("""COMPUTED_VALUE"""),"Trường Đại học Văn Lang")</f>
        <v>Trường Đại học Văn Lang</v>
      </c>
      <c r="F248" s="4" t="str">
        <f>IFERROR(__xludf.DUMMYFUNCTION("""COMPUTED_VALUE"""),"KTE2026-250.png")</f>
        <v>KTE2026-250.png</v>
      </c>
    </row>
    <row r="249">
      <c r="A249" s="4" t="str">
        <f>IFERROR(__xludf.DUMMYFUNCTION("""COMPUTED_VALUE"""),"KTE2026-251")</f>
        <v>KTE2026-251</v>
      </c>
      <c r="B249" s="4" t="str">
        <f>IFERROR(__xludf.DUMMYFUNCTION("""COMPUTED_VALUE"""),"Kinh tế")</f>
        <v>Kinh tế</v>
      </c>
      <c r="C249" s="4" t="str">
        <f>IFERROR(__xludf.DUMMYFUNCTION("""COMPUTED_VALUE"""),"Nhân vật ảo, mua sắm thật: Vai trò của tính nhân hóa và tính tương tác trong thương mại livestream do người có ảnh hưởng ảo thực hiện")</f>
        <v>Nhân vật ảo, mua sắm thật: Vai trò của tính nhân hóa và tính tương tác trong thương mại livestream do người có ảnh hưởng ảo thực hiện</v>
      </c>
      <c r="D249" s="4" t="str">
        <f>IFERROR(__xludf.DUMMYFUNCTION("""COMPUTED_VALUE"""),"Trương Hà Vy; Hoàng Nhật Vy; Võ Doãn Gia Hân")</f>
        <v>Trương Hà Vy; Hoàng Nhật Vy; Võ Doãn Gia Hân</v>
      </c>
      <c r="E249" s="4" t="str">
        <f>IFERROR(__xludf.DUMMYFUNCTION("""COMPUTED_VALUE"""),"Trường Đại học Văn Lang")</f>
        <v>Trường Đại học Văn Lang</v>
      </c>
      <c r="F249" s="4" t="str">
        <f>IFERROR(__xludf.DUMMYFUNCTION("""COMPUTED_VALUE"""),"KTE2026-251.png")</f>
        <v>KTE2026-251.png</v>
      </c>
    </row>
    <row r="250">
      <c r="A250" s="4" t="str">
        <f>IFERROR(__xludf.DUMMYFUNCTION("""COMPUTED_VALUE"""),"KTE2026-252")</f>
        <v>KTE2026-252</v>
      </c>
      <c r="B250" s="4" t="str">
        <f>IFERROR(__xludf.DUMMYFUNCTION("""COMPUTED_VALUE"""),"Kinh tế")</f>
        <v>Kinh tế</v>
      </c>
      <c r="C250" s="4" t="str">
        <f>IFERROR(__xludf.DUMMYFUNCTION("""COMPUTED_VALUE"""),"Từ scandal người nổi tiếng đến tẩy chay thương hiệu: Giải mã cơ chế hình thành ý định của Gen Z")</f>
        <v>Từ scandal người nổi tiếng đến tẩy chay thương hiệu: Giải mã cơ chế hình thành ý định của Gen Z</v>
      </c>
      <c r="D250" s="4" t="str">
        <f>IFERROR(__xludf.DUMMYFUNCTION("""COMPUTED_VALUE"""),"Trần Thanh Nhã; Đàm Gia Hưng; Nguyễn Hồ Gia Bảo; Đặng Nguyễn Kim Tú; Đàm Nguyễn Hữu Thịnh")</f>
        <v>Trần Thanh Nhã; Đàm Gia Hưng; Nguyễn Hồ Gia Bảo; Đặng Nguyễn Kim Tú; Đàm Nguyễn Hữu Thịnh</v>
      </c>
      <c r="E250" s="4" t="str">
        <f>IFERROR(__xludf.DUMMYFUNCTION("""COMPUTED_VALUE"""),"Trường Đại học Văn Lang")</f>
        <v>Trường Đại học Văn Lang</v>
      </c>
      <c r="F250" s="4" t="str">
        <f>IFERROR(__xludf.DUMMYFUNCTION("""COMPUTED_VALUE"""),"KTE2026-252.png")</f>
        <v>KTE2026-252.png</v>
      </c>
    </row>
    <row r="251">
      <c r="A251" s="4" t="str">
        <f>IFERROR(__xludf.DUMMYFUNCTION("""COMPUTED_VALUE"""),"KTE2026-253")</f>
        <v>KTE2026-253</v>
      </c>
      <c r="B251" s="4" t="str">
        <f>IFERROR(__xludf.DUMMYFUNCTION("""COMPUTED_VALUE"""),"Kinh tế")</f>
        <v>Kinh tế</v>
      </c>
      <c r="C251" s="4" t="str">
        <f>IFERROR(__xludf.DUMMYFUNCTION("""COMPUTED_VALUE"""),"Thực trạng vận tải hàng hóa và các điều kiện chuyển đổi vận tải xanh tại Đồng Nai giai đoạn 2019–2024 hướng tới mục tiêu Net Zero")</f>
        <v>Thực trạng vận tải hàng hóa và các điều kiện chuyển đổi vận tải xanh tại Đồng Nai giai đoạn 2019–2024 hướng tới mục tiêu Net Zero</v>
      </c>
      <c r="D251" s="4" t="str">
        <f>IFERROR(__xludf.DUMMYFUNCTION("""COMPUTED_VALUE"""),"Lê Nguyễn Bảo Trân; Phạm Thị Huyền Trang")</f>
        <v>Lê Nguyễn Bảo Trân; Phạm Thị Huyền Trang</v>
      </c>
      <c r="E251" s="4" t="str">
        <f>IFERROR(__xludf.DUMMYFUNCTION("""COMPUTED_VALUE"""),"Trường Đại học Công nghệ Đồng Nai")</f>
        <v>Trường Đại học Công nghệ Đồng Nai</v>
      </c>
      <c r="F251" s="4" t="str">
        <f>IFERROR(__xludf.DUMMYFUNCTION("""COMPUTED_VALUE"""),"KTE2026-253.png")</f>
        <v>KTE2026-253.png</v>
      </c>
    </row>
    <row r="252">
      <c r="A252" s="4" t="str">
        <f>IFERROR(__xludf.DUMMYFUNCTION("""COMPUTED_VALUE"""),"KTE2026-254")</f>
        <v>KTE2026-254</v>
      </c>
      <c r="B252" s="4" t="str">
        <f>IFERROR(__xludf.DUMMYFUNCTION("""COMPUTED_VALUE"""),"Kinh tế")</f>
        <v>Kinh tế</v>
      </c>
      <c r="C252" s="4" t="str">
        <f>IFERROR(__xludf.DUMMYFUNCTION("""COMPUTED_VALUE"""),"Các nhân tố tác động đến việc tham khảo đánh giá sản phẩm nhằm thúc đẩy định mua sắm trực tuyến của sinh viên khối ngành kinh tế trên địa bàn thành phố Hồ Chí Minh")</f>
        <v>Các nhân tố tác động đến việc tham khảo đánh giá sản phẩm nhằm thúc đẩy định mua sắm trực tuyến của sinh viên khối ngành kinh tế trên địa bàn thành phố Hồ Chí Minh</v>
      </c>
      <c r="D252" s="4" t="str">
        <f>IFERROR(__xludf.DUMMYFUNCTION("""COMPUTED_VALUE"""),"Hồ Minh Thuận; Hứa Thị Ngọc Anh; Đoàn Thị Tuyết Uyên; Nguyễn Hoàng Bảo Trân; Trần Tuấn Vỹ")</f>
        <v>Hồ Minh Thuận; Hứa Thị Ngọc Anh; Đoàn Thị Tuyết Uyên; Nguyễn Hoàng Bảo Trân; Trần Tuấn Vỹ</v>
      </c>
      <c r="E252" s="4" t="str">
        <f>IFERROR(__xludf.DUMMYFUNCTION("""COMPUTED_VALUE"""),"Trường Đại học Công nghệ TP. Hồ Chí Minh")</f>
        <v>Trường Đại học Công nghệ TP. Hồ Chí Minh</v>
      </c>
      <c r="F252" s="4" t="str">
        <f>IFERROR(__xludf.DUMMYFUNCTION("""COMPUTED_VALUE"""),"KTE2026-254.png")</f>
        <v>KTE2026-254.png</v>
      </c>
    </row>
    <row r="253">
      <c r="A253" s="4" t="str">
        <f>IFERROR(__xludf.DUMMYFUNCTION("""COMPUTED_VALUE"""),"KTE2026-255")</f>
        <v>KTE2026-255</v>
      </c>
      <c r="B253" s="4" t="str">
        <f>IFERROR(__xludf.DUMMYFUNCTION("""COMPUTED_VALUE"""),"Kinh tế")</f>
        <v>Kinh tế</v>
      </c>
      <c r="C253" s="4" t="str">
        <f>IFERROR(__xludf.DUMMYFUNCTION("""COMPUTED_VALUE"""),"Giải mã cơ chế hình thành ý định mua hàng của người tiêu dùng dưới áp lực thời gian trong thương mại livestream tại Việt Nam: Góc nhìn tích hợp đa lý thuyết SOR, TAM và ELM")</f>
        <v>Giải mã cơ chế hình thành ý định mua hàng của người tiêu dùng dưới áp lực thời gian trong thương mại livestream tại Việt Nam: Góc nhìn tích hợp đa lý thuyết SOR, TAM và ELM</v>
      </c>
      <c r="D253" s="4" t="str">
        <f>IFERROR(__xludf.DUMMYFUNCTION("""COMPUTED_VALUE"""),"Trần Ngọc Bảo Trân; Võ Ngọc Thùy Linh; Đoàn Trang Thu Bội; Phạm Ngọc Duy; Đinh Nguyễn Minh Trí")</f>
        <v>Trần Ngọc Bảo Trân; Võ Ngọc Thùy Linh; Đoàn Trang Thu Bội; Phạm Ngọc Duy; Đinh Nguyễn Minh Trí</v>
      </c>
      <c r="E253" s="4" t="str">
        <f>IFERROR(__xludf.DUMMYFUNCTION("""COMPUTED_VALUE"""),"Trường Đại học Mở TP. Hồ Chí Minh")</f>
        <v>Trường Đại học Mở TP. Hồ Chí Minh</v>
      </c>
      <c r="F253" s="4" t="str">
        <f>IFERROR(__xludf.DUMMYFUNCTION("""COMPUTED_VALUE"""),"KTE2026-255.png")</f>
        <v>KTE2026-255.png</v>
      </c>
    </row>
    <row r="254">
      <c r="A254" s="4" t="str">
        <f>IFERROR(__xludf.DUMMYFUNCTION("""COMPUTED_VALUE"""),"KTE2026-256")</f>
        <v>KTE2026-256</v>
      </c>
      <c r="B254" s="4" t="str">
        <f>IFERROR(__xludf.DUMMYFUNCTION("""COMPUTED_VALUE"""),"Kinh tế")</f>
        <v>Kinh tế</v>
      </c>
      <c r="C254" s="4" t="str">
        <f>IFERROR(__xludf.DUMMYFUNCTION("""COMPUTED_VALUE"""),"Trusting the digital self: Exploring the psychological mechanism of 3D virtual try-on adoption among young fashion consumers")</f>
        <v>Trusting the digital self: Exploring the psychological mechanism of 3D virtual try-on adoption among young fashion consumers</v>
      </c>
      <c r="D254" s="4" t="str">
        <f>IFERROR(__xludf.DUMMYFUNCTION("""COMPUTED_VALUE"""),"Nguyễn Thị Loan")</f>
        <v>Nguyễn Thị Loan</v>
      </c>
      <c r="E254" s="4" t="str">
        <f>IFERROR(__xludf.DUMMYFUNCTION("""COMPUTED_VALUE"""),"Trường Đại học CMC")</f>
        <v>Trường Đại học CMC</v>
      </c>
      <c r="F254" s="4" t="str">
        <f>IFERROR(__xludf.DUMMYFUNCTION("""COMPUTED_VALUE"""),"KTE2026-256.png")</f>
        <v>KTE2026-256.png</v>
      </c>
    </row>
    <row r="255">
      <c r="A255" s="4" t="str">
        <f>IFERROR(__xludf.DUMMYFUNCTION("""COMPUTED_VALUE"""),"KTE2026-257")</f>
        <v>KTE2026-257</v>
      </c>
      <c r="B255" s="4" t="str">
        <f>IFERROR(__xludf.DUMMYFUNCTION("""COMPUTED_VALUE"""),"Kinh tế")</f>
        <v>Kinh tế</v>
      </c>
      <c r="C255" s="4" t="str">
        <f>IFERROR(__xludf.DUMMYFUNCTION("""COMPUTED_VALUE"""),"Virtual voices, real behaviors: The impact of AI influencers on health-promoting intention in Vietnam")</f>
        <v>Virtual voices, real behaviors: The impact of AI influencers on health-promoting intention in Vietnam</v>
      </c>
      <c r="D255" s="4" t="str">
        <f>IFERROR(__xludf.DUMMYFUNCTION("""COMPUTED_VALUE"""),"Ngô Tiến Công; Phan Thị Thanh Thủy; Kim Xuân Mai")</f>
        <v>Ngô Tiến Công; Phan Thị Thanh Thủy; Kim Xuân Mai</v>
      </c>
      <c r="E255" s="4" t="str">
        <f>IFERROR(__xludf.DUMMYFUNCTION("""COMPUTED_VALUE"""),"Trường Đại học CMC")</f>
        <v>Trường Đại học CMC</v>
      </c>
      <c r="F255" s="4" t="str">
        <f>IFERROR(__xludf.DUMMYFUNCTION("""COMPUTED_VALUE"""),"KTE2026-257.png")</f>
        <v>KTE2026-257.png</v>
      </c>
    </row>
    <row r="256">
      <c r="A256" s="4" t="str">
        <f>IFERROR(__xludf.DUMMYFUNCTION("""COMPUTED_VALUE"""),"KTE2026-258")</f>
        <v>KTE2026-258</v>
      </c>
      <c r="B256" s="4" t="str">
        <f>IFERROR(__xludf.DUMMYFUNCTION("""COMPUTED_VALUE"""),"Kinh tế")</f>
        <v>Kinh tế</v>
      </c>
      <c r="C256" s="4" t="str">
        <f>IFERROR(__xludf.DUMMYFUNCTION("""COMPUTED_VALUE"""),"Mở rộng mô hình TPB: Vai trò của trí tuệ nhân tạo trong việc thúc đẩy ý định mua hàng xanh")</f>
        <v>Mở rộng mô hình TPB: Vai trò của trí tuệ nhân tạo trong việc thúc đẩy ý định mua hàng xanh</v>
      </c>
      <c r="D256" s="4" t="str">
        <f>IFERROR(__xludf.DUMMYFUNCTION("""COMPUTED_VALUE"""),"Phạm Minh Quang; Liên Uyển Nhu; Lê Phương Ánh; Nguyễn Anh Quốc")</f>
        <v>Phạm Minh Quang; Liên Uyển Nhu; Lê Phương Ánh; Nguyễn Anh Quốc</v>
      </c>
      <c r="E256" s="4" t="str">
        <f>IFERROR(__xludf.DUMMYFUNCTION("""COMPUTED_VALUE"""),"Trường Đại học Mở TP. Hồ Chí Minh")</f>
        <v>Trường Đại học Mở TP. Hồ Chí Minh</v>
      </c>
      <c r="F256" s="4" t="str">
        <f>IFERROR(__xludf.DUMMYFUNCTION("""COMPUTED_VALUE"""),"KTE2026-258.png")</f>
        <v>KTE2026-258.png</v>
      </c>
    </row>
    <row r="257">
      <c r="A257" s="4" t="str">
        <f>IFERROR(__xludf.DUMMYFUNCTION("""COMPUTED_VALUE"""),"KTE2026-259")</f>
        <v>KTE2026-259</v>
      </c>
      <c r="B257" s="4" t="str">
        <f>IFERROR(__xludf.DUMMYFUNCTION("""COMPUTED_VALUE"""),"Kinh tế")</f>
        <v>Kinh tế</v>
      </c>
      <c r="C257" s="4" t="str">
        <f>IFERROR(__xludf.DUMMYFUNCTION("""COMPUTED_VALUE"""),"Nghiên cứu ảnh hưởng của hiệu ứng FOMO đến hành vi mua sắm online của Gen Z tại Hà Nội")</f>
        <v>Nghiên cứu ảnh hưởng của hiệu ứng FOMO đến hành vi mua sắm online của Gen Z tại Hà Nội</v>
      </c>
      <c r="D257" s="4" t="str">
        <f>IFERROR(__xludf.DUMMYFUNCTION("""COMPUTED_VALUE"""),"Hoàng Mạnh Hùng; Ngô Thanh Vân; Lê Vũ Yến Khanh; Nguyễn Mạnh Thoại")</f>
        <v>Hoàng Mạnh Hùng; Ngô Thanh Vân; Lê Vũ Yến Khanh; Nguyễn Mạnh Thoại</v>
      </c>
      <c r="E257" s="4" t="str">
        <f>IFERROR(__xludf.DUMMYFUNCTION("""COMPUTED_VALUE"""),"Học viện Tài chính")</f>
        <v>Học viện Tài chính</v>
      </c>
      <c r="F257" s="4" t="str">
        <f>IFERROR(__xludf.DUMMYFUNCTION("""COMPUTED_VALUE"""),"KTE2026-259.png")</f>
        <v>KTE2026-259.png</v>
      </c>
    </row>
    <row r="258">
      <c r="A258" s="4" t="str">
        <f>IFERROR(__xludf.DUMMYFUNCTION("""COMPUTED_VALUE"""),"KTE2026-260")</f>
        <v>KTE2026-260</v>
      </c>
      <c r="B258" s="4" t="str">
        <f>IFERROR(__xludf.DUMMYFUNCTION("""COMPUTED_VALUE"""),"Kinh tế")</f>
        <v>Kinh tế</v>
      </c>
      <c r="C258" s="4" t="str">
        <f>IFERROR(__xludf.DUMMYFUNCTION("""COMPUTED_VALUE"""),"Tác động của ứng dụng ERP trong doanh nghiệp dệt may đến người tiêu dùng cuối cùng ở Việt Nam")</f>
        <v>Tác động của ứng dụng ERP trong doanh nghiệp dệt may đến người tiêu dùng cuối cùng ở Việt Nam</v>
      </c>
      <c r="D258" s="4" t="str">
        <f>IFERROR(__xludf.DUMMYFUNCTION("""COMPUTED_VALUE"""),"Trần Thị Thu Thành; Hồ Thị Thùy Linh; Vũ Thanh An")</f>
        <v>Trần Thị Thu Thành; Hồ Thị Thùy Linh; Vũ Thanh An</v>
      </c>
      <c r="E258" s="4" t="str">
        <f>IFERROR(__xludf.DUMMYFUNCTION("""COMPUTED_VALUE"""),"Học viện Tài chính")</f>
        <v>Học viện Tài chính</v>
      </c>
      <c r="F258" s="4" t="str">
        <f>IFERROR(__xludf.DUMMYFUNCTION("""COMPUTED_VALUE"""),"KTE2026-260.png")</f>
        <v>KTE2026-260.png</v>
      </c>
    </row>
    <row r="259">
      <c r="A259" s="4" t="str">
        <f>IFERROR(__xludf.DUMMYFUNCTION("""COMPUTED_VALUE"""),"KTE2026-261")</f>
        <v>KTE2026-261</v>
      </c>
      <c r="B259" s="4" t="str">
        <f>IFERROR(__xludf.DUMMYFUNCTION("""COMPUTED_VALUE"""),"Kinh tế")</f>
        <v>Kinh tế</v>
      </c>
      <c r="C259" s="4" t="str">
        <f>IFERROR(__xludf.DUMMYFUNCTION("""COMPUTED_VALUE"""),"Tác động của hình ảnh văn hóa dân gian trong quảng cáo đến cảm xúc và lòng trung thành thương hiệu của giới trẻ tại thành phố Hồ Chí Minh: Nghiên cứu trong ngành thực phẩm và đồ uống (F&amp;B)")</f>
        <v>Tác động của hình ảnh văn hóa dân gian trong quảng cáo đến cảm xúc và lòng trung thành thương hiệu của giới trẻ tại thành phố Hồ Chí Minh: Nghiên cứu trong ngành thực phẩm và đồ uống (F&amp;B)</v>
      </c>
      <c r="D259" s="4" t="str">
        <f>IFERROR(__xludf.DUMMYFUNCTION("""COMPUTED_VALUE"""),"Võ Xuân Đại; Nguyễn Thị Thanh Diễm; Nguyễn Như Cầm")</f>
        <v>Võ Xuân Đại; Nguyễn Thị Thanh Diễm; Nguyễn Như Cầm</v>
      </c>
      <c r="E259" s="4" t="str">
        <f>IFERROR(__xludf.DUMMYFUNCTION("""COMPUTED_VALUE"""),"Trường Đại học Văn Hiến")</f>
        <v>Trường Đại học Văn Hiến</v>
      </c>
      <c r="F259" s="4" t="str">
        <f>IFERROR(__xludf.DUMMYFUNCTION("""COMPUTED_VALUE"""),"KTE2026-261.png")</f>
        <v>KTE2026-261.png</v>
      </c>
    </row>
    <row r="260">
      <c r="A260" s="4" t="str">
        <f>IFERROR(__xludf.DUMMYFUNCTION("""COMPUTED_VALUE"""),"KTE2026-262")</f>
        <v>KTE2026-262</v>
      </c>
      <c r="B260" s="4" t="str">
        <f>IFERROR(__xludf.DUMMYFUNCTION("""COMPUTED_VALUE"""),"Kinh tế")</f>
        <v>Kinh tế</v>
      </c>
      <c r="C260" s="4" t="str">
        <f>IFERROR(__xludf.DUMMYFUNCTION("""COMPUTED_VALUE"""),"Tác động của chatbot và trợ lý ảo đến chất lượng dịch vụ logistics khách hàng")</f>
        <v>Tác động của chatbot và trợ lý ảo đến chất lượng dịch vụ logistics khách hàng</v>
      </c>
      <c r="D260" s="4" t="str">
        <f>IFERROR(__xludf.DUMMYFUNCTION("""COMPUTED_VALUE"""),"Vũ Khánh Linh; Nguyễn Quỳnh Trang; Nguyễn Diệu Linh")</f>
        <v>Vũ Khánh Linh; Nguyễn Quỳnh Trang; Nguyễn Diệu Linh</v>
      </c>
      <c r="E260" s="4" t="str">
        <f>IFERROR(__xludf.DUMMYFUNCTION("""COMPUTED_VALUE"""),"Học viện Tài chính")</f>
        <v>Học viện Tài chính</v>
      </c>
      <c r="F260" s="4" t="str">
        <f>IFERROR(__xludf.DUMMYFUNCTION("""COMPUTED_VALUE"""),"KTE2026-262.png")</f>
        <v>KTE2026-262.png</v>
      </c>
    </row>
    <row r="261">
      <c r="A261" s="4" t="str">
        <f>IFERROR(__xludf.DUMMYFUNCTION("""COMPUTED_VALUE"""),"KTE2026-263")</f>
        <v>KTE2026-263</v>
      </c>
      <c r="B261" s="4" t="str">
        <f>IFERROR(__xludf.DUMMYFUNCTION("""COMPUTED_VALUE"""),"Kinh tế")</f>
        <v>Kinh tế</v>
      </c>
      <c r="C261" s="4" t="str">
        <f>IFERROR(__xludf.DUMMYFUNCTION("""COMPUTED_VALUE"""),"Nghiên cứu tác động của quảng cáo bằng video ngắn dựa trên AI đến hành vi mua sắm sản phẩm thời trang của sinh viên tại thành phố Hồ Chí Minh")</f>
        <v>Nghiên cứu tác động của quảng cáo bằng video ngắn dựa trên AI đến hành vi mua sắm sản phẩm thời trang của sinh viên tại thành phố Hồ Chí Minh</v>
      </c>
      <c r="D261" s="4" t="str">
        <f>IFERROR(__xludf.DUMMYFUNCTION("""COMPUTED_VALUE"""),"Đào Chí Mãi; Lê Thị Mỹ Phúc")</f>
        <v>Đào Chí Mãi; Lê Thị Mỹ Phúc</v>
      </c>
      <c r="E261" s="4" t="str">
        <f>IFERROR(__xludf.DUMMYFUNCTION("""COMPUTED_VALUE"""),"Phân hiệu Trường Đại học Giao thông vận tải tại TP. Hồ Chí Minh")</f>
        <v>Phân hiệu Trường Đại học Giao thông vận tải tại TP. Hồ Chí Minh</v>
      </c>
      <c r="F261" s="4" t="str">
        <f>IFERROR(__xludf.DUMMYFUNCTION("""COMPUTED_VALUE"""),"KTE2026-263.png")</f>
        <v>KTE2026-263.png</v>
      </c>
    </row>
    <row r="262">
      <c r="A262" s="4" t="str">
        <f>IFERROR(__xludf.DUMMYFUNCTION("""COMPUTED_VALUE"""),"KTE2026-264")</f>
        <v>KTE2026-264</v>
      </c>
      <c r="B262" s="4" t="str">
        <f>IFERROR(__xludf.DUMMYFUNCTION("""COMPUTED_VALUE"""),"Kinh tế")</f>
        <v>Kinh tế</v>
      </c>
      <c r="C262" s="4" t="str">
        <f>IFERROR(__xludf.DUMMYFUNCTION("""COMPUTED_VALUE"""),"Nghiên cứu tác động của các nhân tố cá nhân đến hành vi đổi mới sáng tạo của sinh viên tại thành phố Hồ Chí Minh")</f>
        <v>Nghiên cứu tác động của các nhân tố cá nhân đến hành vi đổi mới sáng tạo của sinh viên tại thành phố Hồ Chí Minh</v>
      </c>
      <c r="D262" s="4" t="str">
        <f>IFERROR(__xludf.DUMMYFUNCTION("""COMPUTED_VALUE"""),"Trương Thị Diễm Phúc; Đinh Thảo Vy; Nguyễn Thị Kim Hiếu; Huỳnh Quốc Duy; Đoàn Mẫn Đạt")</f>
        <v>Trương Thị Diễm Phúc; Đinh Thảo Vy; Nguyễn Thị Kim Hiếu; Huỳnh Quốc Duy; Đoàn Mẫn Đạt</v>
      </c>
      <c r="E262" s="4" t="str">
        <f>IFERROR(__xludf.DUMMYFUNCTION("""COMPUTED_VALUE"""),"Phân hiệu Trường Đại học Giao thông vận tải tại TP. Hồ Chí Minh")</f>
        <v>Phân hiệu Trường Đại học Giao thông vận tải tại TP. Hồ Chí Minh</v>
      </c>
      <c r="F262" s="4" t="str">
        <f>IFERROR(__xludf.DUMMYFUNCTION("""COMPUTED_VALUE"""),"KTE2026-264.png")</f>
        <v>KTE2026-264.png</v>
      </c>
    </row>
    <row r="263">
      <c r="A263" s="4" t="str">
        <f>IFERROR(__xludf.DUMMYFUNCTION("""COMPUTED_VALUE"""),"KTE2026-265")</f>
        <v>KTE2026-265</v>
      </c>
      <c r="B263" s="4" t="str">
        <f>IFERROR(__xludf.DUMMYFUNCTION("""COMPUTED_VALUE"""),"Kinh tế")</f>
        <v>Kinh tế</v>
      </c>
      <c r="C263" s="4" t="str">
        <f>IFERROR(__xludf.DUMMYFUNCTION("""COMPUTED_VALUE"""),"Động lực học tập của sinh viên trong môi trường học tập vi mô (micro-learning): Nghiên cứu trường hợp chiến dịch LearnOnTikTok tại thành phố Hồ Chí Minh")</f>
        <v>Động lực học tập của sinh viên trong môi trường học tập vi mô (micro-learning): Nghiên cứu trường hợp chiến dịch LearnOnTikTok tại thành phố Hồ Chí Minh</v>
      </c>
      <c r="D263" s="4" t="str">
        <f>IFERROR(__xludf.DUMMYFUNCTION("""COMPUTED_VALUE"""),"Hứa Phương Quỳnh; Nguyễn Hoàng Nhật; Lâm Thị Mộng Băng")</f>
        <v>Hứa Phương Quỳnh; Nguyễn Hoàng Nhật; Lâm Thị Mộng Băng</v>
      </c>
      <c r="E263" s="4" t="str">
        <f>IFERROR(__xludf.DUMMYFUNCTION("""COMPUTED_VALUE"""),"Trường Đại học Văn Hiến")</f>
        <v>Trường Đại học Văn Hiến</v>
      </c>
      <c r="F263" s="4" t="str">
        <f>IFERROR(__xludf.DUMMYFUNCTION("""COMPUTED_VALUE"""),"KTE2026-265.png")</f>
        <v>KTE2026-265.png</v>
      </c>
    </row>
    <row r="264">
      <c r="A264" s="4" t="str">
        <f>IFERROR(__xludf.DUMMYFUNCTION("""COMPUTED_VALUE"""),"KTE2026-266")</f>
        <v>KTE2026-266</v>
      </c>
      <c r="B264" s="4" t="str">
        <f>IFERROR(__xludf.DUMMYFUNCTION("""COMPUTED_VALUE"""),"Kinh tế")</f>
        <v>Kinh tế</v>
      </c>
      <c r="C264" s="4" t="str">
        <f>IFERROR(__xludf.DUMMYFUNCTION("""COMPUTED_VALUE"""),"Trải nghiệm tương tác với chatbot AI trong mua sắm trực tuyến: Phân tích vai trò của đặc tính chatbot, thái độ và nhận thức về nhân hóa")</f>
        <v>Trải nghiệm tương tác với chatbot AI trong mua sắm trực tuyến: Phân tích vai trò của đặc tính chatbot, thái độ và nhận thức về nhân hóa</v>
      </c>
      <c r="D264" s="4" t="str">
        <f>IFERROR(__xludf.DUMMYFUNCTION("""COMPUTED_VALUE"""),"Hà Kim Yến; Nguyễn Huỳnh Thụy Vy; Nguyễn Huy Phúc")</f>
        <v>Hà Kim Yến; Nguyễn Huỳnh Thụy Vy; Nguyễn Huy Phúc</v>
      </c>
      <c r="E264" s="4" t="str">
        <f>IFERROR(__xludf.DUMMYFUNCTION("""COMPUTED_VALUE"""),"Trường Đại học Mở TP. Hồ Chí Minh")</f>
        <v>Trường Đại học Mở TP. Hồ Chí Minh</v>
      </c>
      <c r="F264" s="4" t="str">
        <f>IFERROR(__xludf.DUMMYFUNCTION("""COMPUTED_VALUE"""),"KTE2026-266.png")</f>
        <v>KTE2026-266.png</v>
      </c>
    </row>
    <row r="265">
      <c r="A265" s="4" t="str">
        <f>IFERROR(__xludf.DUMMYFUNCTION("""COMPUTED_VALUE"""),"KTE2026-267")</f>
        <v>KTE2026-267</v>
      </c>
      <c r="B265" s="4" t="str">
        <f>IFERROR(__xludf.DUMMYFUNCTION("""COMPUTED_VALUE"""),"Kinh tế")</f>
        <v>Kinh tế</v>
      </c>
      <c r="C265" s="4" t="str">
        <f>IFERROR(__xludf.DUMMYFUNCTION("""COMPUTED_VALUE"""),"Ảnh hưởng của khủng hoảng bản sắc nghề nghiệp trong việc đưa ra quyết định chọn nghề của sinh viên tại thành phố Hồ Chí Minh")</f>
        <v>Ảnh hưởng của khủng hoảng bản sắc nghề nghiệp trong việc đưa ra quyết định chọn nghề của sinh viên tại thành phố Hồ Chí Minh</v>
      </c>
      <c r="D265" s="4" t="str">
        <f>IFERROR(__xludf.DUMMYFUNCTION("""COMPUTED_VALUE"""),"Đào Thị Thúy Hằng; Dương Thị Mỹ Xuân; Phan Trương Hoài Bảo")</f>
        <v>Đào Thị Thúy Hằng; Dương Thị Mỹ Xuân; Phan Trương Hoài Bảo</v>
      </c>
      <c r="E265" s="4" t="str">
        <f>IFERROR(__xludf.DUMMYFUNCTION("""COMPUTED_VALUE"""),"Trường Đại học Văn Hiến")</f>
        <v>Trường Đại học Văn Hiến</v>
      </c>
      <c r="F265" s="4" t="str">
        <f>IFERROR(__xludf.DUMMYFUNCTION("""COMPUTED_VALUE"""),"KTE2026-267.png")</f>
        <v>KTE2026-267.png</v>
      </c>
    </row>
    <row r="266">
      <c r="A266" s="4" t="str">
        <f>IFERROR(__xludf.DUMMYFUNCTION("""COMPUTED_VALUE"""),"KTE2026-268")</f>
        <v>KTE2026-268</v>
      </c>
      <c r="B266" s="4" t="str">
        <f>IFERROR(__xludf.DUMMYFUNCTION("""COMPUTED_VALUE"""),"Kinh tế")</f>
        <v>Kinh tế</v>
      </c>
      <c r="C266" s="4" t="str">
        <f>IFERROR(__xludf.DUMMYFUNCTION("""COMPUTED_VALUE"""),"Những yếu tố ảnh hưởng đến định hướng nghề nghiệp của sinh viên Trường Đại học Tài chính-Quản trị kinh doanh")</f>
        <v>Những yếu tố ảnh hưởng đến định hướng nghề nghiệp của sinh viên Trường Đại học Tài chính-Quản trị kinh doanh</v>
      </c>
      <c r="D266" s="4" t="str">
        <f>IFERROR(__xludf.DUMMYFUNCTION("""COMPUTED_VALUE"""),"Phạm Hà Phương; Nguyễn Thị Vân Anh; Phạm Phương Anh")</f>
        <v>Phạm Hà Phương; Nguyễn Thị Vân Anh; Phạm Phương Anh</v>
      </c>
      <c r="E266" s="4" t="str">
        <f>IFERROR(__xludf.DUMMYFUNCTION("""COMPUTED_VALUE"""),"Học viện Tài chính")</f>
        <v>Học viện Tài chính</v>
      </c>
      <c r="F266" s="4" t="str">
        <f>IFERROR(__xludf.DUMMYFUNCTION("""COMPUTED_VALUE"""),"KTE2026-268.png")</f>
        <v>KTE2026-268.png</v>
      </c>
    </row>
    <row r="267">
      <c r="A267" s="4" t="str">
        <f>IFERROR(__xludf.DUMMYFUNCTION("""COMPUTED_VALUE"""),"KTE2026-269")</f>
        <v>KTE2026-269</v>
      </c>
      <c r="B267" s="4" t="str">
        <f>IFERROR(__xludf.DUMMYFUNCTION("""COMPUTED_VALUE"""),"Kinh tế")</f>
        <v>Kinh tế</v>
      </c>
      <c r="C267" s="4" t="str">
        <f>IFERROR(__xludf.DUMMYFUNCTION("""COMPUTED_VALUE"""),"Năng lực cạnh tranh, niềm tin vào năng lượng khởi nghiệp và ý định khởi nghiệp bền vững của sinh viên đại học: Vai trò điều tiết của sự nhạy bén")</f>
        <v>Năng lực cạnh tranh, niềm tin vào năng lượng khởi nghiệp và ý định khởi nghiệp bền vững của sinh viên đại học: Vai trò điều tiết của sự nhạy bén</v>
      </c>
      <c r="D267" s="4" t="str">
        <f>IFERROR(__xludf.DUMMYFUNCTION("""COMPUTED_VALUE"""),"Võ Thị Mai Trinh; Đoàn Như Ngọc")</f>
        <v>Võ Thị Mai Trinh; Đoàn Như Ngọc</v>
      </c>
      <c r="E267" s="4" t="str">
        <f>IFERROR(__xludf.DUMMYFUNCTION("""COMPUTED_VALUE"""),"Trường Đại học Mở TP. Hồ Chí Minh")</f>
        <v>Trường Đại học Mở TP. Hồ Chí Minh</v>
      </c>
      <c r="F267" s="4" t="str">
        <f>IFERROR(__xludf.DUMMYFUNCTION("""COMPUTED_VALUE"""),"KTE2026-269.png")</f>
        <v>KTE2026-269.png</v>
      </c>
    </row>
    <row r="268">
      <c r="A268" s="4" t="str">
        <f>IFERROR(__xludf.DUMMYFUNCTION("""COMPUTED_VALUE"""),"KTE2026-270")</f>
        <v>KTE2026-270</v>
      </c>
      <c r="B268" s="4" t="str">
        <f>IFERROR(__xludf.DUMMYFUNCTION("""COMPUTED_VALUE"""),"Kinh tế")</f>
        <v>Kinh tế</v>
      </c>
      <c r="C268" s="4" t="str">
        <f>IFERROR(__xludf.DUMMYFUNCTION("""COMPUTED_VALUE"""),"From green commitment to corporate sustainability: A staged digital – green conversion model")</f>
        <v>From green commitment to corporate sustainability: A staged digital – green conversion model</v>
      </c>
      <c r="D268" s="4" t="str">
        <f>IFERROR(__xludf.DUMMYFUNCTION("""COMPUTED_VALUE"""),"Nguyễn Hoàng Trà My; Lê Huỳnh Ngọc Dung; Nguyễn Ngọc Thanh Trà")</f>
        <v>Nguyễn Hoàng Trà My; Lê Huỳnh Ngọc Dung; Nguyễn Ngọc Thanh Trà</v>
      </c>
      <c r="E268" s="4" t="str">
        <f>IFERROR(__xludf.DUMMYFUNCTION("""COMPUTED_VALUE"""),"Trường Đại học Bình Dương")</f>
        <v>Trường Đại học Bình Dương</v>
      </c>
      <c r="F268" s="4" t="str">
        <f>IFERROR(__xludf.DUMMYFUNCTION("""COMPUTED_VALUE"""),"KTE2026-270.png")</f>
        <v>KTE2026-270.png</v>
      </c>
    </row>
    <row r="269">
      <c r="A269" s="4" t="str">
        <f>IFERROR(__xludf.DUMMYFUNCTION("""COMPUTED_VALUE"""),"KTE2026-271")</f>
        <v>KTE2026-271</v>
      </c>
      <c r="B269" s="4" t="str">
        <f>IFERROR(__xludf.DUMMYFUNCTION("""COMPUTED_VALUE"""),"Kinh tế")</f>
        <v>Kinh tế</v>
      </c>
      <c r="C269" s="4" t="str">
        <f>IFERROR(__xludf.DUMMYFUNCTION("""COMPUTED_VALUE"""),"Ảnh hưởng từ nội dung do người dùng tạo ra đến hành vi mua hàng ngẫu hứng trên TikTok của thế hệ Gen Z tại thành phố Hồ Chí Minh")</f>
        <v>Ảnh hưởng từ nội dung do người dùng tạo ra đến hành vi mua hàng ngẫu hứng trên TikTok của thế hệ Gen Z tại thành phố Hồ Chí Minh</v>
      </c>
      <c r="D269" s="4" t="str">
        <f>IFERROR(__xludf.DUMMYFUNCTION("""COMPUTED_VALUE"""),"Đỗ Phạm Thảo Nguyên; Nguyễn Thị Thuý Hoài; Lê Huỳnh Ngọc Dung; Lê Đặng Đông Nguyên")</f>
        <v>Đỗ Phạm Thảo Nguyên; Nguyễn Thị Thuý Hoài; Lê Huỳnh Ngọc Dung; Lê Đặng Đông Nguyên</v>
      </c>
      <c r="E269" s="4" t="str">
        <f>IFERROR(__xludf.DUMMYFUNCTION("""COMPUTED_VALUE"""),"Trường Đại học Bình Dương")</f>
        <v>Trường Đại học Bình Dương</v>
      </c>
      <c r="F269" s="4" t="str">
        <f>IFERROR(__xludf.DUMMYFUNCTION("""COMPUTED_VALUE"""),"KTE2026-271.png")</f>
        <v>KTE2026-271.png</v>
      </c>
    </row>
    <row r="270">
      <c r="A270" s="4" t="str">
        <f>IFERROR(__xludf.DUMMYFUNCTION("""COMPUTED_VALUE"""),"KTE2026-272")</f>
        <v>KTE2026-272</v>
      </c>
      <c r="B270" s="4" t="str">
        <f>IFERROR(__xludf.DUMMYFUNCTION("""COMPUTED_VALUE"""),"Kinh tế")</f>
        <v>Kinh tế</v>
      </c>
      <c r="C270" s="4" t="str">
        <f>IFERROR(__xludf.DUMMYFUNCTION("""COMPUTED_VALUE"""),"Phân tích yếu tố ảnh hưởng tới hành vi mua hàng sản phẩm ngành hàng tiêu dùng nhanh (FMCG) có bao bì tái chế của người tiêu dùng Gen Z tại Hà Nội")</f>
        <v>Phân tích yếu tố ảnh hưởng tới hành vi mua hàng sản phẩm ngành hàng tiêu dùng nhanh (FMCG) có bao bì tái chế của người tiêu dùng Gen Z tại Hà Nội</v>
      </c>
      <c r="D270" s="4" t="str">
        <f>IFERROR(__xludf.DUMMYFUNCTION("""COMPUTED_VALUE"""),"Cù Thị Mai Anh; Tô Tôn Như; Mai Phương Thảo")</f>
        <v>Cù Thị Mai Anh; Tô Tôn Như; Mai Phương Thảo</v>
      </c>
      <c r="E270" s="4" t="str">
        <f>IFERROR(__xludf.DUMMYFUNCTION("""COMPUTED_VALUE"""),"Học viện Chính sách và Phát triển")</f>
        <v>Học viện Chính sách và Phát triển</v>
      </c>
      <c r="F270" s="4" t="str">
        <f>IFERROR(__xludf.DUMMYFUNCTION("""COMPUTED_VALUE"""),"KTE2026-272.png")</f>
        <v>KTE2026-272.png</v>
      </c>
    </row>
    <row r="271">
      <c r="A271" s="4" t="str">
        <f>IFERROR(__xludf.DUMMYFUNCTION("""COMPUTED_VALUE"""),"KTE2026-273")</f>
        <v>KTE2026-273</v>
      </c>
      <c r="B271" s="4" t="str">
        <f>IFERROR(__xludf.DUMMYFUNCTION("""COMPUTED_VALUE"""),"Kinh tế")</f>
        <v>Kinh tế</v>
      </c>
      <c r="C271" s="4" t="str">
        <f>IFERROR(__xludf.DUMMYFUNCTION("""COMPUTED_VALUE"""),"When AI becomes the streamer: How AI-powered digital hosts shape consumer purchase intentions in livestream commerce")</f>
        <v>When AI becomes the streamer: How AI-powered digital hosts shape consumer purchase intentions in livestream commerce</v>
      </c>
      <c r="D271" s="4" t="str">
        <f>IFERROR(__xludf.DUMMYFUNCTION("""COMPUTED_VALUE"""),"Trần Nhật Lam; Nguyễn Ngọc Anh; Huỳnh Quang Thái; Nguyễn Thanh Nhàn; Đặng Ngọc Yến")</f>
        <v>Trần Nhật Lam; Nguyễn Ngọc Anh; Huỳnh Quang Thái; Nguyễn Thanh Nhàn; Đặng Ngọc Yến</v>
      </c>
      <c r="E271" s="4" t="str">
        <f>IFERROR(__xludf.DUMMYFUNCTION("""COMPUTED_VALUE"""),"Trường Đại học FPT")</f>
        <v>Trường Đại học FPT</v>
      </c>
      <c r="F271" s="4" t="str">
        <f>IFERROR(__xludf.DUMMYFUNCTION("""COMPUTED_VALUE"""),"KTE2026-273.png")</f>
        <v>KTE2026-273.png</v>
      </c>
    </row>
    <row r="272">
      <c r="A272" s="4" t="str">
        <f>IFERROR(__xludf.DUMMYFUNCTION("""COMPUTED_VALUE"""),"KTE2026-274")</f>
        <v>KTE2026-274</v>
      </c>
      <c r="B272" s="4" t="str">
        <f>IFERROR(__xludf.DUMMYFUNCTION("""COMPUTED_VALUE"""),"Kinh tế")</f>
        <v>Kinh tế</v>
      </c>
      <c r="C272" s="4" t="str">
        <f>IFERROR(__xludf.DUMMYFUNCTION("""COMPUTED_VALUE"""),"Ảnh hưởng của văn hóa giao tiếp trong kinh doanh đến hiệu quả phối hợp giao nhận quốc tế tuyến Việt – Trung: Nghiên cứu thực tiễn tại Công ty Cổ phần Giao nhận Vận tải Quốc tế LACCO")</f>
        <v>Ảnh hưởng của văn hóa giao tiếp trong kinh doanh đến hiệu quả phối hợp giao nhận quốc tế tuyến Việt – Trung: Nghiên cứu thực tiễn tại Công ty Cổ phần Giao nhận Vận tải Quốc tế LACCO</v>
      </c>
      <c r="D272" s="4" t="str">
        <f>IFERROR(__xludf.DUMMYFUNCTION("""COMPUTED_VALUE"""),"Nguyễn Minh Ngọc")</f>
        <v>Nguyễn Minh Ngọc</v>
      </c>
      <c r="E272" s="4" t="str">
        <f>IFERROR(__xludf.DUMMYFUNCTION("""COMPUTED_VALUE"""),"Trường Đại học Công nghệ Miền Đông")</f>
        <v>Trường Đại học Công nghệ Miền Đông</v>
      </c>
      <c r="F272" s="4" t="str">
        <f>IFERROR(__xludf.DUMMYFUNCTION("""COMPUTED_VALUE"""),"KTE2026-274.png")</f>
        <v>KTE2026-274.png</v>
      </c>
    </row>
    <row r="273">
      <c r="A273" s="4" t="str">
        <f>IFERROR(__xludf.DUMMYFUNCTION("""COMPUTED_VALUE"""),"KTE2026-275")</f>
        <v>KTE2026-275</v>
      </c>
      <c r="B273" s="4" t="str">
        <f>IFERROR(__xludf.DUMMYFUNCTION("""COMPUTED_VALUE"""),"Kinh tế")</f>
        <v>Kinh tế</v>
      </c>
      <c r="C273" s="4" t="str">
        <f>IFERROR(__xludf.DUMMYFUNCTION("""COMPUTED_VALUE"""),"Ảnh hưởng của quảng cáo hình ảnh do AI tạo ra đến niềm tin thương hiệu và ý định mua hàng của sinh viên tại Đồng Nai: Nghiên cứu trong lĩnh vực F&amp;B")</f>
        <v>Ảnh hưởng của quảng cáo hình ảnh do AI tạo ra đến niềm tin thương hiệu và ý định mua hàng của sinh viên tại Đồng Nai: Nghiên cứu trong lĩnh vực F&amp;B</v>
      </c>
      <c r="D273" s="4" t="str">
        <f>IFERROR(__xludf.DUMMYFUNCTION("""COMPUTED_VALUE"""),"Hồ Thị Hoàng Vân; Võ Thanh Ngân; Nguyễn Thanh Xuân")</f>
        <v>Hồ Thị Hoàng Vân; Võ Thanh Ngân; Nguyễn Thanh Xuân</v>
      </c>
      <c r="E273" s="4" t="str">
        <f>IFERROR(__xludf.DUMMYFUNCTION("""COMPUTED_VALUE"""),"Trường Đại học Công nghệ Miền Đông")</f>
        <v>Trường Đại học Công nghệ Miền Đông</v>
      </c>
      <c r="F273" s="4" t="str">
        <f>IFERROR(__xludf.DUMMYFUNCTION("""COMPUTED_VALUE"""),"KTE2026-275.png")</f>
        <v>KTE2026-275.png</v>
      </c>
    </row>
    <row r="274">
      <c r="A274" s="4" t="str">
        <f>IFERROR(__xludf.DUMMYFUNCTION("""COMPUTED_VALUE"""),"KTE2026-276")</f>
        <v>KTE2026-276</v>
      </c>
      <c r="B274" s="4" t="str">
        <f>IFERROR(__xludf.DUMMYFUNCTION("""COMPUTED_VALUE"""),"Kinh tế")</f>
        <v>Kinh tế</v>
      </c>
      <c r="C274" s="4" t="str">
        <f>IFERROR(__xludf.DUMMYFUNCTION("""COMPUTED_VALUE"""),"The impact of vintage visual design cues on online purchase intention and willingness to pay: The mediating roles of vintage anemoia and personal nostalgia")</f>
        <v>The impact of vintage visual design cues on online purchase intention and willingness to pay: The mediating roles of vintage anemoia and personal nostalgia</v>
      </c>
      <c r="D274" s="4" t="str">
        <f>IFERROR(__xludf.DUMMYFUNCTION("""COMPUTED_VALUE"""),"Lâm Gia Bảo; Nguyễn Đức Huy; Lê Thị Tường Vi; Võ Trương Yến Vy; Tô Ngọc Lan Anh")</f>
        <v>Lâm Gia Bảo; Nguyễn Đức Huy; Lê Thị Tường Vi; Võ Trương Yến Vy; Tô Ngọc Lan Anh</v>
      </c>
      <c r="E274" s="4" t="str">
        <f>IFERROR(__xludf.DUMMYFUNCTION("""COMPUTED_VALUE"""),"Trường Đại học Kinh tế, Đại học Đà Nẵng")</f>
        <v>Trường Đại học Kinh tế, Đại học Đà Nẵng</v>
      </c>
      <c r="F274" s="4" t="str">
        <f>IFERROR(__xludf.DUMMYFUNCTION("""COMPUTED_VALUE"""),"KTE2026-276.png")</f>
        <v>KTE2026-276.png</v>
      </c>
    </row>
    <row r="275">
      <c r="A275" s="4" t="str">
        <f>IFERROR(__xludf.DUMMYFUNCTION("""COMPUTED_VALUE"""),"KTE2026-277")</f>
        <v>KTE2026-277</v>
      </c>
      <c r="B275" s="4" t="str">
        <f>IFERROR(__xludf.DUMMYFUNCTION("""COMPUTED_VALUE"""),"Kinh tế")</f>
        <v>Kinh tế</v>
      </c>
      <c r="C275" s="4" t="str">
        <f>IFERROR(__xludf.DUMMYFUNCTION("""COMPUTED_VALUE"""),"Tác động của trải nghiệm mua hàng đến ý định mua lặp lại trên sàn thương mại điện tử của sinh viên nghiên cứu tại Trường Đại học Công nghệ Miền Đông")</f>
        <v>Tác động của trải nghiệm mua hàng đến ý định mua lặp lại trên sàn thương mại điện tử của sinh viên nghiên cứu tại Trường Đại học Công nghệ Miền Đông</v>
      </c>
      <c r="D275" s="4" t="str">
        <f>IFERROR(__xludf.DUMMYFUNCTION("""COMPUTED_VALUE"""),"Cao Hữu Bảo; Nguyễn Trần Phương Anh; Nguyễn Mộng Cầm; Nguyễn Đức Thành Trung")</f>
        <v>Cao Hữu Bảo; Nguyễn Trần Phương Anh; Nguyễn Mộng Cầm; Nguyễn Đức Thành Trung</v>
      </c>
      <c r="E275" s="4" t="str">
        <f>IFERROR(__xludf.DUMMYFUNCTION("""COMPUTED_VALUE"""),"Trường Đại học Công nghệ Miền Đông")</f>
        <v>Trường Đại học Công nghệ Miền Đông</v>
      </c>
      <c r="F275" s="4" t="str">
        <f>IFERROR(__xludf.DUMMYFUNCTION("""COMPUTED_VALUE"""),"KTE2026-277.png")</f>
        <v>KTE2026-277.png</v>
      </c>
    </row>
    <row r="276">
      <c r="A276" s="4" t="str">
        <f>IFERROR(__xludf.DUMMYFUNCTION("""COMPUTED_VALUE"""),"KTE2026-278")</f>
        <v>KTE2026-278</v>
      </c>
      <c r="B276" s="4" t="str">
        <f>IFERROR(__xludf.DUMMYFUNCTION("""COMPUTED_VALUE"""),"Kinh tế")</f>
        <v>Kinh tế</v>
      </c>
      <c r="C276" s="4" t="str">
        <f>IFERROR(__xludf.DUMMYFUNCTION("""COMPUTED_VALUE"""),"Ảnh hưởng của quảng cáo số về tiêu dùng xanh trên TikTok đến hành vi FOMO và xu hướng tiêu dùng xanh của sinh viên tại các trường đại học trên địa bàn TP.HCM")</f>
        <v>Ảnh hưởng của quảng cáo số về tiêu dùng xanh trên TikTok đến hành vi FOMO và xu hướng tiêu dùng xanh của sinh viên tại các trường đại học trên địa bàn TP.HCM</v>
      </c>
      <c r="D276" s="4" t="str">
        <f>IFERROR(__xludf.DUMMYFUNCTION("""COMPUTED_VALUE"""),"Tề Ngọc Bảo Trâm")</f>
        <v>Tề Ngọc Bảo Trâm</v>
      </c>
      <c r="E276" s="4" t="str">
        <f>IFERROR(__xludf.DUMMYFUNCTION("""COMPUTED_VALUE"""),"Trường Đại học Văn Hiến")</f>
        <v>Trường Đại học Văn Hiến</v>
      </c>
      <c r="F276" s="4" t="str">
        <f>IFERROR(__xludf.DUMMYFUNCTION("""COMPUTED_VALUE"""),"KTE2026-278.png")</f>
        <v>KTE2026-278.png</v>
      </c>
    </row>
    <row r="277">
      <c r="A277" s="4" t="str">
        <f>IFERROR(__xludf.DUMMYFUNCTION("""COMPUTED_VALUE"""),"KTE2026-279")</f>
        <v>KTE2026-279</v>
      </c>
      <c r="B277" s="4" t="str">
        <f>IFERROR(__xludf.DUMMYFUNCTION("""COMPUTED_VALUE"""),"Kinh tế")</f>
        <v>Kinh tế</v>
      </c>
      <c r="C277" s="4" t="str">
        <f>IFERROR(__xludf.DUMMYFUNCTION("""COMPUTED_VALUE"""),"Ảnh hưởng của virtual influencer đến ý định mua của Gen Z tại thành phố Hồ Chí Minh")</f>
        <v>Ảnh hưởng của virtual influencer đến ý định mua của Gen Z tại thành phố Hồ Chí Minh</v>
      </c>
      <c r="D277" s="4" t="str">
        <f>IFERROR(__xludf.DUMMYFUNCTION("""COMPUTED_VALUE"""),"Võ Nhựt Khởi; Nguyễn Trần Yến Nhi; Châu Thị Huỳnh Như")</f>
        <v>Võ Nhựt Khởi; Nguyễn Trần Yến Nhi; Châu Thị Huỳnh Như</v>
      </c>
      <c r="E277" s="4" t="str">
        <f>IFERROR(__xludf.DUMMYFUNCTION("""COMPUTED_VALUE"""),"Trường Đại học Văn Hiến")</f>
        <v>Trường Đại học Văn Hiến</v>
      </c>
      <c r="F277" s="4" t="str">
        <f>IFERROR(__xludf.DUMMYFUNCTION("""COMPUTED_VALUE"""),"KTE2026-279.png")</f>
        <v>KTE2026-279.png</v>
      </c>
    </row>
    <row r="278">
      <c r="A278" s="4" t="str">
        <f>IFERROR(__xludf.DUMMYFUNCTION("""COMPUTED_VALUE"""),"KTE2026-280")</f>
        <v>KTE2026-280</v>
      </c>
      <c r="B278" s="4" t="str">
        <f>IFERROR(__xludf.DUMMYFUNCTION("""COMPUTED_VALUE"""),"Kinh tế")</f>
        <v>Kinh tế</v>
      </c>
      <c r="C278" s="4" t="str">
        <f>IFERROR(__xludf.DUMMYFUNCTION("""COMPUTED_VALUE"""),"Các yếu tố ảnh hưởng đến phát triển logistics lạnh xanh cho doanh nghiệp xuất khẩu nông sản tại thành phố Đồng Nai")</f>
        <v>Các yếu tố ảnh hưởng đến phát triển logistics lạnh xanh cho doanh nghiệp xuất khẩu nông sản tại thành phố Đồng Nai</v>
      </c>
      <c r="D278" s="4" t="str">
        <f>IFERROR(__xludf.DUMMYFUNCTION("""COMPUTED_VALUE"""),"Bùi Thị Oanh; Nguyễn Thị Tường Vy; Nguyễn Xuân Bảo; Trần Đăng Khoa; Võ Lâm Minh Hòa")</f>
        <v>Bùi Thị Oanh; Nguyễn Thị Tường Vy; Nguyễn Xuân Bảo; Trần Đăng Khoa; Võ Lâm Minh Hòa</v>
      </c>
      <c r="E278" s="4" t="str">
        <f>IFERROR(__xludf.DUMMYFUNCTION("""COMPUTED_VALUE"""),"Trường Đại học Công nghệ Miền Đông")</f>
        <v>Trường Đại học Công nghệ Miền Đông</v>
      </c>
      <c r="F278" s="4" t="str">
        <f>IFERROR(__xludf.DUMMYFUNCTION("""COMPUTED_VALUE"""),"KTE2026-280.png")</f>
        <v>KTE2026-280.png</v>
      </c>
    </row>
    <row r="279">
      <c r="A279" s="4" t="str">
        <f>IFERROR(__xludf.DUMMYFUNCTION("""COMPUTED_VALUE"""),"KTE2026-281")</f>
        <v>KTE2026-281</v>
      </c>
      <c r="B279" s="4" t="str">
        <f>IFERROR(__xludf.DUMMYFUNCTION("""COMPUTED_VALUE"""),"Kinh tế")</f>
        <v>Kinh tế</v>
      </c>
      <c r="C279" s="4" t="str">
        <f>IFERROR(__xludf.DUMMYFUNCTION("""COMPUTED_VALUE"""),"Ảnh hưởng của quảng cáo xanh trên mạng xã hội đến ý định mua của Gen Z tại Việt Nam: Vai trò trung gian của FOMO")</f>
        <v>Ảnh hưởng của quảng cáo xanh trên mạng xã hội đến ý định mua của Gen Z tại Việt Nam: Vai trò trung gian của FOMO</v>
      </c>
      <c r="D279" s="4" t="str">
        <f>IFERROR(__xludf.DUMMYFUNCTION("""COMPUTED_VALUE"""),"Nguyễn Tuấn Hùng; Phạm Văn Long; Phạm Ngọc Thơ")</f>
        <v>Nguyễn Tuấn Hùng; Phạm Văn Long; Phạm Ngọc Thơ</v>
      </c>
      <c r="E279" s="4" t="str">
        <f>IFERROR(__xludf.DUMMYFUNCTION("""COMPUTED_VALUE"""),"Trường Đại học Công nghệ Miền Đông")</f>
        <v>Trường Đại học Công nghệ Miền Đông</v>
      </c>
      <c r="F279" s="4" t="str">
        <f>IFERROR(__xludf.DUMMYFUNCTION("""COMPUTED_VALUE"""),"KTE2026-281.png")</f>
        <v>KTE2026-281.png</v>
      </c>
    </row>
    <row r="280">
      <c r="A280" s="4" t="str">
        <f>IFERROR(__xludf.DUMMYFUNCTION("""COMPUTED_VALUE"""),"KTE2026-282")</f>
        <v>KTE2026-282</v>
      </c>
      <c r="B280" s="4" t="str">
        <f>IFERROR(__xludf.DUMMYFUNCTION("""COMPUTED_VALUE"""),"Kinh tế")</f>
        <v>Kinh tế</v>
      </c>
      <c r="C280" s="4" t="str">
        <f>IFERROR(__xludf.DUMMYFUNCTION("""COMPUTED_VALUE"""),"Các yếu tố ảnh hưởng đến quyết định sử dụng trí tuệ nhân tạo của sinh viên các trường đại học tại thành phố Hồ Chí Minh")</f>
        <v>Các yếu tố ảnh hưởng đến quyết định sử dụng trí tuệ nhân tạo của sinh viên các trường đại học tại thành phố Hồ Chí Minh</v>
      </c>
      <c r="D280" s="4" t="str">
        <f>IFERROR(__xludf.DUMMYFUNCTION("""COMPUTED_VALUE"""),"Nguyễn Phi Tân; Tạ Đình Khôi Nguyên")</f>
        <v>Nguyễn Phi Tân; Tạ Đình Khôi Nguyên</v>
      </c>
      <c r="E280" s="4" t="str">
        <f>IFERROR(__xludf.DUMMYFUNCTION("""COMPUTED_VALUE"""),"Trường Đại học Văn Hiến")</f>
        <v>Trường Đại học Văn Hiến</v>
      </c>
      <c r="F280" s="4" t="str">
        <f>IFERROR(__xludf.DUMMYFUNCTION("""COMPUTED_VALUE"""),"KTE2026-282.png")</f>
        <v>KTE2026-282.png</v>
      </c>
    </row>
    <row r="281">
      <c r="A281" s="4" t="str">
        <f>IFERROR(__xludf.DUMMYFUNCTION("""COMPUTED_VALUE"""),"KTE2026-283")</f>
        <v>KTE2026-283</v>
      </c>
      <c r="B281" s="4" t="str">
        <f>IFERROR(__xludf.DUMMYFUNCTION("""COMPUTED_VALUE"""),"Kinh tế")</f>
        <v>Kinh tế</v>
      </c>
      <c r="C281" s="4" t="str">
        <f>IFERROR(__xludf.DUMMYFUNCTION("""COMPUTED_VALUE"""),"The impact of greenwashing on green purchasing behavior: The moderating role of blockchain-based traceability technology")</f>
        <v>The impact of greenwashing on green purchasing behavior: The moderating role of blockchain-based traceability technology</v>
      </c>
      <c r="D281" s="4" t="str">
        <f>IFERROR(__xludf.DUMMYFUNCTION("""COMPUTED_VALUE"""),"Nguyễn Thành Trung; Phan Thị Thu Cẩm; Ngô Gia Hân; Nguyễn Thị Hồng Ngọc")</f>
        <v>Nguyễn Thành Trung; Phan Thị Thu Cẩm; Ngô Gia Hân; Nguyễn Thị Hồng Ngọc</v>
      </c>
      <c r="E281" s="4" t="str">
        <f>IFERROR(__xludf.DUMMYFUNCTION("""COMPUTED_VALUE"""),"Trường Đại học Kinh tế - Luật, ĐHQG-HCM")</f>
        <v>Trường Đại học Kinh tế - Luật, ĐHQG-HCM</v>
      </c>
      <c r="F281" s="4" t="str">
        <f>IFERROR(__xludf.DUMMYFUNCTION("""COMPUTED_VALUE"""),"KTE2026-283.png")</f>
        <v>KTE2026-283.png</v>
      </c>
    </row>
    <row r="282">
      <c r="A282" s="4" t="str">
        <f>IFERROR(__xludf.DUMMYFUNCTION("""COMPUTED_VALUE"""),"KTE2026-284")</f>
        <v>KTE2026-284</v>
      </c>
      <c r="B282" s="4" t="str">
        <f>IFERROR(__xludf.DUMMYFUNCTION("""COMPUTED_VALUE"""),"Kinh tế")</f>
        <v>Kinh tế</v>
      </c>
      <c r="C282" s="4" t="str">
        <f>IFERROR(__xludf.DUMMYFUNCTION("""COMPUTED_VALUE"""),"Examining chatbots’ core attributes in shaping generation Z customer behavior within e-commerce context in Vietnam: An application of SOBC model")</f>
        <v>Examining chatbots’ core attributes in shaping generation Z customer behavior within e-commerce context in Vietnam: An application of SOBC model</v>
      </c>
      <c r="D282" s="4" t="str">
        <f>IFERROR(__xludf.DUMMYFUNCTION("""COMPUTED_VALUE"""),"Nguyễn Thị Ngọc Linh; Lê Thanh Ngọc Linh; Hồ Phạm Mai Lê; Đỗ Kim Ngân; Triệu Yến Nhi")</f>
        <v>Nguyễn Thị Ngọc Linh; Lê Thanh Ngọc Linh; Hồ Phạm Mai Lê; Đỗ Kim Ngân; Triệu Yến Nhi</v>
      </c>
      <c r="E282" s="4" t="str">
        <f>IFERROR(__xludf.DUMMYFUNCTION("""COMPUTED_VALUE"""),"Đại học Kinh tế Quốc dân")</f>
        <v>Đại học Kinh tế Quốc dân</v>
      </c>
      <c r="F282" s="4" t="str">
        <f>IFERROR(__xludf.DUMMYFUNCTION("""COMPUTED_VALUE"""),"KTE2026-284.png")</f>
        <v>KTE2026-284.png</v>
      </c>
    </row>
    <row r="283">
      <c r="A283" s="4" t="str">
        <f>IFERROR(__xludf.DUMMYFUNCTION("""COMPUTED_VALUE"""),"KTE2026-285")</f>
        <v>KTE2026-285</v>
      </c>
      <c r="B283" s="4" t="str">
        <f>IFERROR(__xludf.DUMMYFUNCTION("""COMPUTED_VALUE"""),"Kinh tế")</f>
        <v>Kinh tế</v>
      </c>
      <c r="C283" s="4" t="str">
        <f>IFERROR(__xludf.DUMMYFUNCTION("""COMPUTED_VALUE"""),"Cấu trúc thông tin trong đánh giá trực tuyến đa thuộc tính: Tiếp cận dựa trên phương pháp xử lý ngôn ngữ tự nhiên")</f>
        <v>Cấu trúc thông tin trong đánh giá trực tuyến đa thuộc tính: Tiếp cận dựa trên phương pháp xử lý ngôn ngữ tự nhiên</v>
      </c>
      <c r="D283" s="4" t="str">
        <f>IFERROR(__xludf.DUMMYFUNCTION("""COMPUTED_VALUE"""),"Ngô Thị Nhã Trang; Huỳnh Ngọc Thục Trinh")</f>
        <v>Ngô Thị Nhã Trang; Huỳnh Ngọc Thục Trinh</v>
      </c>
      <c r="E283" s="4" t="str">
        <f>IFERROR(__xludf.DUMMYFUNCTION("""COMPUTED_VALUE"""),"Trường Đại học Kinh tế - Luật, ĐHQG-HCM")</f>
        <v>Trường Đại học Kinh tế - Luật, ĐHQG-HCM</v>
      </c>
      <c r="F283" s="4" t="str">
        <f>IFERROR(__xludf.DUMMYFUNCTION("""COMPUTED_VALUE"""),"KTE2026-285.png")</f>
        <v>KTE2026-285.png</v>
      </c>
    </row>
    <row r="284">
      <c r="A284" s="4" t="str">
        <f>IFERROR(__xludf.DUMMYFUNCTION("""COMPUTED_VALUE"""),"KTE2026-286")</f>
        <v>KTE2026-286</v>
      </c>
      <c r="B284" s="4" t="str">
        <f>IFERROR(__xludf.DUMMYFUNCTION("""COMPUTED_VALUE"""),"Kinh tế")</f>
        <v>Kinh tế</v>
      </c>
      <c r="C284" s="4" t="str">
        <f>IFERROR(__xludf.DUMMYFUNCTION("""COMPUTED_VALUE"""),"Tác động của các hoạt động tiếp thị trên mạng xã hội đến ý định mua hàng của người tiêu dùng trên TikTok Shop: Vai trò trung gian của sự tin tưởng và sự gắn kết của khách hàng")</f>
        <v>Tác động của các hoạt động tiếp thị trên mạng xã hội đến ý định mua hàng của người tiêu dùng trên TikTok Shop: Vai trò trung gian của sự tin tưởng và sự gắn kết của khách hàng</v>
      </c>
      <c r="D284" s="4" t="str">
        <f>IFERROR(__xludf.DUMMYFUNCTION("""COMPUTED_VALUE"""),"Nguyễn Thị Thoa; Hoàng Thị Thanh Thủy; Huỳnh Thị Trang")</f>
        <v>Nguyễn Thị Thoa; Hoàng Thị Thanh Thủy; Huỳnh Thị Trang</v>
      </c>
      <c r="E284" s="4" t="str">
        <f>IFERROR(__xludf.DUMMYFUNCTION("""COMPUTED_VALUE"""),"Trường Cao đẳng Công thương TP. Hồ Chí Minh")</f>
        <v>Trường Cao đẳng Công thương TP. Hồ Chí Minh</v>
      </c>
      <c r="F284" s="4" t="str">
        <f>IFERROR(__xludf.DUMMYFUNCTION("""COMPUTED_VALUE"""),"KTE2026-286.png")</f>
        <v>KTE2026-286.png</v>
      </c>
    </row>
    <row r="285">
      <c r="A285" s="4" t="str">
        <f>IFERROR(__xludf.DUMMYFUNCTION("""COMPUTED_VALUE"""),"KTE2026-287")</f>
        <v>KTE2026-287</v>
      </c>
      <c r="B285" s="4" t="str">
        <f>IFERROR(__xludf.DUMMYFUNCTION("""COMPUTED_VALUE"""),"Kinh tế")</f>
        <v>Kinh tế</v>
      </c>
      <c r="C285" s="4" t="str">
        <f>IFERROR(__xludf.DUMMYFUNCTION("""COMPUTED_VALUE"""),"Nghiên cứu các yếu tố ảnh hưởng đến hoạt động marketing xanh trong môi trường thương mại điện tử dưới góc nhìn của sinh viên thành phố Hồ Chí Minh")</f>
        <v>Nghiên cứu các yếu tố ảnh hưởng đến hoạt động marketing xanh trong môi trường thương mại điện tử dưới góc nhìn của sinh viên thành phố Hồ Chí Minh</v>
      </c>
      <c r="D285" s="4" t="str">
        <f>IFERROR(__xludf.DUMMYFUNCTION("""COMPUTED_VALUE"""),"Phạm Thị Bích Viên; Nguyễn Hồng Hân; Trương Huệ Mẫn")</f>
        <v>Phạm Thị Bích Viên; Nguyễn Hồng Hân; Trương Huệ Mẫn</v>
      </c>
      <c r="E285" s="4" t="str">
        <f>IFERROR(__xludf.DUMMYFUNCTION("""COMPUTED_VALUE"""),"Trường Đại học Văn Hiến")</f>
        <v>Trường Đại học Văn Hiến</v>
      </c>
      <c r="F285" s="4" t="str">
        <f>IFERROR(__xludf.DUMMYFUNCTION("""COMPUTED_VALUE"""),"KTE2026-287.png")</f>
        <v>KTE2026-287.png</v>
      </c>
    </row>
    <row r="286">
      <c r="A286" s="4" t="str">
        <f>IFERROR(__xludf.DUMMYFUNCTION("""COMPUTED_VALUE"""),"KTE2026-288")</f>
        <v>KTE2026-288</v>
      </c>
      <c r="B286" s="4" t="str">
        <f>IFERROR(__xludf.DUMMYFUNCTION("""COMPUTED_VALUE"""),"Kinh tế")</f>
        <v>Kinh tế</v>
      </c>
      <c r="C286" s="4" t="str">
        <f>IFERROR(__xludf.DUMMYFUNCTION("""COMPUTED_VALUE"""),"Ảnh hưởng của greenwashing và thái độ thương hiệu đến ý định mua sản phẩm của Gen Z tại thành phố Hồ Chí Minh")</f>
        <v>Ảnh hưởng của greenwashing và thái độ thương hiệu đến ý định mua sản phẩm của Gen Z tại thành phố Hồ Chí Minh</v>
      </c>
      <c r="D286" s="4" t="str">
        <f>IFERROR(__xludf.DUMMYFUNCTION("""COMPUTED_VALUE"""),"Nguyễn Phúc Hậu; Trần Đình Quang Nhật; Trần Thị Huyền Trang; Lê Thị Ngọc Tình")</f>
        <v>Nguyễn Phúc Hậu; Trần Đình Quang Nhật; Trần Thị Huyền Trang; Lê Thị Ngọc Tình</v>
      </c>
      <c r="E286" s="4" t="str">
        <f>IFERROR(__xludf.DUMMYFUNCTION("""COMPUTED_VALUE"""),"Trường Đại học Văn Hiến")</f>
        <v>Trường Đại học Văn Hiến</v>
      </c>
      <c r="F286" s="4" t="str">
        <f>IFERROR(__xludf.DUMMYFUNCTION("""COMPUTED_VALUE"""),"KTE2026-288.png")</f>
        <v>KTE2026-288.png</v>
      </c>
    </row>
    <row r="287">
      <c r="A287" s="4" t="str">
        <f>IFERROR(__xludf.DUMMYFUNCTION("""COMPUTED_VALUE"""),"KTE2026-289")</f>
        <v>KTE2026-289</v>
      </c>
      <c r="B287" s="4" t="str">
        <f>IFERROR(__xludf.DUMMYFUNCTION("""COMPUTED_VALUE"""),"Kinh tế")</f>
        <v>Kinh tế</v>
      </c>
      <c r="C287" s="4" t="str">
        <f>IFERROR(__xludf.DUMMYFUNCTION("""COMPUTED_VALUE"""),"Nghiên cứu các yếu tố ảnh hưởng đến ý định tham gia hoạt động thiện nguyện của sinh viên tại TP.HCM")</f>
        <v>Nghiên cứu các yếu tố ảnh hưởng đến ý định tham gia hoạt động thiện nguyện của sinh viên tại TP.HCM</v>
      </c>
      <c r="D287" s="4" t="str">
        <f>IFERROR(__xludf.DUMMYFUNCTION("""COMPUTED_VALUE"""),"Nguyễn Hữu Cảnh; Nguyễn Yến Nhi")</f>
        <v>Nguyễn Hữu Cảnh; Nguyễn Yến Nhi</v>
      </c>
      <c r="E287" s="4" t="str">
        <f>IFERROR(__xludf.DUMMYFUNCTION("""COMPUTED_VALUE"""),"Trường Đại học Văn Hiến")</f>
        <v>Trường Đại học Văn Hiến</v>
      </c>
      <c r="F287" s="4" t="str">
        <f>IFERROR(__xludf.DUMMYFUNCTION("""COMPUTED_VALUE"""),"KTE2026-289.png")</f>
        <v>KTE2026-289.png</v>
      </c>
    </row>
    <row r="288">
      <c r="A288" s="4" t="str">
        <f>IFERROR(__xludf.DUMMYFUNCTION("""COMPUTED_VALUE"""),"KTE2026-290")</f>
        <v>KTE2026-290</v>
      </c>
      <c r="B288" s="4" t="str">
        <f>IFERROR(__xludf.DUMMYFUNCTION("""COMPUTED_VALUE"""),"Kinh tế")</f>
        <v>Kinh tế</v>
      </c>
      <c r="C288" s="4" t="str">
        <f>IFERROR(__xludf.DUMMYFUNCTION("""COMPUTED_VALUE"""),"Tác động lưỡng cực của quản trị nguồn nhân lực định hướng trí tuệ nhân tạo đến hạnh phúc nơi làm việc: Cơ chế trung gian tâm lý - hành vi và vai trò điều tiết của tái cấu trúc nhiệm vụ")</f>
        <v>Tác động lưỡng cực của quản trị nguồn nhân lực định hướng trí tuệ nhân tạo đến hạnh phúc nơi làm việc: Cơ chế trung gian tâm lý - hành vi và vai trò điều tiết của tái cấu trúc nhiệm vụ</v>
      </c>
      <c r="D288" s="4" t="str">
        <f>IFERROR(__xludf.DUMMYFUNCTION("""COMPUTED_VALUE"""),"Nguyễn Phương Linh; Lê Phạm Ngọc Hà; Bùi An Huy; Lê Ngọc Linh; Lê Nhật Minh")</f>
        <v>Nguyễn Phương Linh; Lê Phạm Ngọc Hà; Bùi An Huy; Lê Ngọc Linh; Lê Nhật Minh</v>
      </c>
      <c r="E288" s="4" t="str">
        <f>IFERROR(__xludf.DUMMYFUNCTION("""COMPUTED_VALUE"""),"Đại học Kinh tế Quốc dân")</f>
        <v>Đại học Kinh tế Quốc dân</v>
      </c>
      <c r="F288" s="4" t="str">
        <f>IFERROR(__xludf.DUMMYFUNCTION("""COMPUTED_VALUE"""),"KTE2026-290.png")</f>
        <v>KTE2026-290.png</v>
      </c>
    </row>
    <row r="289">
      <c r="A289" s="4" t="str">
        <f>IFERROR(__xludf.DUMMYFUNCTION("""COMPUTED_VALUE"""),"KTE2026-291")</f>
        <v>KTE2026-291</v>
      </c>
      <c r="B289" s="4" t="str">
        <f>IFERROR(__xludf.DUMMYFUNCTION("""COMPUTED_VALUE"""),"Kinh tế")</f>
        <v>Kinh tế</v>
      </c>
      <c r="C289" s="4" t="str">
        <f>IFERROR(__xludf.DUMMYFUNCTION("""COMPUTED_VALUE"""),"Nghiên cứu tác động mạng xã hội đến hành vi tiêu dùng của thế hệ Gen Alpha tại khu vực tỉnh Tây Ninh")</f>
        <v>Nghiên cứu tác động mạng xã hội đến hành vi tiêu dùng của thế hệ Gen Alpha tại khu vực tỉnh Tây Ninh</v>
      </c>
      <c r="D289" s="4" t="str">
        <f>IFERROR(__xludf.DUMMYFUNCTION("""COMPUTED_VALUE"""),"Phạm Huỳnh Cẩm Tú; Đặng Nguyễn Duy")</f>
        <v>Phạm Huỳnh Cẩm Tú; Đặng Nguyễn Duy</v>
      </c>
      <c r="E289" s="4" t="str">
        <f>IFERROR(__xludf.DUMMYFUNCTION("""COMPUTED_VALUE"""),"Trường Đại học Văn Hiến")</f>
        <v>Trường Đại học Văn Hiến</v>
      </c>
      <c r="F289" s="4" t="str">
        <f>IFERROR(__xludf.DUMMYFUNCTION("""COMPUTED_VALUE"""),"KTE2026-291.png")</f>
        <v>KTE2026-291.png</v>
      </c>
    </row>
    <row r="290">
      <c r="A290" s="4" t="str">
        <f>IFERROR(__xludf.DUMMYFUNCTION("""COMPUTED_VALUE"""),"KTE2026-292")</f>
        <v>KTE2026-292</v>
      </c>
      <c r="B290" s="4" t="str">
        <f>IFERROR(__xludf.DUMMYFUNCTION("""COMPUTED_VALUE"""),"Kinh tế")</f>
        <v>Kinh tế</v>
      </c>
      <c r="C290" s="4" t="str">
        <f>IFERROR(__xludf.DUMMYFUNCTION("""COMPUTED_VALUE"""),"How digital transformation drives employee innovation in SMEs: A moderated mediation perspective")</f>
        <v>How digital transformation drives employee innovation in SMEs: A moderated mediation perspective</v>
      </c>
      <c r="D290" s="4" t="str">
        <f>IFERROR(__xludf.DUMMYFUNCTION("""COMPUTED_VALUE"""),"Đào Phương Hạnh; Vũ Diệu Kiều Anh; Đỗ Bảo Quyên; Nguyễn Minh Tuấn")</f>
        <v>Đào Phương Hạnh; Vũ Diệu Kiều Anh; Đỗ Bảo Quyên; Nguyễn Minh Tuấn</v>
      </c>
      <c r="E290" s="4" t="str">
        <f>IFERROR(__xludf.DUMMYFUNCTION("""COMPUTED_VALUE"""),"Đại học Kinh tế Quốc dân")</f>
        <v>Đại học Kinh tế Quốc dân</v>
      </c>
      <c r="F290" s="4" t="str">
        <f>IFERROR(__xludf.DUMMYFUNCTION("""COMPUTED_VALUE"""),"KTE2026-292.png")</f>
        <v>KTE2026-292.png</v>
      </c>
    </row>
    <row r="291">
      <c r="A291" s="4" t="str">
        <f>IFERROR(__xludf.DUMMYFUNCTION("""COMPUTED_VALUE"""),"KTE2026-293")</f>
        <v>KTE2026-293</v>
      </c>
      <c r="B291" s="4" t="str">
        <f>IFERROR(__xludf.DUMMYFUNCTION("""COMPUTED_VALUE"""),"Kinh tế")</f>
        <v>Kinh tế</v>
      </c>
      <c r="C291" s="4" t="str">
        <f>IFERROR(__xludf.DUMMYFUNCTION("""COMPUTED_VALUE"""),"Determinants of digital trust among digital consumer in the digital era: The moderating role of perceived AI and deepfake risk")</f>
        <v>Determinants of digital trust among digital consumer in the digital era: The moderating role of perceived AI and deepfake risk</v>
      </c>
      <c r="D291" s="4" t="str">
        <f>IFERROR(__xludf.DUMMYFUNCTION("""COMPUTED_VALUE"""),"Nguyễn Thị Trà My; Hoàng Nguyễn Ngọc Hân; Lê Trung Nhật; Ngô Thị Thùy Trâm; Ngô Thị Mỹ Yến")</f>
        <v>Nguyễn Thị Trà My; Hoàng Nguyễn Ngọc Hân; Lê Trung Nhật; Ngô Thị Thùy Trâm; Ngô Thị Mỹ Yến</v>
      </c>
      <c r="E291" s="4" t="str">
        <f>IFERROR(__xludf.DUMMYFUNCTION("""COMPUTED_VALUE"""),"Trường Đại học Kinh tế, Đại học Đà Nẵng")</f>
        <v>Trường Đại học Kinh tế, Đại học Đà Nẵng</v>
      </c>
      <c r="F291" s="4" t="str">
        <f>IFERROR(__xludf.DUMMYFUNCTION("""COMPUTED_VALUE"""),"KTE2026-293.png")</f>
        <v>KTE2026-293.png</v>
      </c>
    </row>
    <row r="292">
      <c r="A292" s="4" t="str">
        <f>IFERROR(__xludf.DUMMYFUNCTION("""COMPUTED_VALUE"""),"KTE2026-294")</f>
        <v>KTE2026-294</v>
      </c>
      <c r="B292" s="4" t="str">
        <f>IFERROR(__xludf.DUMMYFUNCTION("""COMPUTED_VALUE"""),"Kinh tế")</f>
        <v>Kinh tế</v>
      </c>
      <c r="C292" s="4" t="str">
        <f>IFERROR(__xludf.DUMMYFUNCTION("""COMPUTED_VALUE"""),"Stimulus matters: How entertainment, usefulness, and social presence on TikTok drive purchase intention through short video content – driven digital dependency among Vietnam National University students")</f>
        <v>Stimulus matters: How entertainment, usefulness, and social presence on TikTok drive purchase intention through short video content – driven digital dependency among Vietnam National University students</v>
      </c>
      <c r="D292" s="4" t="str">
        <f>IFERROR(__xludf.DUMMYFUNCTION("""COMPUTED_VALUE"""),"Nguyễn Thị Hồng Phương; Phan Công Huỳnh Hương")</f>
        <v>Nguyễn Thị Hồng Phương; Phan Công Huỳnh Hương</v>
      </c>
      <c r="E292" s="4" t="str">
        <f>IFERROR(__xludf.DUMMYFUNCTION("""COMPUTED_VALUE"""),"Trường Đại học Kinh tế - Luật, ĐHQG-HCM")</f>
        <v>Trường Đại học Kinh tế - Luật, ĐHQG-HCM</v>
      </c>
      <c r="F292" s="4" t="str">
        <f>IFERROR(__xludf.DUMMYFUNCTION("""COMPUTED_VALUE"""),"KTE2026-294.png")</f>
        <v>KTE2026-294.png</v>
      </c>
    </row>
    <row r="293">
      <c r="A293" s="4" t="str">
        <f>IFERROR(__xludf.DUMMYFUNCTION("""COMPUTED_VALUE"""),"KTE2026-295")</f>
        <v>KTE2026-295</v>
      </c>
      <c r="B293" s="4" t="str">
        <f>IFERROR(__xludf.DUMMYFUNCTION("""COMPUTED_VALUE"""),"Kinh tế")</f>
        <v>Kinh tế</v>
      </c>
      <c r="C293" s="4" t="str">
        <f>IFERROR(__xludf.DUMMYFUNCTION("""COMPUTED_VALUE"""),"Động lực tiêu dùng hợp tác và ý định tham gia giao dịch trực tuyến hàng hóa đã qua sử dụng của người tiêu dùng tại thành phố Hồ Chí Minh")</f>
        <v>Động lực tiêu dùng hợp tác và ý định tham gia giao dịch trực tuyến hàng hóa đã qua sử dụng của người tiêu dùng tại thành phố Hồ Chí Minh</v>
      </c>
      <c r="D293" s="4" t="str">
        <f>IFERROR(__xludf.DUMMYFUNCTION("""COMPUTED_VALUE"""),"Nguyễn Hà Duy")</f>
        <v>Nguyễn Hà Duy</v>
      </c>
      <c r="E293" s="4" t="str">
        <f>IFERROR(__xludf.DUMMYFUNCTION("""COMPUTED_VALUE"""),"Học viện Hàng không Việt Nam")</f>
        <v>Học viện Hàng không Việt Nam</v>
      </c>
      <c r="F293" s="4" t="str">
        <f>IFERROR(__xludf.DUMMYFUNCTION("""COMPUTED_VALUE"""),"KTE2026-295.png")</f>
        <v>KTE2026-295.png</v>
      </c>
    </row>
    <row r="294">
      <c r="A294" s="4" t="str">
        <f>IFERROR(__xludf.DUMMYFUNCTION("""COMPUTED_VALUE"""),"KTE2026-296")</f>
        <v>KTE2026-296</v>
      </c>
      <c r="B294" s="4" t="str">
        <f>IFERROR(__xludf.DUMMYFUNCTION("""COMPUTED_VALUE"""),"Kinh tế")</f>
        <v>Kinh tế</v>
      </c>
      <c r="C294" s="4" t="str">
        <f>IFERROR(__xludf.DUMMYFUNCTION("""COMPUTED_VALUE"""),"The online shopping cart abandonment behavior on e-commerce platforms among Gen Z in Vietnam: Causes and solutions")</f>
        <v>The online shopping cart abandonment behavior on e-commerce platforms among Gen Z in Vietnam: Causes and solutions</v>
      </c>
      <c r="D294" s="4" t="str">
        <f>IFERROR(__xludf.DUMMYFUNCTION("""COMPUTED_VALUE"""),"Nguyễn Thị Thanh Thảo; Phạm Minh Phương; Nguyễn Thu Huyền; Hoàng Lê Hương Giang")</f>
        <v>Nguyễn Thị Thanh Thảo; Phạm Minh Phương; Nguyễn Thu Huyền; Hoàng Lê Hương Giang</v>
      </c>
      <c r="E294" s="4" t="str">
        <f>IFERROR(__xludf.DUMMYFUNCTION("""COMPUTED_VALUE"""),"Trường Đại học FPT")</f>
        <v>Trường Đại học FPT</v>
      </c>
      <c r="F294" s="4" t="str">
        <f>IFERROR(__xludf.DUMMYFUNCTION("""COMPUTED_VALUE"""),"KTE2026-296.png")</f>
        <v>KTE2026-296.png</v>
      </c>
    </row>
    <row r="295">
      <c r="A295" s="4" t="str">
        <f>IFERROR(__xludf.DUMMYFUNCTION("""COMPUTED_VALUE"""),"KTE2026-297")</f>
        <v>KTE2026-297</v>
      </c>
      <c r="B295" s="4" t="str">
        <f>IFERROR(__xludf.DUMMYFUNCTION("""COMPUTED_VALUE"""),"Kinh tế")</f>
        <v>Kinh tế</v>
      </c>
      <c r="C295" s="4" t="str">
        <f>IFERROR(__xludf.DUMMYFUNCTION("""COMPUTED_VALUE"""),"Các đặc điểm của AI streamer ảnh hưởng đến ý định mua hàng trong live commerce")</f>
        <v>Các đặc điểm của AI streamer ảnh hưởng đến ý định mua hàng trong live commerce</v>
      </c>
      <c r="D295" s="4" t="str">
        <f>IFERROR(__xludf.DUMMYFUNCTION("""COMPUTED_VALUE"""),"Lê Thị Hải Nhi; Trần Thị Na; Đỗ Quốc Khánh; Vũ Trọng Huy; Đỗ Hữu Nghĩa")</f>
        <v>Lê Thị Hải Nhi; Trần Thị Na; Đỗ Quốc Khánh; Vũ Trọng Huy; Đỗ Hữu Nghĩa</v>
      </c>
      <c r="E295" s="4" t="str">
        <f>IFERROR(__xludf.DUMMYFUNCTION("""COMPUTED_VALUE"""),"Trường Đại học Công nghệ Kỹ thuật TP. Hồ Chí Minh")</f>
        <v>Trường Đại học Công nghệ Kỹ thuật TP. Hồ Chí Minh</v>
      </c>
      <c r="F295" s="4" t="str">
        <f>IFERROR(__xludf.DUMMYFUNCTION("""COMPUTED_VALUE"""),"KTE2026-297.png")</f>
        <v>KTE2026-297.png</v>
      </c>
    </row>
    <row r="296">
      <c r="A296" s="4" t="str">
        <f>IFERROR(__xludf.DUMMYFUNCTION("""COMPUTED_VALUE"""),"KTE2026-298")</f>
        <v>KTE2026-298</v>
      </c>
      <c r="B296" s="4" t="str">
        <f>IFERROR(__xludf.DUMMYFUNCTION("""COMPUTED_VALUE"""),"Kinh tế")</f>
        <v>Kinh tế</v>
      </c>
      <c r="C296" s="4" t="str">
        <f>IFERROR(__xludf.DUMMYFUNCTION("""COMPUTED_VALUE"""),"Ảnh hưởng của quảng cáo bằng trí tuệ nhân tạo đến hành vi mua sắm ngẫu hứng của người tiêu dùng tại thành phố Hồ Chí Minh: Tiếp cận theo mô hình S-O-R")</f>
        <v>Ảnh hưởng của quảng cáo bằng trí tuệ nhân tạo đến hành vi mua sắm ngẫu hứng của người tiêu dùng tại thành phố Hồ Chí Minh: Tiếp cận theo mô hình S-O-R</v>
      </c>
      <c r="D296" s="4" t="str">
        <f>IFERROR(__xludf.DUMMYFUNCTION("""COMPUTED_VALUE"""),"Nguyễn Thanh Huấn; Quach Thị Kim Chi; Trần Khánh Hưng; Nguyễn Thúy Nhiên; Nguyễn Thị Trinh")</f>
        <v>Nguyễn Thanh Huấn; Quach Thị Kim Chi; Trần Khánh Hưng; Nguyễn Thúy Nhiên; Nguyễn Thị Trinh</v>
      </c>
      <c r="E296" s="4" t="str">
        <f>IFERROR(__xludf.DUMMYFUNCTION("""COMPUTED_VALUE"""),"Trường Cao đẳng Công thương TP. Hồ Chí Minh")</f>
        <v>Trường Cao đẳng Công thương TP. Hồ Chí Minh</v>
      </c>
      <c r="F296" s="4" t="str">
        <f>IFERROR(__xludf.DUMMYFUNCTION("""COMPUTED_VALUE"""),"KTE2026-298.png")</f>
        <v>KTE2026-298.png</v>
      </c>
    </row>
    <row r="297">
      <c r="A297" s="4" t="str">
        <f>IFERROR(__xludf.DUMMYFUNCTION("""COMPUTED_VALUE"""),"KTE2026-299")</f>
        <v>KTE2026-299</v>
      </c>
      <c r="B297" s="4" t="str">
        <f>IFERROR(__xludf.DUMMYFUNCTION("""COMPUTED_VALUE"""),"Kinh tế")</f>
        <v>Kinh tế</v>
      </c>
      <c r="C297" s="4" t="str">
        <f>IFERROR(__xludf.DUMMYFUNCTION("""COMPUTED_VALUE"""),"Các yếu tố ảnh hưởng đến ý định chuyển đổi xanh trong doanh nghiệp logistics tại TP. Hồ Chí Minh giai đoạn 2021-2025")</f>
        <v>Các yếu tố ảnh hưởng đến ý định chuyển đổi xanh trong doanh nghiệp logistics tại TP. Hồ Chí Minh giai đoạn 2021-2025</v>
      </c>
      <c r="D297" s="4" t="str">
        <f>IFERROR(__xludf.DUMMYFUNCTION("""COMPUTED_VALUE"""),"Lê Nguyễn Phi Long; Trần Kim Ngân; Vũ Thị Trang")</f>
        <v>Lê Nguyễn Phi Long; Trần Kim Ngân; Vũ Thị Trang</v>
      </c>
      <c r="E297" s="4" t="str">
        <f>IFERROR(__xludf.DUMMYFUNCTION("""COMPUTED_VALUE"""),"Trường Đại học Thủ Dầu Một")</f>
        <v>Trường Đại học Thủ Dầu Một</v>
      </c>
      <c r="F297" s="4" t="str">
        <f>IFERROR(__xludf.DUMMYFUNCTION("""COMPUTED_VALUE"""),"KTE2026-299.png")</f>
        <v>KTE2026-299.png</v>
      </c>
    </row>
    <row r="298">
      <c r="A298" s="4" t="str">
        <f>IFERROR(__xludf.DUMMYFUNCTION("""COMPUTED_VALUE"""),"KTE2026-300")</f>
        <v>KTE2026-300</v>
      </c>
      <c r="B298" s="4" t="str">
        <f>IFERROR(__xludf.DUMMYFUNCTION("""COMPUTED_VALUE"""),"Kinh tế")</f>
        <v>Kinh tế</v>
      </c>
      <c r="C298" s="4" t="str">
        <f>IFERROR(__xludf.DUMMYFUNCTION("""COMPUTED_VALUE"""),"Các yếu tố tác động đến sự hài lòng của sinh viên Trường Đại học Thủ Dầu Một đối với dịch vụ chuyển phát nhanh J&amp;T Express")</f>
        <v>Các yếu tố tác động đến sự hài lòng của sinh viên Trường Đại học Thủ Dầu Một đối với dịch vụ chuyển phát nhanh J&amp;T Express</v>
      </c>
      <c r="D298" s="4" t="str">
        <f>IFERROR(__xludf.DUMMYFUNCTION("""COMPUTED_VALUE"""),"Lê Thị Mai; Lê Nguyễn Phi Long; Trần Kim Ngân; Dương Thị Khánh Ly")</f>
        <v>Lê Thị Mai; Lê Nguyễn Phi Long; Trần Kim Ngân; Dương Thị Khánh Ly</v>
      </c>
      <c r="E298" s="4" t="str">
        <f>IFERROR(__xludf.DUMMYFUNCTION("""COMPUTED_VALUE"""),"Trường Đại học Thủ Dầu Một")</f>
        <v>Trường Đại học Thủ Dầu Một</v>
      </c>
      <c r="F298" s="4" t="str">
        <f>IFERROR(__xludf.DUMMYFUNCTION("""COMPUTED_VALUE"""),"KTE2026-300.png")</f>
        <v>KTE2026-300.png</v>
      </c>
    </row>
    <row r="299">
      <c r="A299" s="4" t="str">
        <f>IFERROR(__xludf.DUMMYFUNCTION("""COMPUTED_VALUE"""),"KTE2026-301")</f>
        <v>KTE2026-301</v>
      </c>
      <c r="B299" s="4" t="str">
        <f>IFERROR(__xludf.DUMMYFUNCTION("""COMPUTED_VALUE"""),"Kinh tế")</f>
        <v>Kinh tế</v>
      </c>
      <c r="C299" s="4" t="str">
        <f>IFERROR(__xludf.DUMMYFUNCTION("""COMPUTED_VALUE"""),"The impact of blockchain-based traceability and perceived environmental practices on perceived greenwashing and purchase behavior of imported agricultural products in Vietnam: The role of green trust")</f>
        <v>The impact of blockchain-based traceability and perceived environmental practices on perceived greenwashing and purchase behavior of imported agricultural products in Vietnam: The role of green trust</v>
      </c>
      <c r="D299" s="4" t="str">
        <f>IFERROR(__xludf.DUMMYFUNCTION("""COMPUTED_VALUE"""),"Phan Khánh Linh; Hoàng Thị Quỳnh Hoa; Cao Như Huyền; Võ Thị Nhật Hoàng")</f>
        <v>Phan Khánh Linh; Hoàng Thị Quỳnh Hoa; Cao Như Huyền; Võ Thị Nhật Hoàng</v>
      </c>
      <c r="E299" s="4" t="str">
        <f>IFERROR(__xludf.DUMMYFUNCTION("""COMPUTED_VALUE"""),"Trường Đại học Kinh tế, Đại học Đà Nẵng")</f>
        <v>Trường Đại học Kinh tế, Đại học Đà Nẵng</v>
      </c>
      <c r="F299" s="4" t="str">
        <f>IFERROR(__xludf.DUMMYFUNCTION("""COMPUTED_VALUE"""),"KTE2026-301.png")</f>
        <v>KTE2026-301.png</v>
      </c>
    </row>
    <row r="300">
      <c r="A300" s="4" t="str">
        <f>IFERROR(__xludf.DUMMYFUNCTION("""COMPUTED_VALUE"""),"KTE2026-302")</f>
        <v>KTE2026-302</v>
      </c>
      <c r="B300" s="4" t="str">
        <f>IFERROR(__xludf.DUMMYFUNCTION("""COMPUTED_VALUE"""),"Kinh tế")</f>
        <v>Kinh tế</v>
      </c>
      <c r="C300" s="4" t="str">
        <f>IFERROR(__xludf.DUMMYFUNCTION("""COMPUTED_VALUE"""),"Nghiên cứu ảnh hưởng của mạng xã hội TikTok đến ý định mua hàng xanh của giới trẻ trên địa bàn Bắc Trung Bộ")</f>
        <v>Nghiên cứu ảnh hưởng của mạng xã hội TikTok đến ý định mua hàng xanh của giới trẻ trên địa bàn Bắc Trung Bộ</v>
      </c>
      <c r="D300" s="4" t="str">
        <f>IFERROR(__xludf.DUMMYFUNCTION("""COMPUTED_VALUE"""),"Trần Thị Trinh; Đinh Thị Thu Hà; Nguyễn Thị Hoa; Nguyễn Quỳnh Chi")</f>
        <v>Trần Thị Trinh; Đinh Thị Thu Hà; Nguyễn Thị Hoa; Nguyễn Quỳnh Chi</v>
      </c>
      <c r="E300" s="4" t="str">
        <f>IFERROR(__xludf.DUMMYFUNCTION("""COMPUTED_VALUE"""),"Trường Đại học Vinh")</f>
        <v>Trường Đại học Vinh</v>
      </c>
      <c r="F300" s="4" t="str">
        <f>IFERROR(__xludf.DUMMYFUNCTION("""COMPUTED_VALUE"""),"KTE2026-302.png")</f>
        <v>KTE2026-302.png</v>
      </c>
    </row>
    <row r="301">
      <c r="A301" s="4" t="str">
        <f>IFERROR(__xludf.DUMMYFUNCTION("""COMPUTED_VALUE"""),"KTE2026-303")</f>
        <v>KTE2026-303</v>
      </c>
      <c r="B301" s="4" t="str">
        <f>IFERROR(__xludf.DUMMYFUNCTION("""COMPUTED_VALUE"""),"Kinh tế")</f>
        <v>Kinh tế</v>
      </c>
      <c r="C301" s="4" t="str">
        <f>IFERROR(__xludf.DUMMYFUNCTION("""COMPUTED_VALUE"""),"Lãnh đạo hỗ trợ và kết quả làm việc của nhân viên bán thời gian trong ngành thực phẩm - đồ uống: Vai trò của sự hài lòng công việc và sự rõ ràng vai trò")</f>
        <v>Lãnh đạo hỗ trợ và kết quả làm việc của nhân viên bán thời gian trong ngành thực phẩm - đồ uống: Vai trò của sự hài lòng công việc và sự rõ ràng vai trò</v>
      </c>
      <c r="D301" s="4" t="str">
        <f>IFERROR(__xludf.DUMMYFUNCTION("""COMPUTED_VALUE"""),"Nguyễn Thị Ngọc Mai; Thân Thị Quỳnh Hương; Trần Nhật Phương; Huỳnh Duy Tùng; Vũ Ánh Tuyết")</f>
        <v>Nguyễn Thị Ngọc Mai; Thân Thị Quỳnh Hương; Trần Nhật Phương; Huỳnh Duy Tùng; Vũ Ánh Tuyết</v>
      </c>
      <c r="E301" s="4" t="str">
        <f>IFERROR(__xludf.DUMMYFUNCTION("""COMPUTED_VALUE"""),"Học viện Công nghệ Bưu chính Viễn thông")</f>
        <v>Học viện Công nghệ Bưu chính Viễn thông</v>
      </c>
      <c r="F301" s="4" t="str">
        <f>IFERROR(__xludf.DUMMYFUNCTION("""COMPUTED_VALUE"""),"KTE2026-303.png")</f>
        <v>KTE2026-303.png</v>
      </c>
    </row>
    <row r="302">
      <c r="A302" s="4" t="str">
        <f>IFERROR(__xludf.DUMMYFUNCTION("""COMPUTED_VALUE"""),"KTE2026-304")</f>
        <v>KTE2026-304</v>
      </c>
      <c r="B302" s="4" t="str">
        <f>IFERROR(__xludf.DUMMYFUNCTION("""COMPUTED_VALUE"""),"Kinh tế")</f>
        <v>Kinh tế</v>
      </c>
      <c r="C302" s="4" t="str">
        <f>IFERROR(__xludf.DUMMYFUNCTION("""COMPUTED_VALUE"""),"Augmentation or fallback? A dual-process model of AI autonomy and human-AI teaming in surrogate shopping")</f>
        <v>Augmentation or fallback? A dual-process model of AI autonomy and human-AI teaming in surrogate shopping</v>
      </c>
      <c r="D302" s="4" t="str">
        <f>IFERROR(__xludf.DUMMYFUNCTION("""COMPUTED_VALUE"""),"Lý Hoàng Anh; Phạm Ngọc Thanh Bình; Ngô Thị Khánh Nhi; Nguyễn Thiện Nhân")</f>
        <v>Lý Hoàng Anh; Phạm Ngọc Thanh Bình; Ngô Thị Khánh Nhi; Nguyễn Thiện Nhân</v>
      </c>
      <c r="E302" s="4" t="str">
        <f>IFERROR(__xludf.DUMMYFUNCTION("""COMPUTED_VALUE"""),"Đại học Kinh tế TP. Hồ Chí Minh")</f>
        <v>Đại học Kinh tế TP. Hồ Chí Minh</v>
      </c>
      <c r="F302" s="4" t="str">
        <f>IFERROR(__xludf.DUMMYFUNCTION("""COMPUTED_VALUE"""),"KTE2026-304.png")</f>
        <v>KTE2026-304.png</v>
      </c>
    </row>
    <row r="303">
      <c r="A303" s="4" t="str">
        <f>IFERROR(__xludf.DUMMYFUNCTION("""COMPUTED_VALUE"""),"KTE2026-305")</f>
        <v>KTE2026-305</v>
      </c>
      <c r="B303" s="4" t="str">
        <f>IFERROR(__xludf.DUMMYFUNCTION("""COMPUTED_VALUE"""),"Kinh tế")</f>
        <v>Kinh tế</v>
      </c>
      <c r="C303" s="4" t="str">
        <f>IFERROR(__xludf.DUMMYFUNCTION("""COMPUTED_VALUE"""),"Ảnh hưởng của độ ‘cool’ thương hiệu đến hành vi ủng hộ thương hiệu thông qua sở hữu tâm lý trong các cộng đồng thương hiệu ảo ngành thời trang")</f>
        <v>Ảnh hưởng của độ ‘cool’ thương hiệu đến hành vi ủng hộ thương hiệu thông qua sở hữu tâm lý trong các cộng đồng thương hiệu ảo ngành thời trang</v>
      </c>
      <c r="D303" s="4" t="str">
        <f>IFERROR(__xludf.DUMMYFUNCTION("""COMPUTED_VALUE"""),"Nguyễn Lê Vy")</f>
        <v>Nguyễn Lê Vy</v>
      </c>
      <c r="E303" s="4" t="str">
        <f>IFERROR(__xludf.DUMMYFUNCTION("""COMPUTED_VALUE"""),"Học viện Hàng không Việt Nam")</f>
        <v>Học viện Hàng không Việt Nam</v>
      </c>
      <c r="F303" s="4" t="str">
        <f>IFERROR(__xludf.DUMMYFUNCTION("""COMPUTED_VALUE"""),"KTE2026-305.png")</f>
        <v>KTE2026-305.png</v>
      </c>
    </row>
    <row r="304">
      <c r="A304" s="4" t="str">
        <f>IFERROR(__xludf.DUMMYFUNCTION("""COMPUTED_VALUE"""),"KTE2026-306")</f>
        <v>KTE2026-306</v>
      </c>
      <c r="B304" s="4" t="str">
        <f>IFERROR(__xludf.DUMMYFUNCTION("""COMPUTED_VALUE"""),"Kinh tế")</f>
        <v>Kinh tế</v>
      </c>
      <c r="C304" s="4" t="str">
        <f>IFERROR(__xludf.DUMMYFUNCTION("""COMPUTED_VALUE"""),"Tác động của đánh giá sao trong niềm tin cảm nhận khi mua sắm trực tuyến trên Shopee của người tiêu dùng trẻ khu vực thành phố Hồ Chí Minh")</f>
        <v>Tác động của đánh giá sao trong niềm tin cảm nhận khi mua sắm trực tuyến trên Shopee của người tiêu dùng trẻ khu vực thành phố Hồ Chí Minh</v>
      </c>
      <c r="D304" s="4" t="str">
        <f>IFERROR(__xludf.DUMMYFUNCTION("""COMPUTED_VALUE"""),"Trần Hoàng Hải; Mai Khánh Duy; Trần Lê Minh; Huỳnh Quốc Tuấn; Trần Trí Dũng")</f>
        <v>Trần Hoàng Hải; Mai Khánh Duy; Trần Lê Minh; Huỳnh Quốc Tuấn; Trần Trí Dũng</v>
      </c>
      <c r="E304" s="4" t="str">
        <f>IFERROR(__xludf.DUMMYFUNCTION("""COMPUTED_VALUE"""),"Học viện Công nghệ Bưu chính Viễn thông")</f>
        <v>Học viện Công nghệ Bưu chính Viễn thông</v>
      </c>
      <c r="F304" s="4" t="str">
        <f>IFERROR(__xludf.DUMMYFUNCTION("""COMPUTED_VALUE"""),"KTE2026-306.png")</f>
        <v>KTE2026-306.png</v>
      </c>
    </row>
    <row r="305">
      <c r="A305" s="4" t="str">
        <f>IFERROR(__xludf.DUMMYFUNCTION("""COMPUTED_VALUE"""),"KTE2026-307")</f>
        <v>KTE2026-307</v>
      </c>
      <c r="B305" s="4" t="str">
        <f>IFERROR(__xludf.DUMMYFUNCTION("""COMPUTED_VALUE"""),"Kinh tế")</f>
        <v>Kinh tế</v>
      </c>
      <c r="C305" s="4" t="str">
        <f>IFERROR(__xludf.DUMMYFUNCTION("""COMPUTED_VALUE"""),"Phản ứng bất cân xứng của người tiêu dùng đối với thương hiệu và KOL trong khủng hoảng quảng cáo sai lệch: Vai trò của tiêu điểm truyền thông và tính hai mặt của sự đồng nhất với KOL")</f>
        <v>Phản ứng bất cân xứng của người tiêu dùng đối với thương hiệu và KOL trong khủng hoảng quảng cáo sai lệch: Vai trò của tiêu điểm truyền thông và tính hai mặt của sự đồng nhất với KOL</v>
      </c>
      <c r="D305" s="4" t="str">
        <f>IFERROR(__xludf.DUMMYFUNCTION("""COMPUTED_VALUE"""),"Hứa Đức Trọng; Phan Mạnh Khải; Bùi Thị Cẩm Vân; Nguyễn Thanh Thảo Tiên; Huỳnh Trung Thiện")</f>
        <v>Hứa Đức Trọng; Phan Mạnh Khải; Bùi Thị Cẩm Vân; Nguyễn Thanh Thảo Tiên; Huỳnh Trung Thiện</v>
      </c>
      <c r="E305" s="4" t="str">
        <f>IFERROR(__xludf.DUMMYFUNCTION("""COMPUTED_VALUE"""),"Đại học Kinh tế TP. Hồ Chí Minh")</f>
        <v>Đại học Kinh tế TP. Hồ Chí Minh</v>
      </c>
      <c r="F305" s="4" t="str">
        <f>IFERROR(__xludf.DUMMYFUNCTION("""COMPUTED_VALUE"""),"KTE2026-307.png")</f>
        <v>KTE2026-307.png</v>
      </c>
    </row>
    <row r="306">
      <c r="A306" s="4" t="str">
        <f>IFERROR(__xludf.DUMMYFUNCTION("""COMPUTED_VALUE"""),"KTE2026-308")</f>
        <v>KTE2026-308</v>
      </c>
      <c r="B306" s="4" t="str">
        <f>IFERROR(__xludf.DUMMYFUNCTION("""COMPUTED_VALUE"""),"Kinh tế")</f>
        <v>Kinh tế</v>
      </c>
      <c r="C306" s="4" t="str">
        <f>IFERROR(__xludf.DUMMYFUNCTION("""COMPUTED_VALUE"""),"Các yếu tố ảnh hưởng đến niềm tin của Gen Z đối với thông tin ESG do doanh nghiệp truyền thông tại thành phố Hồ Chí Minh: Vai trò của nhận thức greenwashing")</f>
        <v>Các yếu tố ảnh hưởng đến niềm tin của Gen Z đối với thông tin ESG do doanh nghiệp truyền thông tại thành phố Hồ Chí Minh: Vai trò của nhận thức greenwashing</v>
      </c>
      <c r="D306" s="4" t="str">
        <f>IFERROR(__xludf.DUMMYFUNCTION("""COMPUTED_VALUE"""),"Hoàng Phương Uyên; Trần Thị Thanh Tâm")</f>
        <v>Hoàng Phương Uyên; Trần Thị Thanh Tâm</v>
      </c>
      <c r="E306" s="4" t="str">
        <f>IFERROR(__xludf.DUMMYFUNCTION("""COMPUTED_VALUE"""),"Học viện Công nghệ Bưu chính Viễn thông")</f>
        <v>Học viện Công nghệ Bưu chính Viễn thông</v>
      </c>
      <c r="F306" s="4" t="str">
        <f>IFERROR(__xludf.DUMMYFUNCTION("""COMPUTED_VALUE"""),"KTE2026-308.png")</f>
        <v>KTE2026-308.png</v>
      </c>
    </row>
    <row r="307">
      <c r="A307" s="4" t="str">
        <f>IFERROR(__xludf.DUMMYFUNCTION("""COMPUTED_VALUE"""),"KTE2026-309")</f>
        <v>KTE2026-309</v>
      </c>
      <c r="B307" s="4" t="str">
        <f>IFERROR(__xludf.DUMMYFUNCTION("""COMPUTED_VALUE"""),"Kinh tế")</f>
        <v>Kinh tế</v>
      </c>
      <c r="C307" s="4" t="str">
        <f>IFERROR(__xludf.DUMMYFUNCTION("""COMPUTED_VALUE"""),"Designing human-centered AI chatbots: How conversational humanization, consumer personality, and shopping goals shape purchase intention")</f>
        <v>Designing human-centered AI chatbots: How conversational humanization, consumer personality, and shopping goals shape purchase intention</v>
      </c>
      <c r="D307" s="4" t="str">
        <f>IFERROR(__xludf.DUMMYFUNCTION("""COMPUTED_VALUE"""),"Nguyễn Ngọc Minh Thư; Phạm Bảo Khánh Ngân; Châu Gia Linh; Võ Duy Hoàng")</f>
        <v>Nguyễn Ngọc Minh Thư; Phạm Bảo Khánh Ngân; Châu Gia Linh; Võ Duy Hoàng</v>
      </c>
      <c r="E307" s="4" t="str">
        <f>IFERROR(__xludf.DUMMYFUNCTION("""COMPUTED_VALUE"""),"Đại học Kinh tế TP. Hồ Chí Minh")</f>
        <v>Đại học Kinh tế TP. Hồ Chí Minh</v>
      </c>
      <c r="F307" s="4" t="str">
        <f>IFERROR(__xludf.DUMMYFUNCTION("""COMPUTED_VALUE"""),"KTE2026-309.png")</f>
        <v>KTE2026-309.png</v>
      </c>
    </row>
    <row r="308">
      <c r="A308" s="4" t="str">
        <f>IFERROR(__xludf.DUMMYFUNCTION("""COMPUTED_VALUE"""),"KTE2026-310")</f>
        <v>KTE2026-310</v>
      </c>
      <c r="B308" s="4" t="str">
        <f>IFERROR(__xludf.DUMMYFUNCTION("""COMPUTED_VALUE"""),"Kinh tế")</f>
        <v>Kinh tế</v>
      </c>
      <c r="C308" s="4" t="str">
        <f>IFERROR(__xludf.DUMMYFUNCTION("""COMPUTED_VALUE"""),"Các yếu tố ảnh hưởng đến hành vi mua ngẫu hứng trên nền tảng TikTok của Gen Z tại thành phố Hà Nội")</f>
        <v>Các yếu tố ảnh hưởng đến hành vi mua ngẫu hứng trên nền tảng TikTok của Gen Z tại thành phố Hà Nội</v>
      </c>
      <c r="D308" s="4" t="str">
        <f>IFERROR(__xludf.DUMMYFUNCTION("""COMPUTED_VALUE"""),"Nguyễn Đỗ Anh Thư; Nguyễn Thị Trà My; Lê Phương Linh; Nguyễn Thúy Hường; Dương Thị Hải Hà")</f>
        <v>Nguyễn Đỗ Anh Thư; Nguyễn Thị Trà My; Lê Phương Linh; Nguyễn Thúy Hường; Dương Thị Hải Hà</v>
      </c>
      <c r="E308" s="4" t="str">
        <f>IFERROR(__xludf.DUMMYFUNCTION("""COMPUTED_VALUE"""),"Trường Đại học Thủ đô Hà Nội")</f>
        <v>Trường Đại học Thủ đô Hà Nội</v>
      </c>
      <c r="F308" s="4" t="str">
        <f>IFERROR(__xludf.DUMMYFUNCTION("""COMPUTED_VALUE"""),"KTE2026-310.png")</f>
        <v>KTE2026-310.png</v>
      </c>
    </row>
    <row r="309">
      <c r="A309" s="4" t="str">
        <f>IFERROR(__xludf.DUMMYFUNCTION("""COMPUTED_VALUE"""),"KTE2026-311")</f>
        <v>KTE2026-311</v>
      </c>
      <c r="B309" s="4" t="str">
        <f>IFERROR(__xludf.DUMMYFUNCTION("""COMPUTED_VALUE"""),"Kinh tế")</f>
        <v>Kinh tế</v>
      </c>
      <c r="C309" s="4" t="str">
        <f>IFERROR(__xludf.DUMMYFUNCTION("""COMPUTED_VALUE"""),"Tích hợp mô hình UTAUT-TTF nhằm nghiên cứu các yếu tố thúc đẩy hành vi sử dụng tuyến metro số 1 cho mục đích du lịch văn hóa của du khách tại thành phố Hồ Chí Minh: Góc nhìn mới về vai trò của giao thông công cộng")</f>
        <v>Tích hợp mô hình UTAUT-TTF nhằm nghiên cứu các yếu tố thúc đẩy hành vi sử dụng tuyến metro số 1 cho mục đích du lịch văn hóa của du khách tại thành phố Hồ Chí Minh: Góc nhìn mới về vai trò của giao thông công cộng</v>
      </c>
      <c r="D309" s="4" t="str">
        <f>IFERROR(__xludf.DUMMYFUNCTION("""COMPUTED_VALUE"""),"Phan Nguyễn Xuân Mai; Hoàng Thái Khánh Huyền; Đỗ Thị Phương Thủy; Nguyễn Lê Phương Thuỳ")</f>
        <v>Phan Nguyễn Xuân Mai; Hoàng Thái Khánh Huyền; Đỗ Thị Phương Thủy; Nguyễn Lê Phương Thuỳ</v>
      </c>
      <c r="E309" s="4" t="str">
        <f>IFERROR(__xludf.DUMMYFUNCTION("""COMPUTED_VALUE"""),"Trường Đại học Tài chính - Marketing")</f>
        <v>Trường Đại học Tài chính - Marketing</v>
      </c>
      <c r="F309" s="4" t="str">
        <f>IFERROR(__xludf.DUMMYFUNCTION("""COMPUTED_VALUE"""),"KTE2026-311.png")</f>
        <v>KTE2026-311.png</v>
      </c>
    </row>
    <row r="310">
      <c r="A310" s="4" t="str">
        <f>IFERROR(__xludf.DUMMYFUNCTION("""COMPUTED_VALUE"""),"KTE2026-312")</f>
        <v>KTE2026-312</v>
      </c>
      <c r="B310" s="4" t="str">
        <f>IFERROR(__xludf.DUMMYFUNCTION("""COMPUTED_VALUE"""),"Kinh tế")</f>
        <v>Kinh tế</v>
      </c>
      <c r="C310" s="4" t="str">
        <f>IFERROR(__xludf.DUMMYFUNCTION("""COMPUTED_VALUE"""),"Ảnh hưởng của trí tuệ nhân tạo (AI) đến niềm tin thương hiệu của Gen Z tại thành phố Hồ Chí Minh")</f>
        <v>Ảnh hưởng của trí tuệ nhân tạo (AI) đến niềm tin thương hiệu của Gen Z tại thành phố Hồ Chí Minh</v>
      </c>
      <c r="D310" s="4" t="str">
        <f>IFERROR(__xludf.DUMMYFUNCTION("""COMPUTED_VALUE"""),"Đặng Hà Thanh; Phạm Thị Hà Trang; Lê Thị Yến Nhi; Phạm Thị Hồng Thủy")</f>
        <v>Đặng Hà Thanh; Phạm Thị Hà Trang; Lê Thị Yến Nhi; Phạm Thị Hồng Thủy</v>
      </c>
      <c r="E310" s="4" t="str">
        <f>IFERROR(__xludf.DUMMYFUNCTION("""COMPUTED_VALUE"""),"Học viện Công nghệ Bưu chính Viễn thông")</f>
        <v>Học viện Công nghệ Bưu chính Viễn thông</v>
      </c>
      <c r="F310" s="4" t="str">
        <f>IFERROR(__xludf.DUMMYFUNCTION("""COMPUTED_VALUE"""),"KTE2026-312.png")</f>
        <v>KTE2026-312.png</v>
      </c>
    </row>
    <row r="311">
      <c r="A311" s="4" t="str">
        <f>IFERROR(__xludf.DUMMYFUNCTION("""COMPUTED_VALUE"""),"KTE2026-313")</f>
        <v>KTE2026-313</v>
      </c>
      <c r="B311" s="4" t="str">
        <f>IFERROR(__xludf.DUMMYFUNCTION("""COMPUTED_VALUE"""),"Kinh tế")</f>
        <v>Kinh tế</v>
      </c>
      <c r="C311" s="4" t="str">
        <f>IFERROR(__xludf.DUMMYFUNCTION("""COMPUTED_VALUE"""),"Các yếu tố ảnh hưởng đến ý định sử dụng phương thức thanh toán mua trước trả sau (BNPL) trong mua sắm trực tuyến của người tiêu dùng tại thành phố Hồ Chí Minh")</f>
        <v>Các yếu tố ảnh hưởng đến ý định sử dụng phương thức thanh toán mua trước trả sau (BNPL) trong mua sắm trực tuyến của người tiêu dùng tại thành phố Hồ Chí Minh</v>
      </c>
      <c r="D311" s="4" t="str">
        <f>IFERROR(__xludf.DUMMYFUNCTION("""COMPUTED_VALUE"""),"Trần Ngọc Vấn; Hồ Thị Cẩm Tiên; Phùng Thị Thùy Như; Trần Quang Phát Huy")</f>
        <v>Trần Ngọc Vấn; Hồ Thị Cẩm Tiên; Phùng Thị Thùy Như; Trần Quang Phát Huy</v>
      </c>
      <c r="E311" s="4" t="str">
        <f>IFERROR(__xludf.DUMMYFUNCTION("""COMPUTED_VALUE"""),"Trường Đại học Công Thương TP. Hồ Chí Minh")</f>
        <v>Trường Đại học Công Thương TP. Hồ Chí Minh</v>
      </c>
      <c r="F311" s="4" t="str">
        <f>IFERROR(__xludf.DUMMYFUNCTION("""COMPUTED_VALUE"""),"KTE2026-313.png")</f>
        <v>KTE2026-313.png</v>
      </c>
    </row>
    <row r="312">
      <c r="A312" s="4" t="str">
        <f>IFERROR(__xludf.DUMMYFUNCTION("""COMPUTED_VALUE"""),"KTE2026-314")</f>
        <v>KTE2026-314</v>
      </c>
      <c r="B312" s="4" t="str">
        <f>IFERROR(__xludf.DUMMYFUNCTION("""COMPUTED_VALUE"""),"Kinh tế")</f>
        <v>Kinh tế</v>
      </c>
      <c r="C312" s="4" t="str">
        <f>IFERROR(__xludf.DUMMYFUNCTION("""COMPUTED_VALUE"""),"Nghiên cứu ý định mua sản phẩm xanh của thế hệ z dưới tác động của đánh giá video từ người có sức ảnh hưởng: Tái định vị vai trò hoài nghi quảng cáo xanh")</f>
        <v>Nghiên cứu ý định mua sản phẩm xanh của thế hệ z dưới tác động của đánh giá video từ người có sức ảnh hưởng: Tái định vị vai trò hoài nghi quảng cáo xanh</v>
      </c>
      <c r="D312" s="4" t="str">
        <f>IFERROR(__xludf.DUMMYFUNCTION("""COMPUTED_VALUE"""),"Trần Trung Kiên; Lê Trần Thục Như")</f>
        <v>Trần Trung Kiên; Lê Trần Thục Như</v>
      </c>
      <c r="E312" s="4" t="str">
        <f>IFERROR(__xludf.DUMMYFUNCTION("""COMPUTED_VALUE"""),"Trường Đại học Tài chính - Marketing")</f>
        <v>Trường Đại học Tài chính - Marketing</v>
      </c>
      <c r="F312" s="4" t="str">
        <f>IFERROR(__xludf.DUMMYFUNCTION("""COMPUTED_VALUE"""),"KTE2026-314.png")</f>
        <v>KTE2026-314.png</v>
      </c>
    </row>
    <row r="313">
      <c r="A313" s="4" t="str">
        <f>IFERROR(__xludf.DUMMYFUNCTION("""COMPUTED_VALUE"""),"KTE2026-315")</f>
        <v>KTE2026-315</v>
      </c>
      <c r="B313" s="4" t="str">
        <f>IFERROR(__xludf.DUMMYFUNCTION("""COMPUTED_VALUE"""),"Kinh tế")</f>
        <v>Kinh tế</v>
      </c>
      <c r="C313" s="4" t="str">
        <f>IFERROR(__xludf.DUMMYFUNCTION("""COMPUTED_VALUE"""),"Các yếu tố ảnh hưởng đến quyết định mua sắm trực tuyến hàng tiêu dùng nhanh (FMCG) của sinh viên tại thành phố Hồ Chí Minh: Sự phát triển của FMCG trong chuyển đổi số")</f>
        <v>Các yếu tố ảnh hưởng đến quyết định mua sắm trực tuyến hàng tiêu dùng nhanh (FMCG) của sinh viên tại thành phố Hồ Chí Minh: Sự phát triển của FMCG trong chuyển đổi số</v>
      </c>
      <c r="D313" s="4" t="str">
        <f>IFERROR(__xludf.DUMMYFUNCTION("""COMPUTED_VALUE"""),"Trương Quang Khải; Nguyễn Hoàng Lan Nhi; Đỗ Bảo Nguyên")</f>
        <v>Trương Quang Khải; Nguyễn Hoàng Lan Nhi; Đỗ Bảo Nguyên</v>
      </c>
      <c r="E313" s="4" t="str">
        <f>IFERROR(__xludf.DUMMYFUNCTION("""COMPUTED_VALUE"""),"Học viện Công nghệ Bưu chính Viễn thông")</f>
        <v>Học viện Công nghệ Bưu chính Viễn thông</v>
      </c>
      <c r="F313" s="4" t="str">
        <f>IFERROR(__xludf.DUMMYFUNCTION("""COMPUTED_VALUE"""),"KTE2026-315.png")</f>
        <v>KTE2026-315.png</v>
      </c>
    </row>
    <row r="314">
      <c r="A314" s="4" t="str">
        <f>IFERROR(__xludf.DUMMYFUNCTION("""COMPUTED_VALUE"""),"KTE2026-316")</f>
        <v>KTE2026-316</v>
      </c>
      <c r="B314" s="4" t="str">
        <f>IFERROR(__xludf.DUMMYFUNCTION("""COMPUTED_VALUE"""),"Kinh tế")</f>
        <v>Kinh tế</v>
      </c>
      <c r="C314" s="4" t="str">
        <f>IFERROR(__xludf.DUMMYFUNCTION("""COMPUTED_VALUE"""),"Các yếu tố quyết định sự thành công của việc triển khai bảo trì năng suất toàn diện (TPM) tại các doanh nghiệp sản xuất ở Việt Nam")</f>
        <v>Các yếu tố quyết định sự thành công của việc triển khai bảo trì năng suất toàn diện (TPM) tại các doanh nghiệp sản xuất ở Việt Nam</v>
      </c>
      <c r="D314" s="4" t="str">
        <f>IFERROR(__xludf.DUMMYFUNCTION("""COMPUTED_VALUE"""),"Lưu Nguyễn Thảo Nguyên; Định Tuấn; Vũ Thanh Tùng")</f>
        <v>Lưu Nguyễn Thảo Nguyên; Định Tuấn; Vũ Thanh Tùng</v>
      </c>
      <c r="E314" s="4" t="str">
        <f>IFERROR(__xludf.DUMMYFUNCTION("""COMPUTED_VALUE"""),"Trường Đại học Công nghệ Kỹ thuật TP. Hồ Chí Minh")</f>
        <v>Trường Đại học Công nghệ Kỹ thuật TP. Hồ Chí Minh</v>
      </c>
      <c r="F314" s="4" t="str">
        <f>IFERROR(__xludf.DUMMYFUNCTION("""COMPUTED_VALUE"""),"KTE2026-316.png")</f>
        <v>KTE2026-316.png</v>
      </c>
    </row>
    <row r="315">
      <c r="A315" s="4" t="str">
        <f>IFERROR(__xludf.DUMMYFUNCTION("""COMPUTED_VALUE"""),"KTE2026-317")</f>
        <v>KTE2026-317</v>
      </c>
      <c r="B315" s="4" t="str">
        <f>IFERROR(__xludf.DUMMYFUNCTION("""COMPUTED_VALUE"""),"Kinh tế")</f>
        <v>Kinh tế</v>
      </c>
      <c r="C315" s="4" t="str">
        <f>IFERROR(__xludf.DUMMYFUNCTION("""COMPUTED_VALUE"""),"Các yếu tố tác động đến ý định tham gia thương mại điện tử xuyên biên giới của giới trẻ Việt Nam")</f>
        <v>Các yếu tố tác động đến ý định tham gia thương mại điện tử xuyên biên giới của giới trẻ Việt Nam</v>
      </c>
      <c r="D315" s="4" t="str">
        <f>IFERROR(__xludf.DUMMYFUNCTION("""COMPUTED_VALUE"""),"Đặng Phúc Thiên; Nguyễn Hoàng Dung; Trương Nhật Trường; Mai Khánh Thuận")</f>
        <v>Đặng Phúc Thiên; Nguyễn Hoàng Dung; Trương Nhật Trường; Mai Khánh Thuận</v>
      </c>
      <c r="E315" s="4" t="str">
        <f>IFERROR(__xludf.DUMMYFUNCTION("""COMPUTED_VALUE"""),"Trường Đại học Công nghệ Kỹ thuật TP. Hồ Chí Minh")</f>
        <v>Trường Đại học Công nghệ Kỹ thuật TP. Hồ Chí Minh</v>
      </c>
      <c r="F315" s="4" t="str">
        <f>IFERROR(__xludf.DUMMYFUNCTION("""COMPUTED_VALUE"""),"KTE2026-317.png")</f>
        <v>KTE2026-317.png</v>
      </c>
    </row>
    <row r="316">
      <c r="A316" s="4" t="str">
        <f>IFERROR(__xludf.DUMMYFUNCTION("""COMPUTED_VALUE"""),"KTE2026-318")</f>
        <v>KTE2026-318</v>
      </c>
      <c r="B316" s="4" t="str">
        <f>IFERROR(__xludf.DUMMYFUNCTION("""COMPUTED_VALUE"""),"Kinh tế")</f>
        <v>Kinh tế</v>
      </c>
      <c r="C316" s="4" t="str">
        <f>IFERROR(__xludf.DUMMYFUNCTION("""COMPUTED_VALUE"""),"Giải mã greenwashing qua cơ chế nhận thức - cảm xúc - hành vi. Vai trò trung gian của niềm tin trong việc hình thành ý định mua hàng xanh của người tiêu dùng tại thành phố Hồ Chí Minh")</f>
        <v>Giải mã greenwashing qua cơ chế nhận thức - cảm xúc - hành vi. Vai trò trung gian của niềm tin trong việc hình thành ý định mua hàng xanh của người tiêu dùng tại thành phố Hồ Chí Minh</v>
      </c>
      <c r="D316" s="4" t="str">
        <f>IFERROR(__xludf.DUMMYFUNCTION("""COMPUTED_VALUE"""),"Trần Thị Kim Ngân; Đinh Ngọc Tuyền; Phạm Thị Thơm; Võ Thị Cẩm Tú")</f>
        <v>Trần Thị Kim Ngân; Đinh Ngọc Tuyền; Phạm Thị Thơm; Võ Thị Cẩm Tú</v>
      </c>
      <c r="E316" s="4" t="str">
        <f>IFERROR(__xludf.DUMMYFUNCTION("""COMPUTED_VALUE"""),"Trường Đại học Công nghệ Kỹ thuật TP. Hồ Chí Minh")</f>
        <v>Trường Đại học Công nghệ Kỹ thuật TP. Hồ Chí Minh</v>
      </c>
      <c r="F316" s="4" t="str">
        <f>IFERROR(__xludf.DUMMYFUNCTION("""COMPUTED_VALUE"""),"KTE2026-318.png")</f>
        <v>KTE2026-318.png</v>
      </c>
    </row>
    <row r="317">
      <c r="A317" s="4" t="str">
        <f>IFERROR(__xludf.DUMMYFUNCTION("""COMPUTED_VALUE"""),"KTE2026-319")</f>
        <v>KTE2026-319</v>
      </c>
      <c r="B317" s="4" t="str">
        <f>IFERROR(__xludf.DUMMYFUNCTION("""COMPUTED_VALUE"""),"Kinh tế")</f>
        <v>Kinh tế</v>
      </c>
      <c r="C317" s="4" t="str">
        <f>IFERROR(__xludf.DUMMYFUNCTION("""COMPUTED_VALUE"""),"Physical versus mental humanlikeness: Which drives purchase intention? The moderating role of luminary in virtual influencer marketing")</f>
        <v>Physical versus mental humanlikeness: Which drives purchase intention? The moderating role of luminary in virtual influencer marketing</v>
      </c>
      <c r="D317" s="4" t="str">
        <f>IFERROR(__xludf.DUMMYFUNCTION("""COMPUTED_VALUE"""),"Nguyễn Anh Phương; Lê Trần Thanh Tú; Nguyễn Hoàng Cát Tiên")</f>
        <v>Nguyễn Anh Phương; Lê Trần Thanh Tú; Nguyễn Hoàng Cát Tiên</v>
      </c>
      <c r="E317" s="4" t="str">
        <f>IFERROR(__xludf.DUMMYFUNCTION("""COMPUTED_VALUE"""),"Trường Đại học FPT")</f>
        <v>Trường Đại học FPT</v>
      </c>
      <c r="F317" s="4" t="str">
        <f>IFERROR(__xludf.DUMMYFUNCTION("""COMPUTED_VALUE"""),"KTE2026-319.png")</f>
        <v>KTE2026-319.png</v>
      </c>
    </row>
    <row r="318">
      <c r="A318" s="4" t="str">
        <f>IFERROR(__xludf.DUMMYFUNCTION("""COMPUTED_VALUE"""),"KTE2026-320")</f>
        <v>KTE2026-320</v>
      </c>
      <c r="B318" s="4" t="str">
        <f>IFERROR(__xludf.DUMMYFUNCTION("""COMPUTED_VALUE"""),"Kinh tế")</f>
        <v>Kinh tế</v>
      </c>
      <c r="C318" s="4" t="str">
        <f>IFERROR(__xludf.DUMMYFUNCTION("""COMPUTED_VALUE"""),"Ảnh hưởng của logistics xanh đến sự hài lòng và sự trung thành của thế hệ trẻ tại thành phố Hồ Chí Minh trong mua sắm trực tuyến")</f>
        <v>Ảnh hưởng của logistics xanh đến sự hài lòng và sự trung thành của thế hệ trẻ tại thành phố Hồ Chí Minh trong mua sắm trực tuyến</v>
      </c>
      <c r="D318" s="4" t="str">
        <f>IFERROR(__xludf.DUMMYFUNCTION("""COMPUTED_VALUE"""),"Nguyễn Thị Cẩm Nhung; Nguyễn Lê Hồng Phường; Nguyễn Trần Lệ Quyên")</f>
        <v>Nguyễn Thị Cẩm Nhung; Nguyễn Lê Hồng Phường; Nguyễn Trần Lệ Quyên</v>
      </c>
      <c r="E318" s="4" t="str">
        <f>IFERROR(__xludf.DUMMYFUNCTION("""COMPUTED_VALUE"""),"Trường Đại học Công Thương TP. Hồ Chí Minh")</f>
        <v>Trường Đại học Công Thương TP. Hồ Chí Minh</v>
      </c>
      <c r="F318" s="4" t="str">
        <f>IFERROR(__xludf.DUMMYFUNCTION("""COMPUTED_VALUE"""),"KTE2026-320.png")</f>
        <v>KTE2026-320.png</v>
      </c>
    </row>
    <row r="319">
      <c r="A319" s="4" t="str">
        <f>IFERROR(__xludf.DUMMYFUNCTION("""COMPUTED_VALUE"""),"KTE2026-321")</f>
        <v>KTE2026-321</v>
      </c>
      <c r="B319" s="4" t="str">
        <f>IFERROR(__xludf.DUMMYFUNCTION("""COMPUTED_VALUE"""),"Kinh tế")</f>
        <v>Kinh tế</v>
      </c>
      <c r="C319" s="4" t="str">
        <f>IFERROR(__xludf.DUMMYFUNCTION("""COMPUTED_VALUE"""),"Ảnh hưởng của greenwashing đến ý định mua hàng xanh của người tiêu dùng tại thành phố Hồ Chí Minh")</f>
        <v>Ảnh hưởng của greenwashing đến ý định mua hàng xanh của người tiêu dùng tại thành phố Hồ Chí Minh</v>
      </c>
      <c r="D319" s="4" t="str">
        <f>IFERROR(__xludf.DUMMYFUNCTION("""COMPUTED_VALUE"""),"Nguyễn Thanh Tân; Nguyễn Hoàng Mai Duyên; Lê Thị Triệu Vi; Trần Thị Mai Quỳnh")</f>
        <v>Nguyễn Thanh Tân; Nguyễn Hoàng Mai Duyên; Lê Thị Triệu Vi; Trần Thị Mai Quỳnh</v>
      </c>
      <c r="E319" s="4" t="str">
        <f>IFERROR(__xludf.DUMMYFUNCTION("""COMPUTED_VALUE"""),"Trường Đại học Công Thương TP. Hồ Chí Minh")</f>
        <v>Trường Đại học Công Thương TP. Hồ Chí Minh</v>
      </c>
      <c r="F319" s="4" t="str">
        <f>IFERROR(__xludf.DUMMYFUNCTION("""COMPUTED_VALUE"""),"KTE2026-321.png")</f>
        <v>KTE2026-321.png</v>
      </c>
    </row>
    <row r="320">
      <c r="A320" s="4" t="str">
        <f>IFERROR(__xludf.DUMMYFUNCTION("""COMPUTED_VALUE"""),"KTE2026-322")</f>
        <v>KTE2026-322</v>
      </c>
      <c r="B320" s="4" t="str">
        <f>IFERROR(__xludf.DUMMYFUNCTION("""COMPUTED_VALUE"""),"Kinh tế")</f>
        <v>Kinh tế</v>
      </c>
      <c r="C320" s="4" t="str">
        <f>IFERROR(__xludf.DUMMYFUNCTION("""COMPUTED_VALUE"""),"Ảnh hưởng của nỗi sợ bỏ lỡ và tình yêu thương hiệu đến hành vi mua sắm cưỡng chế đối với Gen Z tại thành phố Hồ Chí Minh: Vai trò trung gian của niềm đam mê thương hiệu cưỡng bức")</f>
        <v>Ảnh hưởng của nỗi sợ bỏ lỡ và tình yêu thương hiệu đến hành vi mua sắm cưỡng chế đối với Gen Z tại thành phố Hồ Chí Minh: Vai trò trung gian của niềm đam mê thương hiệu cưỡng bức</v>
      </c>
      <c r="D320" s="4" t="str">
        <f>IFERROR(__xludf.DUMMYFUNCTION("""COMPUTED_VALUE"""),"Nguyễn Quang Bình; Lý Gia Huy; Ngô Thị Diễm Hương; Nguyễn Vũ Khánh Ngân; Nguyễn Ngọc Kim Thư")</f>
        <v>Nguyễn Quang Bình; Lý Gia Huy; Ngô Thị Diễm Hương; Nguyễn Vũ Khánh Ngân; Nguyễn Ngọc Kim Thư</v>
      </c>
      <c r="E320" s="4" t="str">
        <f>IFERROR(__xludf.DUMMYFUNCTION("""COMPUTED_VALUE"""),"Trường Đại học Tài chính - Marketing")</f>
        <v>Trường Đại học Tài chính - Marketing</v>
      </c>
      <c r="F320" s="4" t="str">
        <f>IFERROR(__xludf.DUMMYFUNCTION("""COMPUTED_VALUE"""),"KTE2026-322.png")</f>
        <v>KTE2026-322.png</v>
      </c>
    </row>
    <row r="321">
      <c r="A321" s="4" t="str">
        <f>IFERROR(__xludf.DUMMYFUNCTION("""COMPUTED_VALUE"""),"KTE2026-323")</f>
        <v>KTE2026-323</v>
      </c>
      <c r="B321" s="4" t="str">
        <f>IFERROR(__xludf.DUMMYFUNCTION("""COMPUTED_VALUE"""),"Kinh tế")</f>
        <v>Kinh tế</v>
      </c>
      <c r="C321" s="4" t="str">
        <f>IFERROR(__xludf.DUMMYFUNCTION("""COMPUTED_VALUE"""),"Thương hiệu cá nhân trên TikTok Shop và tác động đến hành vi mua hàng online của Gen Z Việt Nam")</f>
        <v>Thương hiệu cá nhân trên TikTok Shop và tác động đến hành vi mua hàng online của Gen Z Việt Nam</v>
      </c>
      <c r="D321" s="4" t="str">
        <f>IFERROR(__xludf.DUMMYFUNCTION("""COMPUTED_VALUE"""),"Bùi Thị Thu Nguyên")</f>
        <v>Bùi Thị Thu Nguyên</v>
      </c>
      <c r="E321" s="4" t="str">
        <f>IFERROR(__xludf.DUMMYFUNCTION("""COMPUTED_VALUE"""),"Trường Đại học Hải Phòng")</f>
        <v>Trường Đại học Hải Phòng</v>
      </c>
      <c r="F321" s="4" t="str">
        <f>IFERROR(__xludf.DUMMYFUNCTION("""COMPUTED_VALUE"""),"KTE2026-323.png")</f>
        <v>KTE2026-323.png</v>
      </c>
    </row>
    <row r="322">
      <c r="A322" s="4" t="str">
        <f>IFERROR(__xludf.DUMMYFUNCTION("""COMPUTED_VALUE"""),"KTE2026-324")</f>
        <v>KTE2026-324</v>
      </c>
      <c r="B322" s="4" t="str">
        <f>IFERROR(__xludf.DUMMYFUNCTION("""COMPUTED_VALUE"""),"Kinh tế")</f>
        <v>Kinh tế</v>
      </c>
      <c r="C322" s="4" t="str">
        <f>IFERROR(__xludf.DUMMYFUNCTION("""COMPUTED_VALUE"""),"Tác động của sự tương tác với trí tuệ nhân tạo tạo sinh (GAI) đến kết quả học tập của sinh viên tại Đồng Nai: Vai trò trung gian của sự gắn kết học tập")</f>
        <v>Tác động của sự tương tác với trí tuệ nhân tạo tạo sinh (GAI) đến kết quả học tập của sinh viên tại Đồng Nai: Vai trò trung gian của sự gắn kết học tập</v>
      </c>
      <c r="D322" s="4" t="str">
        <f>IFERROR(__xludf.DUMMYFUNCTION("""COMPUTED_VALUE"""),"Đỗ Nguyễn Thảo Vân; Nguyễn Thị Khánh Linh")</f>
        <v>Đỗ Nguyễn Thảo Vân; Nguyễn Thị Khánh Linh</v>
      </c>
      <c r="E322" s="4" t="str">
        <f>IFERROR(__xludf.DUMMYFUNCTION("""COMPUTED_VALUE"""),"Trường Đại học Lạc Hồng")</f>
        <v>Trường Đại học Lạc Hồng</v>
      </c>
      <c r="F322" s="4" t="str">
        <f>IFERROR(__xludf.DUMMYFUNCTION("""COMPUTED_VALUE"""),"KTE2026-324.png")</f>
        <v>KTE2026-324.png</v>
      </c>
    </row>
    <row r="323">
      <c r="A323" s="4" t="str">
        <f>IFERROR(__xludf.DUMMYFUNCTION("""COMPUTED_VALUE"""),"KTE2026-325")</f>
        <v>KTE2026-325</v>
      </c>
      <c r="B323" s="4" t="str">
        <f>IFERROR(__xludf.DUMMYFUNCTION("""COMPUTED_VALUE"""),"Kinh tế")</f>
        <v>Kinh tế</v>
      </c>
      <c r="C323" s="4" t="str">
        <f>IFERROR(__xludf.DUMMYFUNCTION("""COMPUTED_VALUE"""),"The impact of electronic word-of-mouth on enrollment intention at an IELTS training center")</f>
        <v>The impact of electronic word-of-mouth on enrollment intention at an IELTS training center</v>
      </c>
      <c r="D323" s="4" t="str">
        <f>IFERROR(__xludf.DUMMYFUNCTION("""COMPUTED_VALUE"""),"Ngô Phước Tài")</f>
        <v>Ngô Phước Tài</v>
      </c>
      <c r="E323" s="4" t="str">
        <f>IFERROR(__xludf.DUMMYFUNCTION("""COMPUTED_VALUE"""),"Trường Đại học Ngoại ngữ - Tin học TP. Hồ Chí Minh")</f>
        <v>Trường Đại học Ngoại ngữ - Tin học TP. Hồ Chí Minh</v>
      </c>
      <c r="F323" s="4" t="str">
        <f>IFERROR(__xludf.DUMMYFUNCTION("""COMPUTED_VALUE"""),"KTE2026-325.png")</f>
        <v>KTE2026-325.png</v>
      </c>
    </row>
    <row r="324">
      <c r="A324" s="4" t="str">
        <f>IFERROR(__xludf.DUMMYFUNCTION("""COMPUTED_VALUE"""),"KTE2026-326")</f>
        <v>KTE2026-326</v>
      </c>
      <c r="B324" s="4" t="str">
        <f>IFERROR(__xludf.DUMMYFUNCTION("""COMPUTED_VALUE"""),"Kinh tế")</f>
        <v>Kinh tế</v>
      </c>
      <c r="C324" s="4" t="str">
        <f>IFERROR(__xludf.DUMMYFUNCTION("""COMPUTED_VALUE"""),"Perceived pun characteristics and electronic word-of-mouth intention in social commerce advertising")</f>
        <v>Perceived pun characteristics and electronic word-of-mouth intention in social commerce advertising</v>
      </c>
      <c r="D324" s="4" t="str">
        <f>IFERROR(__xludf.DUMMYFUNCTION("""COMPUTED_VALUE"""),"Nguyễn Hồng Phúc")</f>
        <v>Nguyễn Hồng Phúc</v>
      </c>
      <c r="E324" s="4" t="str">
        <f>IFERROR(__xludf.DUMMYFUNCTION("""COMPUTED_VALUE"""),"Trường Đại học Ngoại ngữ - Tin học TP. Hồ Chí Minh")</f>
        <v>Trường Đại học Ngoại ngữ - Tin học TP. Hồ Chí Minh</v>
      </c>
      <c r="F324" s="4" t="str">
        <f>IFERROR(__xludf.DUMMYFUNCTION("""COMPUTED_VALUE"""),"KTE2026-326.png")</f>
        <v>KTE2026-326.png</v>
      </c>
    </row>
    <row r="325">
      <c r="A325" s="4" t="str">
        <f>IFERROR(__xludf.DUMMYFUNCTION("""COMPUTED_VALUE"""),"KTE2026-327")</f>
        <v>KTE2026-327</v>
      </c>
      <c r="B325" s="4" t="str">
        <f>IFERROR(__xludf.DUMMYFUNCTION("""COMPUTED_VALUE"""),"Kinh tế")</f>
        <v>Kinh tế</v>
      </c>
      <c r="C325" s="4" t="str">
        <f>IFERROR(__xludf.DUMMYFUNCTION("""COMPUTED_VALUE"""),"Phygital museum experience and cultural engagement (Gen Z)")</f>
        <v>Phygital museum experience and cultural engagement (Gen Z)</v>
      </c>
      <c r="D325" s="4" t="str">
        <f>IFERROR(__xludf.DUMMYFUNCTION("""COMPUTED_VALUE"""),"Nguyễn Võ Yến Phương")</f>
        <v>Nguyễn Võ Yến Phương</v>
      </c>
      <c r="E325" s="4" t="str">
        <f>IFERROR(__xludf.DUMMYFUNCTION("""COMPUTED_VALUE"""),"Trường Đại học Ngoại ngữ - Tin học TP. Hồ Chí Minh")</f>
        <v>Trường Đại học Ngoại ngữ - Tin học TP. Hồ Chí Minh</v>
      </c>
      <c r="F325" s="4" t="str">
        <f>IFERROR(__xludf.DUMMYFUNCTION("""COMPUTED_VALUE"""),"KTE2026-327.png")</f>
        <v>KTE2026-327.png</v>
      </c>
    </row>
    <row r="326">
      <c r="A326" s="4" t="str">
        <f>IFERROR(__xludf.DUMMYFUNCTION("""COMPUTED_VALUE"""),"KTE2026-328")</f>
        <v>KTE2026-328</v>
      </c>
      <c r="B326" s="4" t="str">
        <f>IFERROR(__xludf.DUMMYFUNCTION("""COMPUTED_VALUE"""),"Kinh tế")</f>
        <v>Kinh tế</v>
      </c>
      <c r="C326" s="4" t="str">
        <f>IFERROR(__xludf.DUMMYFUNCTION("""COMPUTED_VALUE"""),"Impulsive to compulsive: A study on the factors affecting buying behavior on TikTok Live and its potential progression to compulsive buying among Vietnam youth")</f>
        <v>Impulsive to compulsive: A study on the factors affecting buying behavior on TikTok Live and its potential progression to compulsive buying among Vietnam youth</v>
      </c>
      <c r="D326" s="4" t="str">
        <f>IFERROR(__xludf.DUMMYFUNCTION("""COMPUTED_VALUE"""),"Nguyễn Thị Thanh Hiền; Đàm Thị Mỹ Tâm; Phạm Anh Thy; Nguyễn Thị Phương Uyên")</f>
        <v>Nguyễn Thị Thanh Hiền; Đàm Thị Mỹ Tâm; Phạm Anh Thy; Nguyễn Thị Phương Uyên</v>
      </c>
      <c r="E326" s="4" t="str">
        <f>IFERROR(__xludf.DUMMYFUNCTION("""COMPUTED_VALUE"""),"Viện Nghiên cứu và Đào tạo Việt - Anh, Đại học Đà Nẵng")</f>
        <v>Viện Nghiên cứu và Đào tạo Việt - Anh, Đại học Đà Nẵng</v>
      </c>
      <c r="F326" s="4" t="str">
        <f>IFERROR(__xludf.DUMMYFUNCTION("""COMPUTED_VALUE"""),"KTE2026-328.png")</f>
        <v>KTE2026-328.png</v>
      </c>
    </row>
    <row r="327">
      <c r="A327" s="4" t="str">
        <f>IFERROR(__xludf.DUMMYFUNCTION("""COMPUTED_VALUE"""),"KTE2026-329")</f>
        <v>KTE2026-329</v>
      </c>
      <c r="B327" s="4" t="str">
        <f>IFERROR(__xludf.DUMMYFUNCTION("""COMPUTED_VALUE"""),"Kinh tế")</f>
        <v>Kinh tế</v>
      </c>
      <c r="C327" s="4" t="str">
        <f>IFERROR(__xludf.DUMMYFUNCTION("""COMPUTED_VALUE"""),"Exploring how AI chatbots influence customer loyalty among generation Z on e-commerce platforms")</f>
        <v>Exploring how AI chatbots influence customer loyalty among generation Z on e-commerce platforms</v>
      </c>
      <c r="D327" s="4" t="str">
        <f>IFERROR(__xludf.DUMMYFUNCTION("""COMPUTED_VALUE"""),"Phạm Trần Cát Tường")</f>
        <v>Phạm Trần Cát Tường</v>
      </c>
      <c r="E327" s="4" t="str">
        <f>IFERROR(__xludf.DUMMYFUNCTION("""COMPUTED_VALUE"""),"Trường Đại học Ngoại ngữ - Tin học TP. Hồ Chí Minh")</f>
        <v>Trường Đại học Ngoại ngữ - Tin học TP. Hồ Chí Minh</v>
      </c>
      <c r="F327" s="4" t="str">
        <f>IFERROR(__xludf.DUMMYFUNCTION("""COMPUTED_VALUE"""),"KTE2026-329.png")</f>
        <v>KTE2026-329.png</v>
      </c>
    </row>
    <row r="328">
      <c r="A328" s="4" t="str">
        <f>IFERROR(__xludf.DUMMYFUNCTION("""COMPUTED_VALUE"""),"KTE2026-330")</f>
        <v>KTE2026-330</v>
      </c>
      <c r="B328" s="4" t="str">
        <f>IFERROR(__xludf.DUMMYFUNCTION("""COMPUTED_VALUE"""),"Kinh tế")</f>
        <v>Kinh tế</v>
      </c>
      <c r="C328" s="4" t="str">
        <f>IFERROR(__xludf.DUMMYFUNCTION("""COMPUTED_VALUE"""),"Try it on, keep it on? How augmented reality shapes purchase and return intentions in online fashion retailing")</f>
        <v>Try it on, keep it on? How augmented reality shapes purchase and return intentions in online fashion retailing</v>
      </c>
      <c r="D328" s="4" t="str">
        <f>IFERROR(__xludf.DUMMYFUNCTION("""COMPUTED_VALUE"""),"Đỗ Phương Uyên")</f>
        <v>Đỗ Phương Uyên</v>
      </c>
      <c r="E328" s="4" t="str">
        <f>IFERROR(__xludf.DUMMYFUNCTION("""COMPUTED_VALUE"""),"Trường Đại học Ngoại ngữ - Tin học TP. Hồ Chí Minh")</f>
        <v>Trường Đại học Ngoại ngữ - Tin học TP. Hồ Chí Minh</v>
      </c>
      <c r="F328" s="4" t="str">
        <f>IFERROR(__xludf.DUMMYFUNCTION("""COMPUTED_VALUE"""),"KTE2026-330.png")</f>
        <v>KTE2026-330.png</v>
      </c>
    </row>
    <row r="329">
      <c r="A329" s="4" t="str">
        <f>IFERROR(__xludf.DUMMYFUNCTION("""COMPUTED_VALUE"""),"KTE2026-331")</f>
        <v>KTE2026-331</v>
      </c>
      <c r="B329" s="4" t="str">
        <f>IFERROR(__xludf.DUMMYFUNCTION("""COMPUTED_VALUE"""),"Kinh tế")</f>
        <v>Kinh tế</v>
      </c>
      <c r="C329" s="4" t="str">
        <f>IFERROR(__xludf.DUMMYFUNCTION("""COMPUTED_VALUE"""),"Understanding phygital brand experience in beauty retail: The roles of utility-oriented and immersion-oriented cues")</f>
        <v>Understanding phygital brand experience in beauty retail: The roles of utility-oriented and immersion-oriented cues</v>
      </c>
      <c r="D329" s="4" t="str">
        <f>IFERROR(__xludf.DUMMYFUNCTION("""COMPUTED_VALUE"""),"Lưu Thị Thu Hương")</f>
        <v>Lưu Thị Thu Hương</v>
      </c>
      <c r="E329" s="4" t="str">
        <f>IFERROR(__xludf.DUMMYFUNCTION("""COMPUTED_VALUE"""),"Trường Đại học Ngoại ngữ - Tin học TP. Hồ Chí Minh")</f>
        <v>Trường Đại học Ngoại ngữ - Tin học TP. Hồ Chí Minh</v>
      </c>
      <c r="F329" s="4" t="str">
        <f>IFERROR(__xludf.DUMMYFUNCTION("""COMPUTED_VALUE"""),"KTE2026-331.png")</f>
        <v>KTE2026-331.png</v>
      </c>
    </row>
    <row r="330">
      <c r="A330" s="4" t="str">
        <f>IFERROR(__xludf.DUMMYFUNCTION("""COMPUTED_VALUE"""),"KTE2026-332")</f>
        <v>KTE2026-332</v>
      </c>
      <c r="B330" s="4" t="str">
        <f>IFERROR(__xludf.DUMMYFUNCTION("""COMPUTED_VALUE"""),"Kinh tế")</f>
        <v>Kinh tế</v>
      </c>
      <c r="C330" s="4" t="str">
        <f>IFERROR(__xludf.DUMMYFUNCTION("""COMPUTED_VALUE"""),"Investigating the impact of AI virtual streamer attributes on willingness to buy of viewers in the live streaming context")</f>
        <v>Investigating the impact of AI virtual streamer attributes on willingness to buy of viewers in the live streaming context</v>
      </c>
      <c r="D330" s="4" t="str">
        <f>IFERROR(__xludf.DUMMYFUNCTION("""COMPUTED_VALUE"""),"Cao Hoàng Trúc Tâm")</f>
        <v>Cao Hoàng Trúc Tâm</v>
      </c>
      <c r="E330" s="4" t="str">
        <f>IFERROR(__xludf.DUMMYFUNCTION("""COMPUTED_VALUE"""),"Trường Đại học Ngoại ngữ - Tin học TP. Hồ Chí Minh")</f>
        <v>Trường Đại học Ngoại ngữ - Tin học TP. Hồ Chí Minh</v>
      </c>
      <c r="F330" s="4" t="str">
        <f>IFERROR(__xludf.DUMMYFUNCTION("""COMPUTED_VALUE"""),"KTE2026-332.png")</f>
        <v>KTE2026-332.png</v>
      </c>
    </row>
    <row r="331">
      <c r="A331" s="4" t="str">
        <f>IFERROR(__xludf.DUMMYFUNCTION("""COMPUTED_VALUE"""),"KTE2026-333")</f>
        <v>KTE2026-333</v>
      </c>
      <c r="B331" s="4" t="str">
        <f>IFERROR(__xludf.DUMMYFUNCTION("""COMPUTED_VALUE"""),"Kinh tế")</f>
        <v>Kinh tế</v>
      </c>
      <c r="C331" s="4" t="str">
        <f>IFERROR(__xludf.DUMMYFUNCTION("""COMPUTED_VALUE"""),"The dark side of digital finance: Analyzing the impact of ‘buy now, pay later’ (BNPL) services on impulsive consumption and financial self - control among Gen Z")</f>
        <v>The dark side of digital finance: Analyzing the impact of ‘buy now, pay later’ (BNPL) services on impulsive consumption and financial self - control among Gen Z</v>
      </c>
      <c r="D331" s="4" t="str">
        <f>IFERROR(__xludf.DUMMYFUNCTION("""COMPUTED_VALUE"""),"Nguyễn Minh Thương")</f>
        <v>Nguyễn Minh Thương</v>
      </c>
      <c r="E331" s="4" t="str">
        <f>IFERROR(__xludf.DUMMYFUNCTION("""COMPUTED_VALUE"""),"Trường Đại học Ngoại ngữ - Tin học TP. Hồ Chí Minh")</f>
        <v>Trường Đại học Ngoại ngữ - Tin học TP. Hồ Chí Minh</v>
      </c>
      <c r="F331" s="4" t="str">
        <f>IFERROR(__xludf.DUMMYFUNCTION("""COMPUTED_VALUE"""),"KTE2026-333.png")</f>
        <v>KTE2026-333.png</v>
      </c>
    </row>
    <row r="332">
      <c r="A332" s="4" t="str">
        <f>IFERROR(__xludf.DUMMYFUNCTION("""COMPUTED_VALUE"""),"KTE2026-334")</f>
        <v>KTE2026-334</v>
      </c>
      <c r="B332" s="4" t="str">
        <f>IFERROR(__xludf.DUMMYFUNCTION("""COMPUTED_VALUE"""),"Kinh tế")</f>
        <v>Kinh tế</v>
      </c>
      <c r="C332" s="4" t="str">
        <f>IFERROR(__xludf.DUMMYFUNCTION("""COMPUTED_VALUE"""),"Phân tích các yếu tố ảnh hưởng đến năng lực sáng tạo của sinh viên Trường Đại học Bạc Liêu")</f>
        <v>Phân tích các yếu tố ảnh hưởng đến năng lực sáng tạo của sinh viên Trường Đại học Bạc Liêu</v>
      </c>
      <c r="D332" s="4" t="str">
        <f>IFERROR(__xludf.DUMMYFUNCTION("""COMPUTED_VALUE"""),"Liêu Huỳnh Bảo Nghi; Trần Bá Duy; Lê Nhật Huy; Đặng Chí Thông")</f>
        <v>Liêu Huỳnh Bảo Nghi; Trần Bá Duy; Lê Nhật Huy; Đặng Chí Thông</v>
      </c>
      <c r="E332" s="4" t="str">
        <f>IFERROR(__xludf.DUMMYFUNCTION("""COMPUTED_VALUE"""),"Trường Đại học Bạc Liêu")</f>
        <v>Trường Đại học Bạc Liêu</v>
      </c>
      <c r="F332" s="4" t="str">
        <f>IFERROR(__xludf.DUMMYFUNCTION("""COMPUTED_VALUE"""),"KTE2026-334.png")</f>
        <v>KTE2026-334.png</v>
      </c>
    </row>
    <row r="333">
      <c r="A333" s="4" t="str">
        <f>IFERROR(__xludf.DUMMYFUNCTION("""COMPUTED_VALUE"""),"KTE2026-335")</f>
        <v>KTE2026-335</v>
      </c>
      <c r="B333" s="4" t="str">
        <f>IFERROR(__xludf.DUMMYFUNCTION("""COMPUTED_VALUE"""),"Kinh tế")</f>
        <v>Kinh tế</v>
      </c>
      <c r="C333" s="4" t="str">
        <f>IFERROR(__xludf.DUMMYFUNCTION("""COMPUTED_VALUE"""),"Nghiên cứu biến động giá đất ở trên địa bàn xã Thạch Thất, thành phố Hà Nội")</f>
        <v>Nghiên cứu biến động giá đất ở trên địa bàn xã Thạch Thất, thành phố Hà Nội</v>
      </c>
      <c r="D333" s="4" t="str">
        <f>IFERROR(__xludf.DUMMYFUNCTION("""COMPUTED_VALUE"""),"Nguyễn Minh Ngọc; Đào Thị Thu Hương; Tạ Thị Minh Phương; Nguyễn Hoàng Hiệp")</f>
        <v>Nguyễn Minh Ngọc; Đào Thị Thu Hương; Tạ Thị Minh Phương; Nguyễn Hoàng Hiệp</v>
      </c>
      <c r="E333" s="4" t="str">
        <f>IFERROR(__xludf.DUMMYFUNCTION("""COMPUTED_VALUE"""),"Trường Đại học Tài nguyên và Môi trường Hà Nội")</f>
        <v>Trường Đại học Tài nguyên và Môi trường Hà Nội</v>
      </c>
      <c r="F333" s="4" t="str">
        <f>IFERROR(__xludf.DUMMYFUNCTION("""COMPUTED_VALUE"""),"KTE2026-335.png")</f>
        <v>KTE2026-335.png</v>
      </c>
    </row>
    <row r="334">
      <c r="A334" s="4" t="str">
        <f>IFERROR(__xludf.DUMMYFUNCTION("""COMPUTED_VALUE"""),"KTE2026-336")</f>
        <v>KTE2026-336</v>
      </c>
      <c r="B334" s="4" t="str">
        <f>IFERROR(__xludf.DUMMYFUNCTION("""COMPUTED_VALUE"""),"Kinh tế")</f>
        <v>Kinh tế</v>
      </c>
      <c r="C334" s="4" t="str">
        <f>IFERROR(__xludf.DUMMYFUNCTION("""COMPUTED_VALUE"""),"Đánh giá các yếu tố ảnh hưởng đến giá đất ở trên địa bàn xã Thường Tín, thành phố Hà Nội")</f>
        <v>Đánh giá các yếu tố ảnh hưởng đến giá đất ở trên địa bàn xã Thường Tín, thành phố Hà Nội</v>
      </c>
      <c r="D334" s="4" t="str">
        <f>IFERROR(__xludf.DUMMYFUNCTION("""COMPUTED_VALUE"""),"Lê Thị Mỹ Duyên; Nguyễn Minh Huyền; Nguyễn Gia Hưng; Nguyễn Trọng Hải Đăng; Trần Công Khải")</f>
        <v>Lê Thị Mỹ Duyên; Nguyễn Minh Huyền; Nguyễn Gia Hưng; Nguyễn Trọng Hải Đăng; Trần Công Khải</v>
      </c>
      <c r="E334" s="4" t="str">
        <f>IFERROR(__xludf.DUMMYFUNCTION("""COMPUTED_VALUE"""),"Trường Đại học Tài nguyên và Môi trường Hà Nội")</f>
        <v>Trường Đại học Tài nguyên và Môi trường Hà Nội</v>
      </c>
      <c r="F334" s="4" t="str">
        <f>IFERROR(__xludf.DUMMYFUNCTION("""COMPUTED_VALUE"""),"KTE2026-336.png")</f>
        <v>KTE2026-336.png</v>
      </c>
    </row>
    <row r="335">
      <c r="A335" s="4" t="str">
        <f>IFERROR(__xludf.DUMMYFUNCTION("""COMPUTED_VALUE"""),"KTE2026-337")</f>
        <v>KTE2026-337</v>
      </c>
      <c r="B335" s="4" t="str">
        <f>IFERROR(__xludf.DUMMYFUNCTION("""COMPUTED_VALUE"""),"Kinh tế")</f>
        <v>Kinh tế</v>
      </c>
      <c r="C335" s="4" t="str">
        <f>IFERROR(__xludf.DUMMYFUNCTION("""COMPUTED_VALUE"""),"Driven by warm-glow and trust, threatened by greenwashing: The mediating mechanisms of usefulness and satisfaction in fintech continuance intention among generation Z")</f>
        <v>Driven by warm-glow and trust, threatened by greenwashing: The mediating mechanisms of usefulness and satisfaction in fintech continuance intention among generation Z</v>
      </c>
      <c r="D335" s="4" t="str">
        <f>IFERROR(__xludf.DUMMYFUNCTION("""COMPUTED_VALUE"""),"Ngô Anh Kiệt; Nguyễn Minh Khôi; Nguyễn Hồng Vũ Hân")</f>
        <v>Ngô Anh Kiệt; Nguyễn Minh Khôi; Nguyễn Hồng Vũ Hân</v>
      </c>
      <c r="E335" s="4" t="str">
        <f>IFERROR(__xludf.DUMMYFUNCTION("""COMPUTED_VALUE"""),"Trường Đại học FPT")</f>
        <v>Trường Đại học FPT</v>
      </c>
      <c r="F335" s="4" t="str">
        <f>IFERROR(__xludf.DUMMYFUNCTION("""COMPUTED_VALUE"""),"KTE2026-337.png")</f>
        <v>KTE2026-337.png</v>
      </c>
    </row>
    <row r="336">
      <c r="A336" s="4" t="str">
        <f>IFERROR(__xludf.DUMMYFUNCTION("""COMPUTED_VALUE"""),"KTE2026-338")</f>
        <v>KTE2026-338</v>
      </c>
      <c r="B336" s="4" t="str">
        <f>IFERROR(__xludf.DUMMYFUNCTION("""COMPUTED_VALUE"""),"Kinh tế")</f>
        <v>Kinh tế</v>
      </c>
      <c r="C336" s="4" t="str">
        <f>IFERROR(__xludf.DUMMYFUNCTION("""COMPUTED_VALUE"""),"Đánh giá sự hài lòng và ý định hành vi của hành khách đối với việc ứng dụng công nghệ sinh trắc học trong thủ tục hàng không tại nhà ga T3, Cảng hàng không quốc tế Tân Sơn Nhất")</f>
        <v>Đánh giá sự hài lòng và ý định hành vi của hành khách đối với việc ứng dụng công nghệ sinh trắc học trong thủ tục hàng không tại nhà ga T3, Cảng hàng không quốc tế Tân Sơn Nhất</v>
      </c>
      <c r="D336" s="4" t="str">
        <f>IFERROR(__xludf.DUMMYFUNCTION("""COMPUTED_VALUE"""),"Nguyễn Thị Mỹ Duyên; Điểu Đoàn Nam Phương; Đồng Khánh Châu; Nguyễn Ngọc Anh Thư")</f>
        <v>Nguyễn Thị Mỹ Duyên; Điểu Đoàn Nam Phương; Đồng Khánh Châu; Nguyễn Ngọc Anh Thư</v>
      </c>
      <c r="E336" s="4" t="str">
        <f>IFERROR(__xludf.DUMMYFUNCTION("""COMPUTED_VALUE"""),"Học viện Hàng không Việt Nam")</f>
        <v>Học viện Hàng không Việt Nam</v>
      </c>
      <c r="F336" s="4" t="str">
        <f>IFERROR(__xludf.DUMMYFUNCTION("""COMPUTED_VALUE"""),"KTE2026-338.png")</f>
        <v>KTE2026-338.png</v>
      </c>
    </row>
    <row r="337">
      <c r="A337" s="4" t="str">
        <f>IFERROR(__xludf.DUMMYFUNCTION("""COMPUTED_VALUE"""),"KTE2026-339")</f>
        <v>KTE2026-339</v>
      </c>
      <c r="B337" s="4" t="str">
        <f>IFERROR(__xludf.DUMMYFUNCTION("""COMPUTED_VALUE"""),"Kinh tế")</f>
        <v>Kinh tế</v>
      </c>
      <c r="C337" s="4" t="str">
        <f>IFERROR(__xludf.DUMMYFUNCTION("""COMPUTED_VALUE"""),"Nghiên cứu ứng dụng mô hình Prophet trong dự báo nhu cầu và quản trị rủi ro chuỗi cung ứng cho doanh nghiệp gia công bao bì: Áp dụng tại công ty cổ phần TJP")</f>
        <v>Nghiên cứu ứng dụng mô hình Prophet trong dự báo nhu cầu và quản trị rủi ro chuỗi cung ứng cho doanh nghiệp gia công bao bì: Áp dụng tại công ty cổ phần TJP</v>
      </c>
      <c r="D337" s="4" t="str">
        <f>IFERROR(__xludf.DUMMYFUNCTION("""COMPUTED_VALUE"""),"Nguyễn Thế Thiện Anh; Lưu Thị Dương; Nguyễn Thu Giang; Đặng Thị Hồng Nga; Bùi Thị Mai Ly")</f>
        <v>Nguyễn Thế Thiện Anh; Lưu Thị Dương; Nguyễn Thu Giang; Đặng Thị Hồng Nga; Bùi Thị Mai Ly</v>
      </c>
      <c r="E337" s="4" t="str">
        <f>IFERROR(__xludf.DUMMYFUNCTION("""COMPUTED_VALUE"""),"Trường Đại học Tài nguyên và Môi trường Hà Nội")</f>
        <v>Trường Đại học Tài nguyên và Môi trường Hà Nội</v>
      </c>
      <c r="F337" s="4" t="str">
        <f>IFERROR(__xludf.DUMMYFUNCTION("""COMPUTED_VALUE"""),"KTE2026-339.png")</f>
        <v>KTE2026-339.png</v>
      </c>
    </row>
    <row r="338">
      <c r="A338" s="4" t="str">
        <f>IFERROR(__xludf.DUMMYFUNCTION("""COMPUTED_VALUE"""),"KTE2026-340")</f>
        <v>KTE2026-340</v>
      </c>
      <c r="B338" s="4" t="str">
        <f>IFERROR(__xludf.DUMMYFUNCTION("""COMPUTED_VALUE"""),"Kinh tế")</f>
        <v>Kinh tế</v>
      </c>
      <c r="C338" s="4" t="str">
        <f>IFERROR(__xludf.DUMMYFUNCTION("""COMPUTED_VALUE"""),"Khung trưởng thành số cho doanh nghiệp du lịch Việt Nam: Từ cơ sở lý thuyết tới thực tiễn triển khai. Trường hợp nghiên cứu: Bảo tàng gốm Bát Tràng")</f>
        <v>Khung trưởng thành số cho doanh nghiệp du lịch Việt Nam: Từ cơ sở lý thuyết tới thực tiễn triển khai. Trường hợp nghiên cứu: Bảo tàng gốm Bát Tràng</v>
      </c>
      <c r="D338" s="4" t="str">
        <f>IFERROR(__xludf.DUMMYFUNCTION("""COMPUTED_VALUE"""),"Lê Hồng Dương; Đặng Đình Khôi")</f>
        <v>Lê Hồng Dương; Đặng Đình Khôi</v>
      </c>
      <c r="E338" s="4" t="str">
        <f>IFERROR(__xludf.DUMMYFUNCTION("""COMPUTED_VALUE"""),"Trường Đại học Tài chính - Ngân hàng Hà Nội")</f>
        <v>Trường Đại học Tài chính - Ngân hàng Hà Nội</v>
      </c>
      <c r="F338" s="4" t="str">
        <f>IFERROR(__xludf.DUMMYFUNCTION("""COMPUTED_VALUE"""),"KTE2026-340.png")</f>
        <v>KTE2026-340.png</v>
      </c>
    </row>
    <row r="339">
      <c r="A339" s="4" t="str">
        <f>IFERROR(__xludf.DUMMYFUNCTION("""COMPUTED_VALUE"""),"KTE2026-341")</f>
        <v>KTE2026-341</v>
      </c>
      <c r="B339" s="4" t="str">
        <f>IFERROR(__xludf.DUMMYFUNCTION("""COMPUTED_VALUE"""),"Kinh tế")</f>
        <v>Kinh tế</v>
      </c>
      <c r="C339" s="4" t="str">
        <f>IFERROR(__xludf.DUMMYFUNCTION("""COMPUTED_VALUE"""),"Giải pháp phát triển logistics xanh trong chuỗi cung ứng gạo xuất khẩu Đồng bằng sông Cửu Long hướng đến Net Zero")</f>
        <v>Giải pháp phát triển logistics xanh trong chuỗi cung ứng gạo xuất khẩu Đồng bằng sông Cửu Long hướng đến Net Zero</v>
      </c>
      <c r="D339" s="4" t="str">
        <f>IFERROR(__xludf.DUMMYFUNCTION("""COMPUTED_VALUE"""),"Nguyễn Phương Thảo; Nguyễn Thị Linh Nhi; Bùi Lan Anh; Nguyễn Thị Ngọc Yến")</f>
        <v>Nguyễn Phương Thảo; Nguyễn Thị Linh Nhi; Bùi Lan Anh; Nguyễn Thị Ngọc Yến</v>
      </c>
      <c r="E339" s="4" t="str">
        <f>IFERROR(__xludf.DUMMYFUNCTION("""COMPUTED_VALUE"""),"Trường Đại học Thủ đô Hà Nội")</f>
        <v>Trường Đại học Thủ đô Hà Nội</v>
      </c>
      <c r="F339" s="4" t="str">
        <f>IFERROR(__xludf.DUMMYFUNCTION("""COMPUTED_VALUE"""),"KTE2026-341.png")</f>
        <v>KTE2026-341.png</v>
      </c>
    </row>
    <row r="340">
      <c r="A340" s="4" t="str">
        <f>IFERROR(__xludf.DUMMYFUNCTION("""COMPUTED_VALUE"""),"KTE2026-342")</f>
        <v>KTE2026-342</v>
      </c>
      <c r="B340" s="4" t="str">
        <f>IFERROR(__xludf.DUMMYFUNCTION("""COMPUTED_VALUE"""),"Kinh tế")</f>
        <v>Kinh tế</v>
      </c>
      <c r="C340" s="4" t="str">
        <f>IFERROR(__xludf.DUMMYFUNCTION("""COMPUTED_VALUE"""),"Thiết kế hệ thống quản lý thu gom pin xe điện thông qua ứng dụng GIS, AI và mô hình MDVRP")</f>
        <v>Thiết kế hệ thống quản lý thu gom pin xe điện thông qua ứng dụng GIS, AI và mô hình MDVRP</v>
      </c>
      <c r="D340" s="4" t="str">
        <f>IFERROR(__xludf.DUMMYFUNCTION("""COMPUTED_VALUE"""),"Nguyễn Nhật Huy; Phạm Thiên Lộc; Nguyễn Đức Thanh Tấn; Nguyễn Thị Bích Trâm")</f>
        <v>Nguyễn Nhật Huy; Phạm Thiên Lộc; Nguyễn Đức Thanh Tấn; Nguyễn Thị Bích Trâm</v>
      </c>
      <c r="E340" s="4" t="str">
        <f>IFERROR(__xludf.DUMMYFUNCTION("""COMPUTED_VALUE"""),"Trường Cao đẳng Kinh tế Đối ngoại")</f>
        <v>Trường Cao đẳng Kinh tế Đối ngoại</v>
      </c>
      <c r="F340" s="4" t="str">
        <f>IFERROR(__xludf.DUMMYFUNCTION("""COMPUTED_VALUE"""),"KTE2026-342.png")</f>
        <v>KTE2026-342.png</v>
      </c>
    </row>
    <row r="341">
      <c r="A341" s="4" t="str">
        <f>IFERROR(__xludf.DUMMYFUNCTION("""COMPUTED_VALUE"""),"KTE2026-343")</f>
        <v>KTE2026-343</v>
      </c>
      <c r="B341" s="4" t="str">
        <f>IFERROR(__xludf.DUMMYFUNCTION("""COMPUTED_VALUE"""),"Kinh tế")</f>
        <v>Kinh tế</v>
      </c>
      <c r="C341" s="4" t="str">
        <f>IFERROR(__xludf.DUMMYFUNCTION("""COMPUTED_VALUE"""),"Factors shaping public intention of autonomous drone delivery services based on the TPB model")</f>
        <v>Factors shaping public intention of autonomous drone delivery services based on the TPB model</v>
      </c>
      <c r="D341" s="4" t="str">
        <f>IFERROR(__xludf.DUMMYFUNCTION("""COMPUTED_VALUE"""),"Nguyễn Hoàng Quang Huy; Hồ Đắc Anh Thi; Võ Ngọc Trung Kiên; Nguyễn Trúc Linh")</f>
        <v>Nguyễn Hoàng Quang Huy; Hồ Đắc Anh Thi; Võ Ngọc Trung Kiên; Nguyễn Trúc Linh</v>
      </c>
      <c r="E341" s="4" t="str">
        <f>IFERROR(__xludf.DUMMYFUNCTION("""COMPUTED_VALUE"""),"Học viện Hàng không Việt Nam")</f>
        <v>Học viện Hàng không Việt Nam</v>
      </c>
      <c r="F341" s="4" t="str">
        <f>IFERROR(__xludf.DUMMYFUNCTION("""COMPUTED_VALUE"""),"KTE2026-343.png")</f>
        <v>KTE2026-343.png</v>
      </c>
    </row>
    <row r="342">
      <c r="A342" s="4" t="str">
        <f>IFERROR(__xludf.DUMMYFUNCTION("""COMPUTED_VALUE"""),"KTE2026-344")</f>
        <v>KTE2026-344</v>
      </c>
      <c r="B342" s="4" t="str">
        <f>IFERROR(__xludf.DUMMYFUNCTION("""COMPUTED_VALUE"""),"Kinh tế")</f>
        <v>Kinh tế</v>
      </c>
      <c r="C342" s="4" t="str">
        <f>IFERROR(__xludf.DUMMYFUNCTION("""COMPUTED_VALUE"""),"Ảnh hưởng của người phản định hướng tiêu dùng (de-influencer) đến sự kháng cự mua sắm sản phẩm thời trang nhanh của thế hệ z tại Việt Nam")</f>
        <v>Ảnh hưởng của người phản định hướng tiêu dùng (de-influencer) đến sự kháng cự mua sắm sản phẩm thời trang nhanh của thế hệ z tại Việt Nam</v>
      </c>
      <c r="D342" s="4" t="str">
        <f>IFERROR(__xludf.DUMMYFUNCTION("""COMPUTED_VALUE"""),"Phan Thị Thu Thủy; Đinh Thị Quỳnh Hương; Phạm Bá Gia Nhất; Đào Thu Huyền; Trịnh Hoàng Thảo Nhi")</f>
        <v>Phan Thị Thu Thủy; Đinh Thị Quỳnh Hương; Phạm Bá Gia Nhất; Đào Thu Huyền; Trịnh Hoàng Thảo Nhi</v>
      </c>
      <c r="E342" s="4" t="str">
        <f>IFERROR(__xludf.DUMMYFUNCTION("""COMPUTED_VALUE"""),"Trường Đại học Ngoại thương")</f>
        <v>Trường Đại học Ngoại thương</v>
      </c>
      <c r="F342" s="4" t="str">
        <f>IFERROR(__xludf.DUMMYFUNCTION("""COMPUTED_VALUE"""),"KTE2026-344.png")</f>
        <v>KTE2026-344.png</v>
      </c>
    </row>
    <row r="343">
      <c r="A343" s="4" t="str">
        <f>IFERROR(__xludf.DUMMYFUNCTION("""COMPUTED_VALUE"""),"KTE2026-345")</f>
        <v>KTE2026-345</v>
      </c>
      <c r="B343" s="4" t="str">
        <f>IFERROR(__xludf.DUMMYFUNCTION("""COMPUTED_VALUE"""),"Kinh tế")</f>
        <v>Kinh tế</v>
      </c>
      <c r="C343" s="4" t="str">
        <f>IFERROR(__xludf.DUMMYFUNCTION("""COMPUTED_VALUE"""),"An ninh mạng và hiệu quả hoạt động doanh nghiệp: Bằng chứng từ bộ chỉ số an ninh mạng dựa trên mô hình trí tuệ nhân tạo SecureBERT")</f>
        <v>An ninh mạng và hiệu quả hoạt động doanh nghiệp: Bằng chứng từ bộ chỉ số an ninh mạng dựa trên mô hình trí tuệ nhân tạo SecureBERT</v>
      </c>
      <c r="D343" s="4" t="str">
        <f>IFERROR(__xludf.DUMMYFUNCTION("""COMPUTED_VALUE"""),"Nguyễn Minh Khoa")</f>
        <v>Nguyễn Minh Khoa</v>
      </c>
      <c r="E343" s="4" t="str">
        <f>IFERROR(__xludf.DUMMYFUNCTION("""COMPUTED_VALUE"""),"Trường Đại học Ngoại thương")</f>
        <v>Trường Đại học Ngoại thương</v>
      </c>
      <c r="F343" s="4" t="str">
        <f>IFERROR(__xludf.DUMMYFUNCTION("""COMPUTED_VALUE"""),"KTE2026-345.png")</f>
        <v>KTE2026-345.png</v>
      </c>
    </row>
    <row r="344">
      <c r="A344" s="4" t="str">
        <f>IFERROR(__xludf.DUMMYFUNCTION("""COMPUTED_VALUE"""),"KTE2026-346")</f>
        <v>KTE2026-346</v>
      </c>
      <c r="B344" s="4" t="str">
        <f>IFERROR(__xludf.DUMMYFUNCTION("""COMPUTED_VALUE"""),"Kinh tế")</f>
        <v>Kinh tế</v>
      </c>
      <c r="C344" s="4" t="str">
        <f>IFERROR(__xludf.DUMMYFUNCTION("""COMPUTED_VALUE"""),"Ứng dụng mô hình học sâu PhoBERT trong phân tích cảm xúc eWOM: Thực nghiệm thị trường sách trong thương mại điện tử tại Việt Nam")</f>
        <v>Ứng dụng mô hình học sâu PhoBERT trong phân tích cảm xúc eWOM: Thực nghiệm thị trường sách trong thương mại điện tử tại Việt Nam</v>
      </c>
      <c r="D344" s="4" t="str">
        <f>IFERROR(__xludf.DUMMYFUNCTION("""COMPUTED_VALUE"""),"Nguyễn Phạm Uyên Phương; Nguyễn Đình Thái Dương")</f>
        <v>Nguyễn Phạm Uyên Phương; Nguyễn Đình Thái Dương</v>
      </c>
      <c r="E344" s="4" t="str">
        <f>IFERROR(__xludf.DUMMYFUNCTION("""COMPUTED_VALUE"""),"Trường Đại học Ngoại thương")</f>
        <v>Trường Đại học Ngoại thương</v>
      </c>
      <c r="F344" s="4" t="str">
        <f>IFERROR(__xludf.DUMMYFUNCTION("""COMPUTED_VALUE"""),"KTE2026-346.png")</f>
        <v>KTE2026-346.png</v>
      </c>
    </row>
    <row r="345">
      <c r="A345" s="4" t="str">
        <f>IFERROR(__xludf.DUMMYFUNCTION("""COMPUTED_VALUE"""),"KTE2026-347")</f>
        <v>KTE2026-347</v>
      </c>
      <c r="B345" s="4" t="str">
        <f>IFERROR(__xludf.DUMMYFUNCTION("""COMPUTED_VALUE"""),"Kinh tế")</f>
        <v>Kinh tế</v>
      </c>
      <c r="C345" s="4" t="str">
        <f>IFERROR(__xludf.DUMMYFUNCTION("""COMPUTED_VALUE"""),"Thực hành bền vững, đổi mới sáng tạo và năng lực xuất khẩu: Bằng chứng thực nghiệm về tính bổ trợ theo từng trụ cột tại các doanh nghiệp khu vực châu Á")</f>
        <v>Thực hành bền vững, đổi mới sáng tạo và năng lực xuất khẩu: Bằng chứng thực nghiệm về tính bổ trợ theo từng trụ cột tại các doanh nghiệp khu vực châu Á</v>
      </c>
      <c r="D345" s="4" t="str">
        <f>IFERROR(__xludf.DUMMYFUNCTION("""COMPUTED_VALUE"""),"Nguyễn Trần Nam; An Đức Trung; Lê Vũ Nhật Quang; Vũ Quốc Anh; Nguyễn Tuấn Đạt")</f>
        <v>Nguyễn Trần Nam; An Đức Trung; Lê Vũ Nhật Quang; Vũ Quốc Anh; Nguyễn Tuấn Đạt</v>
      </c>
      <c r="E345" s="4" t="str">
        <f>IFERROR(__xludf.DUMMYFUNCTION("""COMPUTED_VALUE"""),"Trường Đại học Ngoại thương")</f>
        <v>Trường Đại học Ngoại thương</v>
      </c>
      <c r="F345" s="4" t="str">
        <f>IFERROR(__xludf.DUMMYFUNCTION("""COMPUTED_VALUE"""),"KTE2026-347.png")</f>
        <v>KTE2026-347.png</v>
      </c>
    </row>
    <row r="346">
      <c r="A346" s="4" t="str">
        <f>IFERROR(__xludf.DUMMYFUNCTION("""COMPUTED_VALUE"""),"KTE2026-348")</f>
        <v>KTE2026-348</v>
      </c>
      <c r="B346" s="4" t="str">
        <f>IFERROR(__xludf.DUMMYFUNCTION("""COMPUTED_VALUE"""),"Kinh tế")</f>
        <v>Kinh tế</v>
      </c>
      <c r="C346" s="4" t="str">
        <f>IFERROR(__xludf.DUMMYFUNCTION("""COMPUTED_VALUE"""),"From belief to betrayal: The psychological mechanisms linking greenwashing to brand avoidance")</f>
        <v>From belief to betrayal: The psychological mechanisms linking greenwashing to brand avoidance</v>
      </c>
      <c r="D346" s="4" t="str">
        <f>IFERROR(__xludf.DUMMYFUNCTION("""COMPUTED_VALUE"""),"Nguyễn Khưu Thu Hồng; Nguyễn Ngọc Thùy Anh; Lê Nhã Duyên; Lê Phương Linh; Trần Anh Khôi")</f>
        <v>Nguyễn Khưu Thu Hồng; Nguyễn Ngọc Thùy Anh; Lê Nhã Duyên; Lê Phương Linh; Trần Anh Khôi</v>
      </c>
      <c r="E346" s="4" t="str">
        <f>IFERROR(__xludf.DUMMYFUNCTION("""COMPUTED_VALUE"""),"Trường Đại học Tài chính - Marketing")</f>
        <v>Trường Đại học Tài chính - Marketing</v>
      </c>
      <c r="F346" s="4" t="str">
        <f>IFERROR(__xludf.DUMMYFUNCTION("""COMPUTED_VALUE"""),"KTE2026-348.png")</f>
        <v>KTE2026-348.png</v>
      </c>
    </row>
    <row r="347">
      <c r="A347" s="4" t="str">
        <f>IFERROR(__xludf.DUMMYFUNCTION("""COMPUTED_VALUE"""),"KTE2026-349")</f>
        <v>KTE2026-349</v>
      </c>
      <c r="B347" s="4" t="str">
        <f>IFERROR(__xludf.DUMMYFUNCTION("""COMPUTED_VALUE"""),"Kinh tế")</f>
        <v>Kinh tế</v>
      </c>
      <c r="C347" s="4" t="str">
        <f>IFERROR(__xludf.DUMMYFUNCTION("""COMPUTED_VALUE"""),"Nâng cao giá trị tài sản thương hiệu xanh trong ngành mỹ phẩm thuần chay: Góc nhìn từ sự nhận thức của người tiêu dùng về hành vi xanh trá hình")</f>
        <v>Nâng cao giá trị tài sản thương hiệu xanh trong ngành mỹ phẩm thuần chay: Góc nhìn từ sự nhận thức của người tiêu dùng về hành vi xanh trá hình</v>
      </c>
      <c r="D347" s="4" t="str">
        <f>IFERROR(__xludf.DUMMYFUNCTION("""COMPUTED_VALUE"""),"Vũ Quỳnh Ly; Đặng Bá Công; Nguyễn Thị Hà Vy")</f>
        <v>Vũ Quỳnh Ly; Đặng Bá Công; Nguyễn Thị Hà Vy</v>
      </c>
      <c r="E347" s="4" t="str">
        <f>IFERROR(__xludf.DUMMYFUNCTION("""COMPUTED_VALUE"""),"Trường Khoa học liên ngành và Nghệ thuật, ĐHQG Hà Nội")</f>
        <v>Trường Khoa học liên ngành và Nghệ thuật, ĐHQG Hà Nội</v>
      </c>
      <c r="F347" s="4" t="str">
        <f>IFERROR(__xludf.DUMMYFUNCTION("""COMPUTED_VALUE"""),"KTE2026-349.png")</f>
        <v>KTE2026-349.png</v>
      </c>
    </row>
    <row r="348">
      <c r="A348" s="4" t="str">
        <f>IFERROR(__xludf.DUMMYFUNCTION("""COMPUTED_VALUE"""),"KTE2026-350")</f>
        <v>KTE2026-350</v>
      </c>
      <c r="B348" s="4" t="str">
        <f>IFERROR(__xludf.DUMMYFUNCTION("""COMPUTED_VALUE"""),"Kinh tế")</f>
        <v>Kinh tế</v>
      </c>
      <c r="C348" s="4" t="str">
        <f>IFERROR(__xludf.DUMMYFUNCTION("""COMPUTED_VALUE"""),"Tác động của tái định vị đến tài sản thương hiệu: Bằng chứng thực nghiệm từ Vinamilk")</f>
        <v>Tác động của tái định vị đến tài sản thương hiệu: Bằng chứng thực nghiệm từ Vinamilk</v>
      </c>
      <c r="D348" s="4" t="str">
        <f>IFERROR(__xludf.DUMMYFUNCTION("""COMPUTED_VALUE"""),"Hoàng Minh Anh; Ngô Hương Giang; Nguyễn Hồ Quỳnh Hương; Trần Minh Khuê")</f>
        <v>Hoàng Minh Anh; Ngô Hương Giang; Nguyễn Hồ Quỳnh Hương; Trần Minh Khuê</v>
      </c>
      <c r="E348" s="4" t="str">
        <f>IFERROR(__xludf.DUMMYFUNCTION("""COMPUTED_VALUE"""),"Trường Khoa học liên ngành và Nghệ thuật, ĐHQG Hà Nội")</f>
        <v>Trường Khoa học liên ngành và Nghệ thuật, ĐHQG Hà Nội</v>
      </c>
      <c r="F348" s="4" t="str">
        <f>IFERROR(__xludf.DUMMYFUNCTION("""COMPUTED_VALUE"""),"KTE2026-350.png")</f>
        <v>KTE2026-350.png</v>
      </c>
    </row>
    <row r="349">
      <c r="A349" s="4" t="str">
        <f>IFERROR(__xludf.DUMMYFUNCTION("""COMPUTED_VALUE"""),"KTE2026-351")</f>
        <v>KTE2026-351</v>
      </c>
      <c r="B349" s="4" t="str">
        <f>IFERROR(__xludf.DUMMYFUNCTION("""COMPUTED_VALUE"""),"Kinh tế")</f>
        <v>Kinh tế</v>
      </c>
      <c r="C349" s="4" t="str">
        <f>IFERROR(__xludf.DUMMYFUNCTION("""COMPUTED_VALUE"""),"Tác động của nội dung do người dùng tạo đến ý định mua hàng trực tuyến của khách hàng trên các nền tảng mạng xã hội tại Việt Nam")</f>
        <v>Tác động của nội dung do người dùng tạo đến ý định mua hàng trực tuyến của khách hàng trên các nền tảng mạng xã hội tại Việt Nam</v>
      </c>
      <c r="D349" s="4" t="str">
        <f>IFERROR(__xludf.DUMMYFUNCTION("""COMPUTED_VALUE"""),"Trần Thị Xuân Diễm; Phạm Trang Linh")</f>
        <v>Trần Thị Xuân Diễm; Phạm Trang Linh</v>
      </c>
      <c r="E349" s="4" t="str">
        <f>IFERROR(__xludf.DUMMYFUNCTION("""COMPUTED_VALUE"""),"Trường Đại học Luật TP. Hồ Chí Minh")</f>
        <v>Trường Đại học Luật TP. Hồ Chí Minh</v>
      </c>
      <c r="F349" s="4" t="str">
        <f>IFERROR(__xludf.DUMMYFUNCTION("""COMPUTED_VALUE"""),"KTE2026-351.png")</f>
        <v>KTE2026-351.png</v>
      </c>
    </row>
    <row r="350">
      <c r="A350" s="4" t="str">
        <f>IFERROR(__xludf.DUMMYFUNCTION("""COMPUTED_VALUE"""),"KTE2026-352")</f>
        <v>KTE2026-352</v>
      </c>
      <c r="B350" s="4" t="str">
        <f>IFERROR(__xludf.DUMMYFUNCTION("""COMPUTED_VALUE"""),"Kinh tế")</f>
        <v>Kinh tế</v>
      </c>
      <c r="C350" s="4" t="str">
        <f>IFERROR(__xludf.DUMMYFUNCTION("""COMPUTED_VALUE"""),"Tác động của văn hóa thần tượng và truyền thông xã hội đến ý định mua vé tham gia sự kiện biểu diễn nghệ thuật quy mô lớn tại Việt Nam")</f>
        <v>Tác động của văn hóa thần tượng và truyền thông xã hội đến ý định mua vé tham gia sự kiện biểu diễn nghệ thuật quy mô lớn tại Việt Nam</v>
      </c>
      <c r="D350" s="4" t="str">
        <f>IFERROR(__xludf.DUMMYFUNCTION("""COMPUTED_VALUE"""),"Lê Thị Cẩm Tú; Nguyễn Phương Anh")</f>
        <v>Lê Thị Cẩm Tú; Nguyễn Phương Anh</v>
      </c>
      <c r="E350" s="4" t="str">
        <f>IFERROR(__xludf.DUMMYFUNCTION("""COMPUTED_VALUE"""),"Trường Đại học Luật TP. Hồ Chí Minh")</f>
        <v>Trường Đại học Luật TP. Hồ Chí Minh</v>
      </c>
      <c r="F350" s="4" t="str">
        <f>IFERROR(__xludf.DUMMYFUNCTION("""COMPUTED_VALUE"""),"KTE2026-352.png")</f>
        <v>KTE2026-352.png</v>
      </c>
    </row>
    <row r="351">
      <c r="A351" s="4" t="str">
        <f>IFERROR(__xludf.DUMMYFUNCTION("""COMPUTED_VALUE"""),"KTE2026-353")</f>
        <v>KTE2026-353</v>
      </c>
      <c r="B351" s="4" t="str">
        <f>IFERROR(__xludf.DUMMYFUNCTION("""COMPUTED_VALUE"""),"Kinh tế")</f>
        <v>Kinh tế</v>
      </c>
      <c r="C351" s="4" t="str">
        <f>IFERROR(__xludf.DUMMYFUNCTION("""COMPUTED_VALUE"""),"Các yếu tố thúc đẩy niềm tin vào khuyến nghị của generative AI và ảnh hưởng đến ý định tiêu dùng xanh của Gen Z: Tiếp cận từ mô hình ELM (elaboration likelihood model) và lý thuyết kháng cự đổi mới")</f>
        <v>Các yếu tố thúc đẩy niềm tin vào khuyến nghị của generative AI và ảnh hưởng đến ý định tiêu dùng xanh của Gen Z: Tiếp cận từ mô hình ELM (elaboration likelihood model) và lý thuyết kháng cự đổi mới</v>
      </c>
      <c r="D351" s="4" t="str">
        <f>IFERROR(__xludf.DUMMYFUNCTION("""COMPUTED_VALUE"""),"Thái Gia Bảo")</f>
        <v>Thái Gia Bảo</v>
      </c>
      <c r="E351" s="4" t="str">
        <f>IFERROR(__xludf.DUMMYFUNCTION("""COMPUTED_VALUE"""),"Trường Đại học Luật TP. Hồ Chí Minh")</f>
        <v>Trường Đại học Luật TP. Hồ Chí Minh</v>
      </c>
      <c r="F351" s="4" t="str">
        <f>IFERROR(__xludf.DUMMYFUNCTION("""COMPUTED_VALUE"""),"KTE2026-353.png")</f>
        <v>KTE2026-353.png</v>
      </c>
    </row>
    <row r="352">
      <c r="A352" s="4" t="str">
        <f>IFERROR(__xludf.DUMMYFUNCTION("""COMPUTED_VALUE"""),"KTE2026-354")</f>
        <v>KTE2026-354</v>
      </c>
      <c r="B352" s="4" t="str">
        <f>IFERROR(__xludf.DUMMYFUNCTION("""COMPUTED_VALUE"""),"Kinh tế")</f>
        <v>Kinh tế</v>
      </c>
      <c r="C352" s="4" t="str">
        <f>IFERROR(__xludf.DUMMYFUNCTION("""COMPUTED_VALUE"""),"Tác động của influencer trên nền tảng mạng xã hội đến ý định mua sản phẩm thời trang bền vững của Gen Z tại thành phố Hồ Chí Minh")</f>
        <v>Tác động của influencer trên nền tảng mạng xã hội đến ý định mua sản phẩm thời trang bền vững của Gen Z tại thành phố Hồ Chí Minh</v>
      </c>
      <c r="D352" s="4" t="str">
        <f>IFERROR(__xludf.DUMMYFUNCTION("""COMPUTED_VALUE"""),"Trần Như An; Trương Thế Đặng")</f>
        <v>Trần Như An; Trương Thế Đặng</v>
      </c>
      <c r="E352" s="4" t="str">
        <f>IFERROR(__xludf.DUMMYFUNCTION("""COMPUTED_VALUE"""),"Trường Đại học Luật TP. Hồ Chí Minh")</f>
        <v>Trường Đại học Luật TP. Hồ Chí Minh</v>
      </c>
      <c r="F352" s="4" t="str">
        <f>IFERROR(__xludf.DUMMYFUNCTION("""COMPUTED_VALUE"""),"KTE2026-354.png")</f>
        <v>KTE2026-354.png</v>
      </c>
    </row>
    <row r="353">
      <c r="A353" s="4" t="str">
        <f>IFERROR(__xludf.DUMMYFUNCTION("""COMPUTED_VALUE"""),"KTE2026-355")</f>
        <v>KTE2026-355</v>
      </c>
      <c r="B353" s="4" t="str">
        <f>IFERROR(__xludf.DUMMYFUNCTION("""COMPUTED_VALUE"""),"Kinh tế")</f>
        <v>Kinh tế</v>
      </c>
      <c r="C353" s="4" t="str">
        <f>IFERROR(__xludf.DUMMYFUNCTION("""COMPUTED_VALUE"""),"Hành vi mua hàng ngẫu hứng của sinh viên thông qua livestream trên nền tảng TikTok: Vai trò của người có tầm ảnh hưởng, tương tác giả xã hội, và sự nhạy cảm với ưu đãi")</f>
        <v>Hành vi mua hàng ngẫu hứng của sinh viên thông qua livestream trên nền tảng TikTok: Vai trò của người có tầm ảnh hưởng, tương tác giả xã hội, và sự nhạy cảm với ưu đãi</v>
      </c>
      <c r="D353" s="4" t="str">
        <f>IFERROR(__xludf.DUMMYFUNCTION("""COMPUTED_VALUE"""),"Trần Quỳnh Anh; Phan Hương Giang; Nguyễn Thị Hiền; Hồ Ngọc Diễm Hương")</f>
        <v>Trần Quỳnh Anh; Phan Hương Giang; Nguyễn Thị Hiền; Hồ Ngọc Diễm Hương</v>
      </c>
      <c r="E353" s="4" t="str">
        <f>IFERROR(__xludf.DUMMYFUNCTION("""COMPUTED_VALUE"""),"Trường Đại học Luật TP. Hồ Chí Minh")</f>
        <v>Trường Đại học Luật TP. Hồ Chí Minh</v>
      </c>
      <c r="F353" s="4" t="str">
        <f>IFERROR(__xludf.DUMMYFUNCTION("""COMPUTED_VALUE"""),"KTE2026-355.png")</f>
        <v>KTE2026-355.png</v>
      </c>
    </row>
    <row r="354">
      <c r="A354" s="4" t="str">
        <f>IFERROR(__xludf.DUMMYFUNCTION("""COMPUTED_VALUE"""),"KTE2026-356")</f>
        <v>KTE2026-356</v>
      </c>
      <c r="B354" s="4" t="str">
        <f>IFERROR(__xludf.DUMMYFUNCTION("""COMPUTED_VALUE"""),"Kinh tế")</f>
        <v>Kinh tế</v>
      </c>
      <c r="C354" s="4" t="str">
        <f>IFERROR(__xludf.DUMMYFUNCTION("""COMPUTED_VALUE"""),"Nhận thức rủi ro và cơ hội trong thị trường tài sản mã hóa dưới điều kiện bất định quy định có cấu trúc: Bằng chứng từ Việt Nam")</f>
        <v>Nhận thức rủi ro và cơ hội trong thị trường tài sản mã hóa dưới điều kiện bất định quy định có cấu trúc: Bằng chứng từ Việt Nam</v>
      </c>
      <c r="D354" s="4" t="str">
        <f>IFERROR(__xludf.DUMMYFUNCTION("""COMPUTED_VALUE"""),"Trịnh Viết Thỏa")</f>
        <v>Trịnh Viết Thỏa</v>
      </c>
      <c r="E354" s="4" t="str">
        <f>IFERROR(__xludf.DUMMYFUNCTION("""COMPUTED_VALUE"""),"Trường Đại học Luật TP. Hồ Chí Minh")</f>
        <v>Trường Đại học Luật TP. Hồ Chí Minh</v>
      </c>
      <c r="F354" s="4" t="str">
        <f>IFERROR(__xludf.DUMMYFUNCTION("""COMPUTED_VALUE"""),"KTE2026-356.png")</f>
        <v>KTE2026-356.png</v>
      </c>
    </row>
    <row r="355">
      <c r="A355" s="4" t="str">
        <f>IFERROR(__xludf.DUMMYFUNCTION("""COMPUTED_VALUE"""),"KTE2026-357")</f>
        <v>KTE2026-357</v>
      </c>
      <c r="B355" s="4" t="str">
        <f>IFERROR(__xludf.DUMMYFUNCTION("""COMPUTED_VALUE"""),"Kinh tế")</f>
        <v>Kinh tế</v>
      </c>
      <c r="C355" s="4" t="str">
        <f>IFERROR(__xludf.DUMMYFUNCTION("""COMPUTED_VALUE"""),"From evaluation to execution: A three-stage model of SPayLater adoption for electronics purchases on Shopee in Vietnam")</f>
        <v>From evaluation to execution: A three-stage model of SPayLater adoption for electronics purchases on Shopee in Vietnam</v>
      </c>
      <c r="D355" s="4" t="str">
        <f>IFERROR(__xludf.DUMMYFUNCTION("""COMPUTED_VALUE"""),"Nguyễn Duy Mỹ Ngọc")</f>
        <v>Nguyễn Duy Mỹ Ngọc</v>
      </c>
      <c r="E355" s="4" t="str">
        <f>IFERROR(__xludf.DUMMYFUNCTION("""COMPUTED_VALUE"""),"Trường Đại học Quốc tế, ĐHQG-HCM")</f>
        <v>Trường Đại học Quốc tế, ĐHQG-HCM</v>
      </c>
      <c r="F355" s="4" t="str">
        <f>IFERROR(__xludf.DUMMYFUNCTION("""COMPUTED_VALUE"""),"KTE2026-357.png")</f>
        <v>KTE2026-357.png</v>
      </c>
    </row>
    <row r="356">
      <c r="A356" s="4" t="str">
        <f>IFERROR(__xludf.DUMMYFUNCTION("""COMPUTED_VALUE"""),"KTE2026-358")</f>
        <v>KTE2026-358</v>
      </c>
      <c r="B356" s="4" t="str">
        <f>IFERROR(__xludf.DUMMYFUNCTION("""COMPUTED_VALUE"""),"Kinh tế")</f>
        <v>Kinh tế</v>
      </c>
      <c r="C356" s="4" t="str">
        <f>IFERROR(__xludf.DUMMYFUNCTION("""COMPUTED_VALUE"""),"Livestream influencer characteristics and cosmetic purchase intention: The roles of emotional trust and livestream engagement")</f>
        <v>Livestream influencer characteristics and cosmetic purchase intention: The roles of emotional trust and livestream engagement</v>
      </c>
      <c r="D356" s="4" t="str">
        <f>IFERROR(__xludf.DUMMYFUNCTION("""COMPUTED_VALUE"""),"Nguyễn Bảo Quỳnh Uyên; Bùi Thảo Ngân")</f>
        <v>Nguyễn Bảo Quỳnh Uyên; Bùi Thảo Ngân</v>
      </c>
      <c r="E356" s="4" t="str">
        <f>IFERROR(__xludf.DUMMYFUNCTION("""COMPUTED_VALUE"""),"Trường Đại học Quốc tế, ĐHQG-HCM")</f>
        <v>Trường Đại học Quốc tế, ĐHQG-HCM</v>
      </c>
      <c r="F356" s="4" t="str">
        <f>IFERROR(__xludf.DUMMYFUNCTION("""COMPUTED_VALUE"""),"KTE2026-358.png")</f>
        <v>KTE2026-358.png</v>
      </c>
    </row>
    <row r="357">
      <c r="A357" s="4" t="str">
        <f>IFERROR(__xludf.DUMMYFUNCTION("""COMPUTED_VALUE"""),"KTE2026-359")</f>
        <v>KTE2026-359</v>
      </c>
      <c r="B357" s="4" t="str">
        <f>IFERROR(__xludf.DUMMYFUNCTION("""COMPUTED_VALUE"""),"Kinh tế")</f>
        <v>Kinh tế</v>
      </c>
      <c r="C357" s="4" t="str">
        <f>IFERROR(__xludf.DUMMYFUNCTION("""COMPUTED_VALUE"""),"Nghiên cứu ảnh hưởng của trải nghiệm cá nhân hóa dựa trên trí tuệ nhân tạo đến lòng trung thành của người dùng TikTok tại Việt Nam")</f>
        <v>Nghiên cứu ảnh hưởng của trải nghiệm cá nhân hóa dựa trên trí tuệ nhân tạo đến lòng trung thành của người dùng TikTok tại Việt Nam</v>
      </c>
      <c r="D357" s="4" t="str">
        <f>IFERROR(__xludf.DUMMYFUNCTION("""COMPUTED_VALUE"""),"Lê Thị Khả Duyên")</f>
        <v>Lê Thị Khả Duyên</v>
      </c>
      <c r="E357" s="4" t="str">
        <f>IFERROR(__xludf.DUMMYFUNCTION("""COMPUTED_VALUE"""),"Trường Đại học Quốc tế, ĐHQG-HCM")</f>
        <v>Trường Đại học Quốc tế, ĐHQG-HCM</v>
      </c>
      <c r="F357" s="4" t="str">
        <f>IFERROR(__xludf.DUMMYFUNCTION("""COMPUTED_VALUE"""),"KTE2026-359.png")</f>
        <v>KTE2026-359.png</v>
      </c>
    </row>
    <row r="358">
      <c r="A358" s="4" t="str">
        <f>IFERROR(__xludf.DUMMYFUNCTION("""COMPUTED_VALUE"""),"KTE2026-360")</f>
        <v>KTE2026-360</v>
      </c>
      <c r="B358" s="4" t="str">
        <f>IFERROR(__xludf.DUMMYFUNCTION("""COMPUTED_VALUE"""),"Kinh tế")</f>
        <v>Kinh tế</v>
      </c>
      <c r="C358" s="4" t="str">
        <f>IFERROR(__xludf.DUMMYFUNCTION("""COMPUTED_VALUE"""),"When green capital becomes green reputation: The mediating role of green innovation and the moderating role of organizational slack")</f>
        <v>When green capital becomes green reputation: The mediating role of green innovation and the moderating role of organizational slack</v>
      </c>
      <c r="D358" s="4" t="str">
        <f>IFERROR(__xludf.DUMMYFUNCTION("""COMPUTED_VALUE"""),"Nguyễn Đào Hồng Hạnh")</f>
        <v>Nguyễn Đào Hồng Hạnh</v>
      </c>
      <c r="E358" s="4" t="str">
        <f>IFERROR(__xludf.DUMMYFUNCTION("""COMPUTED_VALUE"""),"Trường Đại học Quốc tế, ĐHQG-HCM")</f>
        <v>Trường Đại học Quốc tế, ĐHQG-HCM</v>
      </c>
      <c r="F358" s="4" t="str">
        <f>IFERROR(__xludf.DUMMYFUNCTION("""COMPUTED_VALUE"""),"KTE2026-360.png")</f>
        <v>KTE2026-360.png</v>
      </c>
    </row>
    <row r="359">
      <c r="A359" s="4" t="str">
        <f>IFERROR(__xludf.DUMMYFUNCTION("""COMPUTED_VALUE"""),"KTE2026-361")</f>
        <v>KTE2026-361</v>
      </c>
      <c r="B359" s="4" t="str">
        <f>IFERROR(__xludf.DUMMYFUNCTION("""COMPUTED_VALUE"""),"Kinh tế")</f>
        <v>Kinh tế</v>
      </c>
      <c r="C359" s="4" t="str">
        <f>IFERROR(__xludf.DUMMYFUNCTION("""COMPUTED_VALUE"""),"What drives users to choose public charging stations? Evidence from Vietnam in urban and long-distance contexts")</f>
        <v>What drives users to choose public charging stations? Evidence from Vietnam in urban and long-distance contexts</v>
      </c>
      <c r="D359" s="4" t="str">
        <f>IFERROR(__xludf.DUMMYFUNCTION("""COMPUTED_VALUE"""),"Nguyễn Thu Hòa; Nguyễn Cao Minh An")</f>
        <v>Nguyễn Thu Hòa; Nguyễn Cao Minh An</v>
      </c>
      <c r="E359" s="4" t="str">
        <f>IFERROR(__xludf.DUMMYFUNCTION("""COMPUTED_VALUE"""),"Trường Đại học Quốc tế, ĐHQG-HCM")</f>
        <v>Trường Đại học Quốc tế, ĐHQG-HCM</v>
      </c>
      <c r="F359" s="4" t="str">
        <f>IFERROR(__xludf.DUMMYFUNCTION("""COMPUTED_VALUE"""),"KTE2026-361.png")</f>
        <v>KTE2026-361.png</v>
      </c>
    </row>
    <row r="360">
      <c r="A360" s="4" t="str">
        <f>IFERROR(__xludf.DUMMYFUNCTION("""COMPUTED_VALUE"""),"KTE2026-362")</f>
        <v>KTE2026-362</v>
      </c>
      <c r="B360" s="4" t="str">
        <f>IFERROR(__xludf.DUMMYFUNCTION("""COMPUTED_VALUE"""),"Kinh tế")</f>
        <v>Kinh tế</v>
      </c>
      <c r="C360" s="4" t="str">
        <f>IFERROR(__xludf.DUMMYFUNCTION("""COMPUTED_VALUE"""),"Ảnh hưởng của năng lực tạo sinh AI đến kết quả học tập của sinh viên Trường Đại học Kỹ thuật - Công nghệ Cần Thơ: Vai trò trung gian của tự điều chỉnh học tập")</f>
        <v>Ảnh hưởng của năng lực tạo sinh AI đến kết quả học tập của sinh viên Trường Đại học Kỹ thuật - Công nghệ Cần Thơ: Vai trò trung gian của tự điều chỉnh học tập</v>
      </c>
      <c r="D360" s="4" t="str">
        <f>IFERROR(__xludf.DUMMYFUNCTION("""COMPUTED_VALUE"""),"Phan Ngọc Mai; Trần Thái Thảo Nguyên; Trần Thị Mỹ Kiều; Nguyễn Thị Liễu Nhi")</f>
        <v>Phan Ngọc Mai; Trần Thái Thảo Nguyên; Trần Thị Mỹ Kiều; Nguyễn Thị Liễu Nhi</v>
      </c>
      <c r="E360" s="4" t="str">
        <f>IFERROR(__xludf.DUMMYFUNCTION("""COMPUTED_VALUE"""),"Trường Đại học Kỹ thuật Công nghệ Cần Thơ")</f>
        <v>Trường Đại học Kỹ thuật Công nghệ Cần Thơ</v>
      </c>
      <c r="F360" s="4" t="str">
        <f>IFERROR(__xludf.DUMMYFUNCTION("""COMPUTED_VALUE"""),"KTE2026-362.png")</f>
        <v>KTE2026-362.png</v>
      </c>
    </row>
    <row r="361">
      <c r="A361" s="4" t="str">
        <f>IFERROR(__xludf.DUMMYFUNCTION("""COMPUTED_VALUE"""),"KTE2026-363")</f>
        <v>KTE2026-363</v>
      </c>
      <c r="B361" s="4" t="str">
        <f>IFERROR(__xludf.DUMMYFUNCTION("""COMPUTED_VALUE"""),"Kinh tế")</f>
        <v>Kinh tế</v>
      </c>
      <c r="C361" s="4" t="str">
        <f>IFERROR(__xludf.DUMMYFUNCTION("""COMPUTED_VALUE"""),"Các yếu tố ảnh hưởng đến hành vi mua hàng ngẫu hứng của sinh viên tại các trường đại học trên địa bàn thành phố Hồ Chí Minh")</f>
        <v>Các yếu tố ảnh hưởng đến hành vi mua hàng ngẫu hứng của sinh viên tại các trường đại học trên địa bàn thành phố Hồ Chí Minh</v>
      </c>
      <c r="D361" s="4" t="str">
        <f>IFERROR(__xludf.DUMMYFUNCTION("""COMPUTED_VALUE"""),"Hà Văn Lợi; Đặng Hữu Minh; Lê Thị Mỹ Hạnh")</f>
        <v>Hà Văn Lợi; Đặng Hữu Minh; Lê Thị Mỹ Hạnh</v>
      </c>
      <c r="E361" s="4" t="str">
        <f>IFERROR(__xludf.DUMMYFUNCTION("""COMPUTED_VALUE"""),"Trường Đại học Văn hóa TP. Hồ Chí Minh")</f>
        <v>Trường Đại học Văn hóa TP. Hồ Chí Minh</v>
      </c>
      <c r="F361" s="4" t="str">
        <f>IFERROR(__xludf.DUMMYFUNCTION("""COMPUTED_VALUE"""),"KTE2026-363.png")</f>
        <v>KTE2026-363.png</v>
      </c>
    </row>
    <row r="362">
      <c r="A362" s="4" t="str">
        <f>IFERROR(__xludf.DUMMYFUNCTION("""COMPUTED_VALUE"""),"KTE2026-364")</f>
        <v>KTE2026-364</v>
      </c>
      <c r="B362" s="4" t="str">
        <f>IFERROR(__xludf.DUMMYFUNCTION("""COMPUTED_VALUE"""),"Kinh tế")</f>
        <v>Kinh tế</v>
      </c>
      <c r="C362" s="4" t="str">
        <f>IFERROR(__xludf.DUMMYFUNCTION("""COMPUTED_VALUE"""),"Các yếu tố ảnh hưởng đến ý định thương mại hóa sản phẩm từ các cuộc thi khoa học của sinh viên Trường Đại học Kỹ thuật - Công nghệ Cần Thơ")</f>
        <v>Các yếu tố ảnh hưởng đến ý định thương mại hóa sản phẩm từ các cuộc thi khoa học của sinh viên Trường Đại học Kỹ thuật - Công nghệ Cần Thơ</v>
      </c>
      <c r="D362" s="4" t="str">
        <f>IFERROR(__xludf.DUMMYFUNCTION("""COMPUTED_VALUE"""),"Huỳnh Văn Mến; Trần Thị Minh Ngọc; Bùi Trần Tuyết Sương; Nguyễn Thị Ngọc Thảo")</f>
        <v>Huỳnh Văn Mến; Trần Thị Minh Ngọc; Bùi Trần Tuyết Sương; Nguyễn Thị Ngọc Thảo</v>
      </c>
      <c r="E362" s="4" t="str">
        <f>IFERROR(__xludf.DUMMYFUNCTION("""COMPUTED_VALUE"""),"Trường Đại học Kỹ thuật Công nghệ Cần Thơ")</f>
        <v>Trường Đại học Kỹ thuật Công nghệ Cần Thơ</v>
      </c>
      <c r="F362" s="4" t="str">
        <f>IFERROR(__xludf.DUMMYFUNCTION("""COMPUTED_VALUE"""),"KTE2026-364.png")</f>
        <v>KTE2026-364.png</v>
      </c>
    </row>
    <row r="363">
      <c r="A363" s="4" t="str">
        <f>IFERROR(__xludf.DUMMYFUNCTION("""COMPUTED_VALUE"""),"KTE2026-365")</f>
        <v>KTE2026-365</v>
      </c>
      <c r="B363" s="4" t="str">
        <f>IFERROR(__xludf.DUMMYFUNCTION("""COMPUTED_VALUE"""),"Kinh tế")</f>
        <v>Kinh tế</v>
      </c>
      <c r="C363" s="4" t="str">
        <f>IFERROR(__xludf.DUMMYFUNCTION("""COMPUTED_VALUE"""),"Ảnh hưởng của công nghệ thực tế ảo tăng cường (AR) đến ý định mua hàng trực tuyến: Sự khác biệt giữa khách hàng Gen Z và Gen Y trên địa bàn Hà Nội khi mua sắm các sản phẩm mỹ phẩm")</f>
        <v>Ảnh hưởng của công nghệ thực tế ảo tăng cường (AR) đến ý định mua hàng trực tuyến: Sự khác biệt giữa khách hàng Gen Z và Gen Y trên địa bàn Hà Nội khi mua sắm các sản phẩm mỹ phẩm</v>
      </c>
      <c r="D363" s="4" t="str">
        <f>IFERROR(__xludf.DUMMYFUNCTION("""COMPUTED_VALUE"""),"Lương Thanh Thủy; Nguyễn Hải Anh; Hoàng Lan Hương; Nguyễn Ngọc Linh; Lê Thị Hải Yến")</f>
        <v>Lương Thanh Thủy; Nguyễn Hải Anh; Hoàng Lan Hương; Nguyễn Ngọc Linh; Lê Thị Hải Yến</v>
      </c>
      <c r="E363" s="4" t="str">
        <f>IFERROR(__xludf.DUMMYFUNCTION("""COMPUTED_VALUE"""),"Học viện Ngân hàng")</f>
        <v>Học viện Ngân hàng</v>
      </c>
      <c r="F363" s="4" t="str">
        <f>IFERROR(__xludf.DUMMYFUNCTION("""COMPUTED_VALUE"""),"KTE2026-365.png")</f>
        <v>KTE2026-365.png</v>
      </c>
    </row>
    <row r="364">
      <c r="A364" s="4" t="str">
        <f>IFERROR(__xludf.DUMMYFUNCTION("""COMPUTED_VALUE"""),"KTE2026-366")</f>
        <v>KTE2026-366</v>
      </c>
      <c r="B364" s="4" t="str">
        <f>IFERROR(__xludf.DUMMYFUNCTION("""COMPUTED_VALUE"""),"Kinh tế")</f>
        <v>Kinh tế</v>
      </c>
      <c r="C364" s="4" t="str">
        <f>IFERROR(__xludf.DUMMYFUNCTION("""COMPUTED_VALUE"""),"Ảnh hưởng của thông tin quy trình và giải thích quy trình đến ý định tiếp tục tham gia ứng tuyển trong quy trình tuyển dụng có ứng dụng công nghệ AI của ứng viên Gen Z tại TP.HCM: Vai trò trung gian của cảm nhận công bằng, cơ hội thể hiện và sự bất an cảm"&amp;" xúc")</f>
        <v>Ảnh hưởng của thông tin quy trình và giải thích quy trình đến ý định tiếp tục tham gia ứng tuyển trong quy trình tuyển dụng có ứng dụng công nghệ AI của ứng viên Gen Z tại TP.HCM: Vai trò trung gian của cảm nhận công bằng, cơ hội thể hiện và sự bất an cảm xúc</v>
      </c>
      <c r="D364" s="4" t="str">
        <f>IFERROR(__xludf.DUMMYFUNCTION("""COMPUTED_VALUE"""),"Nguyễn Ngọc Yến Nhi; Trần Lệ Quyên; Trương Triệu Khải; Phạm Thuỷ Hiền; Đinh Thị Thu Thuỷ")</f>
        <v>Nguyễn Ngọc Yến Nhi; Trần Lệ Quyên; Trương Triệu Khải; Phạm Thuỷ Hiền; Đinh Thị Thu Thuỷ</v>
      </c>
      <c r="E364" s="4" t="str">
        <f>IFERROR(__xludf.DUMMYFUNCTION("""COMPUTED_VALUE"""),"Phân hiệu Trường Đại học Ngoại thương tại TP. Hồ Chí Minh")</f>
        <v>Phân hiệu Trường Đại học Ngoại thương tại TP. Hồ Chí Minh</v>
      </c>
      <c r="F364" s="4" t="str">
        <f>IFERROR(__xludf.DUMMYFUNCTION("""COMPUTED_VALUE"""),"KTE2026-366.png")</f>
        <v>KTE2026-366.png</v>
      </c>
    </row>
    <row r="365">
      <c r="A365" s="4" t="str">
        <f>IFERROR(__xludf.DUMMYFUNCTION("""COMPUTED_VALUE"""),"KTE2026-367")</f>
        <v>KTE2026-367</v>
      </c>
      <c r="B365" s="4" t="str">
        <f>IFERROR(__xludf.DUMMYFUNCTION("""COMPUTED_VALUE"""),"Kinh tế")</f>
        <v>Kinh tế</v>
      </c>
      <c r="C365" s="4" t="str">
        <f>IFERROR(__xludf.DUMMYFUNCTION("""COMPUTED_VALUE"""),"Ảnh hưởng của đánh giá trực tuyến đến quyết định mua hàng của thanh niên trên sàn thương mại điện tử hiện nay")</f>
        <v>Ảnh hưởng của đánh giá trực tuyến đến quyết định mua hàng của thanh niên trên sàn thương mại điện tử hiện nay</v>
      </c>
      <c r="D365" s="4" t="str">
        <f>IFERROR(__xludf.DUMMYFUNCTION("""COMPUTED_VALUE"""),"Nguyễn Hải Anh; Võ Huyền Anh; Nguyễn Thị Lam Giang; Nguyễn Thị Ngọc Hoa; Phạm Diễm Quỳnh")</f>
        <v>Nguyễn Hải Anh; Võ Huyền Anh; Nguyễn Thị Lam Giang; Nguyễn Thị Ngọc Hoa; Phạm Diễm Quỳnh</v>
      </c>
      <c r="E365" s="4" t="str">
        <f>IFERROR(__xludf.DUMMYFUNCTION("""COMPUTED_VALUE"""),"Học viện Báo chí và Tuyên truyền")</f>
        <v>Học viện Báo chí và Tuyên truyền</v>
      </c>
      <c r="F365" s="4" t="str">
        <f>IFERROR(__xludf.DUMMYFUNCTION("""COMPUTED_VALUE"""),"KTE2026-367.png")</f>
        <v>KTE2026-367.png</v>
      </c>
    </row>
    <row r="366">
      <c r="A366" s="4" t="str">
        <f>IFERROR(__xludf.DUMMYFUNCTION("""COMPUTED_VALUE"""),"KTE2026-368")</f>
        <v>KTE2026-368</v>
      </c>
      <c r="B366" s="4" t="str">
        <f>IFERROR(__xludf.DUMMYFUNCTION("""COMPUTED_VALUE"""),"Kinh tế")</f>
        <v>Kinh tế</v>
      </c>
      <c r="C366" s="4" t="str">
        <f>IFERROR(__xludf.DUMMYFUNCTION("""COMPUTED_VALUE"""),"Các yếu tố liên quan đến ý định tiếp tục sử dụng ứng dụng ShopeeFood của sinh viên tại trường đại học: Nghiên cứu khảo sát cắt ngang")</f>
        <v>Các yếu tố liên quan đến ý định tiếp tục sử dụng ứng dụng ShopeeFood của sinh viên tại trường đại học: Nghiên cứu khảo sát cắt ngang</v>
      </c>
      <c r="D366" s="4" t="str">
        <f>IFERROR(__xludf.DUMMYFUNCTION("""COMPUTED_VALUE"""),"Lục Minh Đăng; Nguyễn Thị Hồng Sa; Nguyễn Hồng Giang; Đỗ Đặng Phương Thảo; Nguyễn Thị Phương Thùy")</f>
        <v>Lục Minh Đăng; Nguyễn Thị Hồng Sa; Nguyễn Hồng Giang; Đỗ Đặng Phương Thảo; Nguyễn Thị Phương Thùy</v>
      </c>
      <c r="E366" s="4" t="str">
        <f>IFERROR(__xludf.DUMMYFUNCTION("""COMPUTED_VALUE"""),"Trường Đại học Gia Định")</f>
        <v>Trường Đại học Gia Định</v>
      </c>
      <c r="F366" s="4" t="str">
        <f>IFERROR(__xludf.DUMMYFUNCTION("""COMPUTED_VALUE"""),"KTE2026-368.png")</f>
        <v>KTE2026-368.png</v>
      </c>
    </row>
    <row r="367">
      <c r="A367" s="4" t="str">
        <f>IFERROR(__xludf.DUMMYFUNCTION("""COMPUTED_VALUE"""),"KTE2026-369")</f>
        <v>KTE2026-369</v>
      </c>
      <c r="B367" s="4" t="str">
        <f>IFERROR(__xludf.DUMMYFUNCTION("""COMPUTED_VALUE"""),"Kinh tế")</f>
        <v>Kinh tế</v>
      </c>
      <c r="C367" s="4" t="str">
        <f>IFERROR(__xludf.DUMMYFUNCTION("""COMPUTED_VALUE"""),"Các yếu tố ảnh hưởng đến ý định khởi nghiệp của sinh viên khối ngành kinh tế")</f>
        <v>Các yếu tố ảnh hưởng đến ý định khởi nghiệp của sinh viên khối ngành kinh tế</v>
      </c>
      <c r="D367" s="4" t="str">
        <f>IFERROR(__xludf.DUMMYFUNCTION("""COMPUTED_VALUE"""),"Trần Lê Kiều My; Lê Trần Thanh Trang; Bùi Yến Nhi; Nguyễn Thị Hồng Phương; Phạm Xuân Trang")</f>
        <v>Trần Lê Kiều My; Lê Trần Thanh Trang; Bùi Yến Nhi; Nguyễn Thị Hồng Phương; Phạm Xuân Trang</v>
      </c>
      <c r="E367" s="4" t="str">
        <f>IFERROR(__xludf.DUMMYFUNCTION("""COMPUTED_VALUE"""),"Trường Đại học Gia Định")</f>
        <v>Trường Đại học Gia Định</v>
      </c>
      <c r="F367" s="4" t="str">
        <f>IFERROR(__xludf.DUMMYFUNCTION("""COMPUTED_VALUE"""),"KTE2026-369.png")</f>
        <v>KTE2026-369.png</v>
      </c>
    </row>
    <row r="368">
      <c r="A368" s="4" t="str">
        <f>IFERROR(__xludf.DUMMYFUNCTION("""COMPUTED_VALUE"""),"KTE2026-370")</f>
        <v>KTE2026-370</v>
      </c>
      <c r="B368" s="4" t="str">
        <f>IFERROR(__xludf.DUMMYFUNCTION("""COMPUTED_VALUE"""),"Kinh tế")</f>
        <v>Kinh tế</v>
      </c>
      <c r="C368" s="4" t="str">
        <f>IFERROR(__xludf.DUMMYFUNCTION("""COMPUTED_VALUE"""),"The impact of servant leadership on innovative work behavior of generation Y employees in the e-commerce sector in Ho Chi Minh City: The roles of psychological empowerment, leader-member exchange, core self-evaluation, and power distance orientation")</f>
        <v>The impact of servant leadership on innovative work behavior of generation Y employees in the e-commerce sector in Ho Chi Minh City: The roles of psychological empowerment, leader-member exchange, core self-evaluation, and power distance orientation</v>
      </c>
      <c r="D368" s="4" t="str">
        <f>IFERROR(__xludf.DUMMYFUNCTION("""COMPUTED_VALUE"""),"Phan Thị Cẩm Tú; Võ Thị Ái My; Đỗ Thị Ánh Linh")</f>
        <v>Phan Thị Cẩm Tú; Võ Thị Ái My; Đỗ Thị Ánh Linh</v>
      </c>
      <c r="E368" s="4" t="str">
        <f>IFERROR(__xludf.DUMMYFUNCTION("""COMPUTED_VALUE"""),"Phân hiệu Trường Đại học Ngoại thương tại TP. Hồ Chí Minh")</f>
        <v>Phân hiệu Trường Đại học Ngoại thương tại TP. Hồ Chí Minh</v>
      </c>
      <c r="F368" s="4" t="str">
        <f>IFERROR(__xludf.DUMMYFUNCTION("""COMPUTED_VALUE"""),"KTE2026-370.png")</f>
        <v>KTE2026-370.png</v>
      </c>
    </row>
    <row r="369">
      <c r="A369" s="4" t="str">
        <f>IFERROR(__xludf.DUMMYFUNCTION("""COMPUTED_VALUE"""),"KTE2026-371")</f>
        <v>KTE2026-371</v>
      </c>
      <c r="B369" s="4" t="str">
        <f>IFERROR(__xludf.DUMMYFUNCTION("""COMPUTED_VALUE"""),"Kinh tế")</f>
        <v>Kinh tế</v>
      </c>
      <c r="C369" s="4" t="str">
        <f>IFERROR(__xludf.DUMMYFUNCTION("""COMPUTED_VALUE"""),"Phát triển mô hình kinh tế tuần hoàn trong thương mại điện tử: Giải pháp giảm thiểu rác thải bao bì và hướng tới tối ưu hóa logistics chặng cuối tại thành phố Hồ Chí Minh")</f>
        <v>Phát triển mô hình kinh tế tuần hoàn trong thương mại điện tử: Giải pháp giảm thiểu rác thải bao bì và hướng tới tối ưu hóa logistics chặng cuối tại thành phố Hồ Chí Minh</v>
      </c>
      <c r="D369" s="4" t="str">
        <f>IFERROR(__xludf.DUMMYFUNCTION("""COMPUTED_VALUE"""),"Trần Đình Thanh; Trần Thảo Ly; Nguyễn Thị Mỹ Khang; Châu Thành Phú; Nguyễn Thị Gấm Hoa")</f>
        <v>Trần Đình Thanh; Trần Thảo Ly; Nguyễn Thị Mỹ Khang; Châu Thành Phú; Nguyễn Thị Gấm Hoa</v>
      </c>
      <c r="E369" s="4" t="str">
        <f>IFERROR(__xludf.DUMMYFUNCTION("""COMPUTED_VALUE"""),"Trường Cao đẳng Kinh tế Đối ngoại")</f>
        <v>Trường Cao đẳng Kinh tế Đối ngoại</v>
      </c>
      <c r="F369" s="4" t="str">
        <f>IFERROR(__xludf.DUMMYFUNCTION("""COMPUTED_VALUE"""),"KTE2026-371.png")</f>
        <v>KTE2026-371.png</v>
      </c>
    </row>
    <row r="370">
      <c r="A370" s="4" t="str">
        <f>IFERROR(__xludf.DUMMYFUNCTION("""COMPUTED_VALUE"""),"KTE2026-372")</f>
        <v>KTE2026-372</v>
      </c>
      <c r="B370" s="4" t="str">
        <f>IFERROR(__xludf.DUMMYFUNCTION("""COMPUTED_VALUE"""),"Kinh tế")</f>
        <v>Kinh tế</v>
      </c>
      <c r="C370" s="4" t="str">
        <f>IFERROR(__xludf.DUMMYFUNCTION("""COMPUTED_VALUE"""),"Nghiên cứu tác động của chuyển đổi số và năng lực sáng tạo xanh đến hiệu quả bền vững (ESG) của các doanh nghiệp vừa và nhỏ (SMEs) tại Việt Nam: Xây dựng khung chỉ số đánh giá và cẩm nang lộ trình chuyển đổi kép")</f>
        <v>Nghiên cứu tác động của chuyển đổi số và năng lực sáng tạo xanh đến hiệu quả bền vững (ESG) của các doanh nghiệp vừa và nhỏ (SMEs) tại Việt Nam: Xây dựng khung chỉ số đánh giá và cẩm nang lộ trình chuyển đổi kép</v>
      </c>
      <c r="D370" s="4" t="str">
        <f>IFERROR(__xludf.DUMMYFUNCTION("""COMPUTED_VALUE"""),"Bùi Đình Phúc; Lâm Vũ Như; Ngô Thanh Phong; Lê Bảo Xuyên; Nguyễn Trần Khả Nhi")</f>
        <v>Bùi Đình Phúc; Lâm Vũ Như; Ngô Thanh Phong; Lê Bảo Xuyên; Nguyễn Trần Khả Nhi</v>
      </c>
      <c r="E370" s="4" t="str">
        <f>IFERROR(__xludf.DUMMYFUNCTION("""COMPUTED_VALUE"""),"Trường Cao đẳng Kinh tế Đối ngoại")</f>
        <v>Trường Cao đẳng Kinh tế Đối ngoại</v>
      </c>
      <c r="F370" s="4" t="str">
        <f>IFERROR(__xludf.DUMMYFUNCTION("""COMPUTED_VALUE"""),"KTE2026-372.png")</f>
        <v>KTE2026-372.png</v>
      </c>
    </row>
    <row r="371">
      <c r="A371" s="4" t="str">
        <f>IFERROR(__xludf.DUMMYFUNCTION("""COMPUTED_VALUE"""),"KTE2026-373")</f>
        <v>KTE2026-373</v>
      </c>
      <c r="B371" s="4" t="str">
        <f>IFERROR(__xludf.DUMMYFUNCTION("""COMPUTED_VALUE"""),"Kinh tế")</f>
        <v>Kinh tế</v>
      </c>
      <c r="C371" s="4" t="str">
        <f>IFERROR(__xludf.DUMMYFUNCTION("""COMPUTED_VALUE"""),"AI FOMO: Cách thuật toán cá nhân hóa tạo ra cảm giác khẩn cấp và thúc đẩy hành vi mua của Gen Z")</f>
        <v>AI FOMO: Cách thuật toán cá nhân hóa tạo ra cảm giác khẩn cấp và thúc đẩy hành vi mua của Gen Z</v>
      </c>
      <c r="D371" s="4" t="str">
        <f>IFERROR(__xludf.DUMMYFUNCTION("""COMPUTED_VALUE"""),"Đỗ Bảo Châu; Phạm Khánh Vy; Nguyễn Ngọc Anh Thơ")</f>
        <v>Đỗ Bảo Châu; Phạm Khánh Vy; Nguyễn Ngọc Anh Thơ</v>
      </c>
      <c r="E371" s="4" t="str">
        <f>IFERROR(__xludf.DUMMYFUNCTION("""COMPUTED_VALUE"""),"Trường Đại học Gia Định")</f>
        <v>Trường Đại học Gia Định</v>
      </c>
      <c r="F371" s="4" t="str">
        <f>IFERROR(__xludf.DUMMYFUNCTION("""COMPUTED_VALUE"""),"KTE2026-373.png")</f>
        <v>KTE2026-373.png</v>
      </c>
    </row>
    <row r="372">
      <c r="A372" s="4" t="str">
        <f>IFERROR(__xludf.DUMMYFUNCTION("""COMPUTED_VALUE"""),"KTE2026-374")</f>
        <v>KTE2026-374</v>
      </c>
      <c r="B372" s="4" t="str">
        <f>IFERROR(__xludf.DUMMYFUNCTION("""COMPUTED_VALUE"""),"Kinh tế")</f>
        <v>Kinh tế</v>
      </c>
      <c r="C372" s="4" t="str">
        <f>IFERROR(__xludf.DUMMYFUNCTION("""COMPUTED_VALUE"""),"Các yếu tố ảnh hưởng đến ý định sử dụng trợ lý trí tuệ nhân tạo (AI) trong lập kế hoạch chuyến đi của Gen Z tại thành phố Hồ Chí Minh: Vai trò của niềm tin và nỗi lo về “ảo giác AI”")</f>
        <v>Các yếu tố ảnh hưởng đến ý định sử dụng trợ lý trí tuệ nhân tạo (AI) trong lập kế hoạch chuyến đi của Gen Z tại thành phố Hồ Chí Minh: Vai trò của niềm tin và nỗi lo về “ảo giác AI”</v>
      </c>
      <c r="D372" s="4" t="str">
        <f>IFERROR(__xludf.DUMMYFUNCTION("""COMPUTED_VALUE"""),"Phan Thị Mỹ Thuận; Đỗ Thị Luỹ; Lê Tú Nga; Hoàng Thị Hà Linh; Hoàng Ngọc Sơn")</f>
        <v>Phan Thị Mỹ Thuận; Đỗ Thị Luỹ; Lê Tú Nga; Hoàng Thị Hà Linh; Hoàng Ngọc Sơn</v>
      </c>
      <c r="E372" s="4" t="str">
        <f>IFERROR(__xludf.DUMMYFUNCTION("""COMPUTED_VALUE"""),"Trường Cao đẳng Kinh tế Đối ngoại")</f>
        <v>Trường Cao đẳng Kinh tế Đối ngoại</v>
      </c>
      <c r="F372" s="4" t="str">
        <f>IFERROR(__xludf.DUMMYFUNCTION("""COMPUTED_VALUE"""),"KTE2026-374.png")</f>
        <v>KTE2026-374.png</v>
      </c>
    </row>
    <row r="373">
      <c r="A373" s="4" t="str">
        <f>IFERROR(__xludf.DUMMYFUNCTION("""COMPUTED_VALUE"""),"KTE2026-375")</f>
        <v>KTE2026-375</v>
      </c>
      <c r="B373" s="4" t="str">
        <f>IFERROR(__xludf.DUMMYFUNCTION("""COMPUTED_VALUE"""),"Kinh tế")</f>
        <v>Kinh tế</v>
      </c>
      <c r="C373" s="4" t="str">
        <f>IFERROR(__xludf.DUMMYFUNCTION("""COMPUTED_VALUE"""),"Tác động của hình ảnh quảng cáo do AI tạo sinh đến niềm tin của người tiêu dùng: Vai trò của tính chân thực cảm nhận và tính minh bạch quảng cáo")</f>
        <v>Tác động của hình ảnh quảng cáo do AI tạo sinh đến niềm tin của người tiêu dùng: Vai trò của tính chân thực cảm nhận và tính minh bạch quảng cáo</v>
      </c>
      <c r="D373" s="4" t="str">
        <f>IFERROR(__xludf.DUMMYFUNCTION("""COMPUTED_VALUE"""),"Phong Hiệp Tuyết Nhi; Huỳnh Phạm Triều Vy; Bùi Thị Mai Lan; Nguyễn Thị Thùy Trang; Nguyễn Thùy Trang")</f>
        <v>Phong Hiệp Tuyết Nhi; Huỳnh Phạm Triều Vy; Bùi Thị Mai Lan; Nguyễn Thị Thùy Trang; Nguyễn Thùy Trang</v>
      </c>
      <c r="E373" s="4" t="str">
        <f>IFERROR(__xludf.DUMMYFUNCTION("""COMPUTED_VALUE"""),"Trường Đại học Gia Định")</f>
        <v>Trường Đại học Gia Định</v>
      </c>
      <c r="F373" s="4" t="str">
        <f>IFERROR(__xludf.DUMMYFUNCTION("""COMPUTED_VALUE"""),"KTE2026-375.png")</f>
        <v>KTE2026-375.png</v>
      </c>
    </row>
    <row r="374">
      <c r="A374" s="4" t="str">
        <f>IFERROR(__xludf.DUMMYFUNCTION("""COMPUTED_VALUE"""),"KTE2026-376")</f>
        <v>KTE2026-376</v>
      </c>
      <c r="B374" s="4" t="str">
        <f>IFERROR(__xludf.DUMMYFUNCTION("""COMPUTED_VALUE"""),"Kinh tế")</f>
        <v>Kinh tế</v>
      </c>
      <c r="C374" s="4" t="str">
        <f>IFERROR(__xludf.DUMMYFUNCTION("""COMPUTED_VALUE"""),"Mô hình dự báo, định lượng chi phí và ưu tiên xử lý sớm nguy cơ phát sinh DEM/DET trong vận tải container cho doanh nghiệp forwarder vừa và nhỏ tại Việt Nam")</f>
        <v>Mô hình dự báo, định lượng chi phí và ưu tiên xử lý sớm nguy cơ phát sinh DEM/DET trong vận tải container cho doanh nghiệp forwarder vừa và nhỏ tại Việt Nam</v>
      </c>
      <c r="D374" s="4" t="str">
        <f>IFERROR(__xludf.DUMMYFUNCTION("""COMPUTED_VALUE"""),"Nguyễn Ngọc Quỳnh Nga; Trần Đức Dũng; Lưu Gia Bảo; Nguyễn Ngọc Nghĩa")</f>
        <v>Nguyễn Ngọc Quỳnh Nga; Trần Đức Dũng; Lưu Gia Bảo; Nguyễn Ngọc Nghĩa</v>
      </c>
      <c r="E374" s="4" t="str">
        <f>IFERROR(__xludf.DUMMYFUNCTION("""COMPUTED_VALUE"""),"Trường Cao đẳng Kinh tế Đối ngoại")</f>
        <v>Trường Cao đẳng Kinh tế Đối ngoại</v>
      </c>
      <c r="F374" s="4" t="str">
        <f>IFERROR(__xludf.DUMMYFUNCTION("""COMPUTED_VALUE"""),"KTE2026-376.png")</f>
        <v>KTE2026-376.png</v>
      </c>
    </row>
    <row r="375">
      <c r="A375" s="4" t="str">
        <f>IFERROR(__xludf.DUMMYFUNCTION("""COMPUTED_VALUE"""),"KTE2026-377")</f>
        <v>KTE2026-377</v>
      </c>
      <c r="B375" s="4" t="str">
        <f>IFERROR(__xludf.DUMMYFUNCTION("""COMPUTED_VALUE"""),"Kinh tế")</f>
        <v>Kinh tế</v>
      </c>
      <c r="C375" s="4" t="str">
        <f>IFERROR(__xludf.DUMMYFUNCTION("""COMPUTED_VALUE"""),"Ứng dụng công nghệ số để tối ưu hóa chuỗi cung ứng sầu riêng tích hợp đa nền tảng web - Zalo")</f>
        <v>Ứng dụng công nghệ số để tối ưu hóa chuỗi cung ứng sầu riêng tích hợp đa nền tảng web - Zalo</v>
      </c>
      <c r="D375" s="4" t="str">
        <f>IFERROR(__xludf.DUMMYFUNCTION("""COMPUTED_VALUE"""),"Lê Hùng Nhiệm Đình Hi; Nguyễn Thị Mỹ Ngọc; Lê Lữ Phương Thảo")</f>
        <v>Lê Hùng Nhiệm Đình Hi; Nguyễn Thị Mỹ Ngọc; Lê Lữ Phương Thảo</v>
      </c>
      <c r="E375" s="4" t="str">
        <f>IFERROR(__xludf.DUMMYFUNCTION("""COMPUTED_VALUE"""),"Trường Cao đẳng Kinh tế Đối ngoại")</f>
        <v>Trường Cao đẳng Kinh tế Đối ngoại</v>
      </c>
      <c r="F375" s="4" t="str">
        <f>IFERROR(__xludf.DUMMYFUNCTION("""COMPUTED_VALUE"""),"KTE2026-377.png")</f>
        <v>KTE2026-377.png</v>
      </c>
    </row>
    <row r="376">
      <c r="A376" s="4" t="str">
        <f>IFERROR(__xludf.DUMMYFUNCTION("""COMPUTED_VALUE"""),"KTE2026-378")</f>
        <v>KTE2026-378</v>
      </c>
      <c r="B376" s="4" t="str">
        <f>IFERROR(__xludf.DUMMYFUNCTION("""COMPUTED_VALUE"""),"Kinh tế")</f>
        <v>Kinh tế</v>
      </c>
      <c r="C376" s="4" t="str">
        <f>IFERROR(__xludf.DUMMYFUNCTION("""COMPUTED_VALUE"""),"Phản ứng của khách hàng đối với kịch bản chăm sóc tự động được cá nhân hóa đa tầng bằng trí tuệ nhân tạo trong hệ thống CRM")</f>
        <v>Phản ứng của khách hàng đối với kịch bản chăm sóc tự động được cá nhân hóa đa tầng bằng trí tuệ nhân tạo trong hệ thống CRM</v>
      </c>
      <c r="D376" s="4" t="str">
        <f>IFERROR(__xludf.DUMMYFUNCTION("""COMPUTED_VALUE"""),"Nguyễn Thị Như Quỳnh; Nguyễn Thục Thiên Ân; Nguyễn Trúc Vy; Trần Thị Bích Tuyền")</f>
        <v>Nguyễn Thị Như Quỳnh; Nguyễn Thục Thiên Ân; Nguyễn Trúc Vy; Trần Thị Bích Tuyền</v>
      </c>
      <c r="E376" s="4" t="str">
        <f>IFERROR(__xludf.DUMMYFUNCTION("""COMPUTED_VALUE"""),"Trường Đại học Gia Định")</f>
        <v>Trường Đại học Gia Định</v>
      </c>
      <c r="F376" s="4" t="str">
        <f>IFERROR(__xludf.DUMMYFUNCTION("""COMPUTED_VALUE"""),"KTE2026-378.png")</f>
        <v>KTE2026-378.png</v>
      </c>
    </row>
    <row r="377">
      <c r="A377" s="4" t="str">
        <f>IFERROR(__xludf.DUMMYFUNCTION("""COMPUTED_VALUE"""),"KTE2026-379")</f>
        <v>KTE2026-379</v>
      </c>
      <c r="B377" s="4" t="str">
        <f>IFERROR(__xludf.DUMMYFUNCTION("""COMPUTED_VALUE"""),"Kinh tế")</f>
        <v>Kinh tế</v>
      </c>
      <c r="C377" s="4" t="str">
        <f>IFERROR(__xludf.DUMMYFUNCTION("""COMPUTED_VALUE"""),"Nghiên cứu ảnh hưởng của công nghệ virtual try on (VTO) đến ý định mua mỹ phẩm trực tuyến của giới trẻ tại thành phố Đà Nẵng")</f>
        <v>Nghiên cứu ảnh hưởng của công nghệ virtual try on (VTO) đến ý định mua mỹ phẩm trực tuyến của giới trẻ tại thành phố Đà Nẵng</v>
      </c>
      <c r="D377" s="4" t="str">
        <f>IFERROR(__xludf.DUMMYFUNCTION("""COMPUTED_VALUE"""),"Nguyễn Bích Ngân Duyên; Nguyễn Thị Bích Phương; Nguyễn Phạm Huyền Trang")</f>
        <v>Nguyễn Bích Ngân Duyên; Nguyễn Thị Bích Phương; Nguyễn Phạm Huyền Trang</v>
      </c>
      <c r="E377" s="4" t="str">
        <f>IFERROR(__xludf.DUMMYFUNCTION("""COMPUTED_VALUE"""),"Đại học Duy Tân")</f>
        <v>Đại học Duy Tân</v>
      </c>
      <c r="F377" s="4" t="str">
        <f>IFERROR(__xludf.DUMMYFUNCTION("""COMPUTED_VALUE"""),"KTE2026-379.png")</f>
        <v>KTE2026-379.png</v>
      </c>
    </row>
    <row r="378">
      <c r="A378" s="4" t="str">
        <f>IFERROR(__xludf.DUMMYFUNCTION("""COMPUTED_VALUE"""),"KTE2026-380")</f>
        <v>KTE2026-380</v>
      </c>
      <c r="B378" s="4" t="str">
        <f>IFERROR(__xludf.DUMMYFUNCTION("""COMPUTED_VALUE"""),"Kinh tế")</f>
        <v>Kinh tế</v>
      </c>
      <c r="C378" s="4" t="str">
        <f>IFERROR(__xludf.DUMMYFUNCTION("""COMPUTED_VALUE"""),"Nghiên cứu các nhân tố ảnh hưởng đến quyết định lựa chọn hãng tàu vận tải quốc tế của doanh nghiệp forwarder trên địa bàn thành phố Đồng Nai")</f>
        <v>Nghiên cứu các nhân tố ảnh hưởng đến quyết định lựa chọn hãng tàu vận tải quốc tế của doanh nghiệp forwarder trên địa bàn thành phố Đồng Nai</v>
      </c>
      <c r="D378" s="4" t="str">
        <f>IFERROR(__xludf.DUMMYFUNCTION("""COMPUTED_VALUE"""),"Hà Thị Hiền; Lê Vũ Minh Trang")</f>
        <v>Hà Thị Hiền; Lê Vũ Minh Trang</v>
      </c>
      <c r="E378" s="4" t="str">
        <f>IFERROR(__xludf.DUMMYFUNCTION("""COMPUTED_VALUE"""),"Trường Đại học Lạc Hồng")</f>
        <v>Trường Đại học Lạc Hồng</v>
      </c>
      <c r="F378" s="4" t="str">
        <f>IFERROR(__xludf.DUMMYFUNCTION("""COMPUTED_VALUE"""),"KTE2026-380.png")</f>
        <v>KTE2026-380.png</v>
      </c>
    </row>
    <row r="379">
      <c r="A379" s="4" t="str">
        <f>IFERROR(__xludf.DUMMYFUNCTION("""COMPUTED_VALUE"""),"KTE2026-381")</f>
        <v>KTE2026-381</v>
      </c>
      <c r="B379" s="4" t="str">
        <f>IFERROR(__xludf.DUMMYFUNCTION("""COMPUTED_VALUE"""),"Kinh tế")</f>
        <v>Kinh tế</v>
      </c>
      <c r="C379" s="4" t="str">
        <f>IFERROR(__xludf.DUMMYFUNCTION("""COMPUTED_VALUE"""),"The impact of AI-based recommendation experience on consumer purchase decision on social media platforms")</f>
        <v>The impact of AI-based recommendation experience on consumer purchase decision on social media platforms</v>
      </c>
      <c r="D379" s="4" t="str">
        <f>IFERROR(__xludf.DUMMYFUNCTION("""COMPUTED_VALUE"""),"Phạm Ngô Ngọc Hạnh")</f>
        <v>Phạm Ngô Ngọc Hạnh</v>
      </c>
      <c r="E379" s="4" t="str">
        <f>IFERROR(__xludf.DUMMYFUNCTION("""COMPUTED_VALUE"""),"Trường Đại học Ngân hàng TP. Hồ Chí Minh")</f>
        <v>Trường Đại học Ngân hàng TP. Hồ Chí Minh</v>
      </c>
      <c r="F379" s="4" t="str">
        <f>IFERROR(__xludf.DUMMYFUNCTION("""COMPUTED_VALUE"""),"KTE2026-381.png")</f>
        <v>KTE2026-381.png</v>
      </c>
    </row>
    <row r="380">
      <c r="A380" s="4" t="str">
        <f>IFERROR(__xludf.DUMMYFUNCTION("""COMPUTED_VALUE"""),"KTE2026-382")</f>
        <v>KTE2026-382</v>
      </c>
      <c r="B380" s="4" t="str">
        <f>IFERROR(__xludf.DUMMYFUNCTION("""COMPUTED_VALUE"""),"Kinh tế")</f>
        <v>Kinh tế</v>
      </c>
      <c r="C380" s="4" t="str">
        <f>IFERROR(__xludf.DUMMYFUNCTION("""COMPUTED_VALUE"""),"Tác động của các điểm ESG đến hiệu quả kinh doanh của doanh nghiệp trong ngành sản xuất: Vai trò điều tiết của chỉ số phát triển con người")</f>
        <v>Tác động của các điểm ESG đến hiệu quả kinh doanh của doanh nghiệp trong ngành sản xuất: Vai trò điều tiết của chỉ số phát triển con người</v>
      </c>
      <c r="D380" s="4" t="str">
        <f>IFERROR(__xludf.DUMMYFUNCTION("""COMPUTED_VALUE"""),"Lê Thị Kim Vân; Ngô Nguyễn Tường Vy; Bạch Nguyễn Bảo Trâm")</f>
        <v>Lê Thị Kim Vân; Ngô Nguyễn Tường Vy; Bạch Nguyễn Bảo Trâm</v>
      </c>
      <c r="E380" s="4" t="str">
        <f>IFERROR(__xludf.DUMMYFUNCTION("""COMPUTED_VALUE"""),"Trường Đại học Ngân hàng TP. Hồ Chí Minh")</f>
        <v>Trường Đại học Ngân hàng TP. Hồ Chí Minh</v>
      </c>
      <c r="F380" s="4" t="str">
        <f>IFERROR(__xludf.DUMMYFUNCTION("""COMPUTED_VALUE"""),"KTE2026-382.png")</f>
        <v>KTE2026-382.png</v>
      </c>
    </row>
    <row r="381">
      <c r="A381" s="4" t="str">
        <f>IFERROR(__xludf.DUMMYFUNCTION("""COMPUTED_VALUE"""),"KTE2026-383")</f>
        <v>KTE2026-383</v>
      </c>
      <c r="B381" s="4" t="str">
        <f>IFERROR(__xludf.DUMMYFUNCTION("""COMPUTED_VALUE"""),"Kinh tế")</f>
        <v>Kinh tế</v>
      </c>
      <c r="C381" s="4" t="str">
        <f>IFERROR(__xludf.DUMMYFUNCTION("""COMPUTED_VALUE"""),"Antecedents and consequence of generative AI adoption on academic performance among university students in Ho Chi Minh City")</f>
        <v>Antecedents and consequence of generative AI adoption on academic performance among university students in Ho Chi Minh City</v>
      </c>
      <c r="D381" s="4" t="str">
        <f>IFERROR(__xludf.DUMMYFUNCTION("""COMPUTED_VALUE"""),"Huỳnh Hồng Quang")</f>
        <v>Huỳnh Hồng Quang</v>
      </c>
      <c r="E381" s="4" t="str">
        <f>IFERROR(__xludf.DUMMYFUNCTION("""COMPUTED_VALUE"""),"Trường Đại học Bách khoa, ĐHQG-HCM")</f>
        <v>Trường Đại học Bách khoa, ĐHQG-HCM</v>
      </c>
      <c r="F381" s="4" t="str">
        <f>IFERROR(__xludf.DUMMYFUNCTION("""COMPUTED_VALUE"""),"KTE2026-383.png")</f>
        <v>KTE2026-383.png</v>
      </c>
    </row>
    <row r="382">
      <c r="A382" s="4" t="str">
        <f>IFERROR(__xludf.DUMMYFUNCTION("""COMPUTED_VALUE"""),"KTE2026-384")</f>
        <v>KTE2026-384</v>
      </c>
      <c r="B382" s="4" t="str">
        <f>IFERROR(__xludf.DUMMYFUNCTION("""COMPUTED_VALUE"""),"Kinh tế")</f>
        <v>Kinh tế</v>
      </c>
      <c r="C382" s="4" t="str">
        <f>IFERROR(__xludf.DUMMYFUNCTION("""COMPUTED_VALUE"""),"Nghiên cứu các yếu tố ảnh hưởng đến ý định sử dụng trí tuệ nhân tạo (AI) và chatbot AI của khách hàng trong dịch vụ ngân hàng tại Việt Nam")</f>
        <v>Nghiên cứu các yếu tố ảnh hưởng đến ý định sử dụng trí tuệ nhân tạo (AI) và chatbot AI của khách hàng trong dịch vụ ngân hàng tại Việt Nam</v>
      </c>
      <c r="D382" s="4" t="str">
        <f>IFERROR(__xludf.DUMMYFUNCTION("""COMPUTED_VALUE"""),"Đoàn Hồ Hà Đoan; Nguyễn Nhất Thiên; Vũ Phan Anh Thùy; Huỳnh Tấn Phát; Võ Chung Tú")</f>
        <v>Đoàn Hồ Hà Đoan; Nguyễn Nhất Thiên; Vũ Phan Anh Thùy; Huỳnh Tấn Phát; Võ Chung Tú</v>
      </c>
      <c r="E382" s="4" t="str">
        <f>IFERROR(__xludf.DUMMYFUNCTION("""COMPUTED_VALUE"""),"Trường Đại học Bách khoa, ĐHQG-HCM")</f>
        <v>Trường Đại học Bách khoa, ĐHQG-HCM</v>
      </c>
      <c r="F382" s="4" t="str">
        <f>IFERROR(__xludf.DUMMYFUNCTION("""COMPUTED_VALUE"""),"KTE2026-384.png")</f>
        <v>KTE2026-384.png</v>
      </c>
    </row>
    <row r="383">
      <c r="A383" s="4" t="str">
        <f>IFERROR(__xludf.DUMMYFUNCTION("""COMPUTED_VALUE"""),"KTE2026-385")</f>
        <v>KTE2026-385</v>
      </c>
      <c r="B383" s="4" t="str">
        <f>IFERROR(__xludf.DUMMYFUNCTION("""COMPUTED_VALUE"""),"Kinh tế")</f>
        <v>Kinh tế</v>
      </c>
      <c r="C383" s="4" t="str">
        <f>IFERROR(__xludf.DUMMYFUNCTION("""COMPUTED_VALUE"""),"Quá tải thông tin và ý định mua hàng tức thì trong bán hàng qua phát trực tiếp: Tiếp cận theo mô hình S-O-R và vai trò điều tiết của chất lượng người dẫn")</f>
        <v>Quá tải thông tin và ý định mua hàng tức thì trong bán hàng qua phát trực tiếp: Tiếp cận theo mô hình S-O-R và vai trò điều tiết của chất lượng người dẫn</v>
      </c>
      <c r="D383" s="4" t="str">
        <f>IFERROR(__xludf.DUMMYFUNCTION("""COMPUTED_VALUE"""),"Phạm Nguyễn Ngọc Linh; Thái Quang Minh; Trần Nguyễn Nhật Minh; Nguyễn Gia Minh; Trần Tiến Đạt")</f>
        <v>Phạm Nguyễn Ngọc Linh; Thái Quang Minh; Trần Nguyễn Nhật Minh; Nguyễn Gia Minh; Trần Tiến Đạt</v>
      </c>
      <c r="E383" s="4" t="str">
        <f>IFERROR(__xludf.DUMMYFUNCTION("""COMPUTED_VALUE"""),"Trường Đại học Ngoại thương")</f>
        <v>Trường Đại học Ngoại thương</v>
      </c>
      <c r="F383" s="4" t="str">
        <f>IFERROR(__xludf.DUMMYFUNCTION("""COMPUTED_VALUE"""),"KTE2026-385.png")</f>
        <v>KTE2026-385.png</v>
      </c>
    </row>
    <row r="384">
      <c r="A384" s="4" t="str">
        <f>IFERROR(__xludf.DUMMYFUNCTION("""COMPUTED_VALUE"""),"KTE2026-386")</f>
        <v>KTE2026-386</v>
      </c>
      <c r="B384" s="4" t="str">
        <f>IFERROR(__xludf.DUMMYFUNCTION("""COMPUTED_VALUE"""),"Kinh tế")</f>
        <v>Kinh tế</v>
      </c>
      <c r="C384" s="4" t="str">
        <f>IFERROR(__xludf.DUMMYFUNCTION("""COMPUTED_VALUE"""),"Are AI influencers friends or foes? Unpacking how meaning transfer shapes brand attitude and brand equity in AI influencer marketing")</f>
        <v>Are AI influencers friends or foes? Unpacking how meaning transfer shapes brand attitude and brand equity in AI influencer marketing</v>
      </c>
      <c r="D384" s="4" t="str">
        <f>IFERROR(__xludf.DUMMYFUNCTION("""COMPUTED_VALUE"""),"Vũ Hồ Hương Giang; Lê Thị Thanh Huyền; Trần Văn Việt")</f>
        <v>Vũ Hồ Hương Giang; Lê Thị Thanh Huyền; Trần Văn Việt</v>
      </c>
      <c r="E384" s="4" t="str">
        <f>IFERROR(__xludf.DUMMYFUNCTION("""COMPUTED_VALUE"""),"Trường Đại học Kinh tế, Đại học Đà Nẵng")</f>
        <v>Trường Đại học Kinh tế, Đại học Đà Nẵng</v>
      </c>
      <c r="F384" s="4" t="str">
        <f>IFERROR(__xludf.DUMMYFUNCTION("""COMPUTED_VALUE"""),"KTE2026-386.png")</f>
        <v>KTE2026-386.png</v>
      </c>
    </row>
    <row r="385">
      <c r="A385" s="4" t="str">
        <f>IFERROR(__xludf.DUMMYFUNCTION("""COMPUTED_VALUE"""),"KTE2026-387")</f>
        <v>KTE2026-387</v>
      </c>
      <c r="B385" s="4" t="str">
        <f>IFERROR(__xludf.DUMMYFUNCTION("""COMPUTED_VALUE"""),"Kinh tế")</f>
        <v>Kinh tế</v>
      </c>
      <c r="C385" s="4" t="str">
        <f>IFERROR(__xludf.DUMMYFUNCTION("""COMPUTED_VALUE"""),"What keeps cross-border shoppers coming back? Prioritizing logistics service quality dimensions on cross-border e-commerce platforms")</f>
        <v>What keeps cross-border shoppers coming back? Prioritizing logistics service quality dimensions on cross-border e-commerce platforms</v>
      </c>
      <c r="D385" s="4" t="str">
        <f>IFERROR(__xludf.DUMMYFUNCTION("""COMPUTED_VALUE"""),"Nguyễn Phương Đình")</f>
        <v>Nguyễn Phương Đình</v>
      </c>
      <c r="E385" s="4" t="str">
        <f>IFERROR(__xludf.DUMMYFUNCTION("""COMPUTED_VALUE"""),"Trường Đại học Kinh tế, Đại học Đà Nẵng")</f>
        <v>Trường Đại học Kinh tế, Đại học Đà Nẵng</v>
      </c>
      <c r="F385" s="4" t="str">
        <f>IFERROR(__xludf.DUMMYFUNCTION("""COMPUTED_VALUE"""),"KTE2026-387.png")</f>
        <v>KTE2026-387.png</v>
      </c>
    </row>
    <row r="386">
      <c r="A386" s="4" t="str">
        <f>IFERROR(__xludf.DUMMYFUNCTION("""COMPUTED_VALUE"""),"KTE2026-388")</f>
        <v>KTE2026-388</v>
      </c>
      <c r="B386" s="4" t="str">
        <f>IFERROR(__xludf.DUMMYFUNCTION("""COMPUTED_VALUE"""),"Kinh tế")</f>
        <v>Kinh tế</v>
      </c>
      <c r="C386" s="4" t="str">
        <f>IFERROR(__xludf.DUMMYFUNCTION("""COMPUTED_VALUE"""),"The path from perceived reverse supply chain capabilities to consumer loyalty and willingness to pay a premium: Evidence for the FMCG industry in Vietnam")</f>
        <v>The path from perceived reverse supply chain capabilities to consumer loyalty and willingness to pay a premium: Evidence for the FMCG industry in Vietnam</v>
      </c>
      <c r="D386" s="4" t="str">
        <f>IFERROR(__xludf.DUMMYFUNCTION("""COMPUTED_VALUE"""),"Huỳnh Dư Minh Tú; Nguyễn Hoàng Thùy Trinh; Trương Đình Anh Dũng; Trần Nguyễn Tuấn Quỳnh")</f>
        <v>Huỳnh Dư Minh Tú; Nguyễn Hoàng Thùy Trinh; Trương Đình Anh Dũng; Trần Nguyễn Tuấn Quỳnh</v>
      </c>
      <c r="E386" s="4" t="str">
        <f>IFERROR(__xludf.DUMMYFUNCTION("""COMPUTED_VALUE"""),"Trường Đại học Kinh tế, Đại học Đà Nẵng")</f>
        <v>Trường Đại học Kinh tế, Đại học Đà Nẵng</v>
      </c>
      <c r="F386" s="4" t="str">
        <f>IFERROR(__xludf.DUMMYFUNCTION("""COMPUTED_VALUE"""),"KTE2026-388.png")</f>
        <v>KTE2026-388.png</v>
      </c>
    </row>
    <row r="387">
      <c r="A387" s="4" t="str">
        <f>IFERROR(__xludf.DUMMYFUNCTION("""COMPUTED_VALUE"""),"KTE2026-389")</f>
        <v>KTE2026-389</v>
      </c>
      <c r="B387" s="4" t="str">
        <f>IFERROR(__xludf.DUMMYFUNCTION("""COMPUTED_VALUE"""),"Kinh tế")</f>
        <v>Kinh tế</v>
      </c>
      <c r="C387" s="4" t="str">
        <f>IFERROR(__xludf.DUMMYFUNCTION("""COMPUTED_VALUE"""),"Driving circularity in the luxury sector: A multi-perspective from SEM, ANN and fsQCA findings to investigating pre-owned luxury brand love")</f>
        <v>Driving circularity in the luxury sector: A multi-perspective from SEM, ANN and fsQCA findings to investigating pre-owned luxury brand love</v>
      </c>
      <c r="D387" s="4" t="str">
        <f>IFERROR(__xludf.DUMMYFUNCTION("""COMPUTED_VALUE"""),"Đào Trung Nhân; Huỳnh Tiến Đạt; Lý Gia Hân")</f>
        <v>Đào Trung Nhân; Huỳnh Tiến Đạt; Lý Gia Hân</v>
      </c>
      <c r="E387" s="4" t="str">
        <f>IFERROR(__xludf.DUMMYFUNCTION("""COMPUTED_VALUE"""),"Đại học Kinh tế TP. Hồ Chí Minh")</f>
        <v>Đại học Kinh tế TP. Hồ Chí Minh</v>
      </c>
      <c r="F387" s="4" t="str">
        <f>IFERROR(__xludf.DUMMYFUNCTION("""COMPUTED_VALUE"""),"KTE2026-389.png")</f>
        <v>KTE2026-389.png</v>
      </c>
    </row>
    <row r="388">
      <c r="A388" s="4" t="str">
        <f>IFERROR(__xludf.DUMMYFUNCTION("""COMPUTED_VALUE"""),"KTE2026-390")</f>
        <v>KTE2026-390</v>
      </c>
      <c r="B388" s="4" t="str">
        <f>IFERROR(__xludf.DUMMYFUNCTION("""COMPUTED_VALUE"""),"Kinh tế")</f>
        <v>Kinh tế</v>
      </c>
      <c r="C388" s="4" t="str">
        <f>IFERROR(__xludf.DUMMYFUNCTION("""COMPUTED_VALUE"""),"Kiểm định mối liên kết động giữa giá vàng, giá dầu, tỷ giá hối đoái và biến động chứng khoán tại Việt Nam trong điều kiện thị trường dị thường")</f>
        <v>Kiểm định mối liên kết động giữa giá vàng, giá dầu, tỷ giá hối đoái và biến động chứng khoán tại Việt Nam trong điều kiện thị trường dị thường</v>
      </c>
      <c r="D388" s="4" t="str">
        <f>IFERROR(__xludf.DUMMYFUNCTION("""COMPUTED_VALUE"""),"Nguyễn Thị Hương Giang; Nguyễn Thị Ngọc Ánh; Nguyễn Thị Tâm Chi; Trần Thị Thúy Hằng; Nguyễn Thị Hiền")</f>
        <v>Nguyễn Thị Hương Giang; Nguyễn Thị Ngọc Ánh; Nguyễn Thị Tâm Chi; Trần Thị Thúy Hằng; Nguyễn Thị Hiền</v>
      </c>
      <c r="E388" s="4" t="str">
        <f>IFERROR(__xludf.DUMMYFUNCTION("""COMPUTED_VALUE"""),"Học viện Chính sách và Phát triển")</f>
        <v>Học viện Chính sách và Phát triển</v>
      </c>
      <c r="F388" s="4" t="str">
        <f>IFERROR(__xludf.DUMMYFUNCTION("""COMPUTED_VALUE"""),"KTE2026-390.png")</f>
        <v>KTE2026-390.png</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14"/>
    <col customWidth="1" min="2" max="2" width="15.57"/>
    <col customWidth="1" min="3" max="3" width="331.57"/>
    <col customWidth="1" min="4" max="4" width="108.0"/>
    <col customWidth="1" min="5" max="5" width="60.43"/>
    <col customWidth="1" min="6" max="6" width="19.14"/>
  </cols>
  <sheetData>
    <row r="1">
      <c r="A1" s="1" t="s">
        <v>0</v>
      </c>
      <c r="B1" s="1" t="s">
        <v>1</v>
      </c>
      <c r="C1" s="1" t="s">
        <v>2</v>
      </c>
      <c r="D1" s="1" t="s">
        <v>3</v>
      </c>
      <c r="E1" s="1" t="s">
        <v>4</v>
      </c>
      <c r="F1" s="1" t="s">
        <v>5</v>
      </c>
    </row>
    <row r="2">
      <c r="A2" s="4" t="str">
        <f>IFERROR(__xludf.DUMMYFUNCTION("FILTER('Danh sach'!A2:F2184, 'Danh sach'!B2:B2184=""Khoa học xã hội"")"),"KHXH2026-001")</f>
        <v>KHXH2026-001</v>
      </c>
      <c r="B2" s="4" t="str">
        <f>IFERROR(__xludf.DUMMYFUNCTION("""COMPUTED_VALUE"""),"Khoa học xã hội")</f>
        <v>Khoa học xã hội</v>
      </c>
      <c r="C2" s="4" t="str">
        <f>IFERROR(__xludf.DUMMYFUNCTION("""COMPUTED_VALUE"""),"Nhận thức của thân nhân bệnh nhi đối với dịch vụ của phòng Công tác xã hội tại bệnh viện Nhi Đồng 1")</f>
        <v>Nhận thức của thân nhân bệnh nhi đối với dịch vụ của phòng Công tác xã hội tại bệnh viện Nhi Đồng 1</v>
      </c>
      <c r="D2" s="4" t="str">
        <f>IFERROR(__xludf.DUMMYFUNCTION("""COMPUTED_VALUE"""),"Bùi Trùng Dương; Trần Nguyễn Quốc Quang; Trần Thành Đạt")</f>
        <v>Bùi Trùng Dương; Trần Nguyễn Quốc Quang; Trần Thành Đạt</v>
      </c>
      <c r="E2" s="4" t="str">
        <f>IFERROR(__xludf.DUMMYFUNCTION("""COMPUTED_VALUE"""),"Trường Đại học Tôn Đức Thắng")</f>
        <v>Trường Đại học Tôn Đức Thắng</v>
      </c>
      <c r="F2" s="4" t="str">
        <f>IFERROR(__xludf.DUMMYFUNCTION("""COMPUTED_VALUE"""),"KHXH2026-001.png")</f>
        <v>KHXH2026-001.png</v>
      </c>
    </row>
    <row r="3">
      <c r="A3" s="4" t="str">
        <f>IFERROR(__xludf.DUMMYFUNCTION("""COMPUTED_VALUE"""),"KHXH2026-002")</f>
        <v>KHXH2026-002</v>
      </c>
      <c r="B3" s="4" t="str">
        <f>IFERROR(__xludf.DUMMYFUNCTION("""COMPUTED_VALUE"""),"Khoa học xã hội")</f>
        <v>Khoa học xã hội</v>
      </c>
      <c r="C3" s="4" t="str">
        <f>IFERROR(__xludf.DUMMYFUNCTION("""COMPUTED_VALUE"""),"Ứng dụng công nghệ số trong phát triển kinh doanh nhỏ của phụ nữ có vay vốn tại xã Nhà Bè, Thành Phố Hồ Chí Minh")</f>
        <v>Ứng dụng công nghệ số trong phát triển kinh doanh nhỏ của phụ nữ có vay vốn tại xã Nhà Bè, Thành Phố Hồ Chí Minh</v>
      </c>
      <c r="D3" s="4" t="str">
        <f>IFERROR(__xludf.DUMMYFUNCTION("""COMPUTED_VALUE"""),"Trần Thúy Vy; Trịnh Ngân Phướng; Nguyễn Thị Tiên Nhi")</f>
        <v>Trần Thúy Vy; Trịnh Ngân Phướng; Nguyễn Thị Tiên Nhi</v>
      </c>
      <c r="E3" s="4" t="str">
        <f>IFERROR(__xludf.DUMMYFUNCTION("""COMPUTED_VALUE"""),"Trường Đại học Tôn Đức Thắng")</f>
        <v>Trường Đại học Tôn Đức Thắng</v>
      </c>
      <c r="F3" s="4" t="str">
        <f>IFERROR(__xludf.DUMMYFUNCTION("""COMPUTED_VALUE"""),"KHXH2026-002.png")</f>
        <v>KHXH2026-002.png</v>
      </c>
    </row>
    <row r="4">
      <c r="A4" s="4" t="str">
        <f>IFERROR(__xludf.DUMMYFUNCTION("""COMPUTED_VALUE"""),"KHXH2026-003")</f>
        <v>KHXH2026-003</v>
      </c>
      <c r="B4" s="4" t="str">
        <f>IFERROR(__xludf.DUMMYFUNCTION("""COMPUTED_VALUE"""),"Khoa học xã hội")</f>
        <v>Khoa học xã hội</v>
      </c>
      <c r="C4" s="4" t="str">
        <f>IFERROR(__xludf.DUMMYFUNCTION("""COMPUTED_VALUE"""),"Hiệu quả công tác tình nguyện của Đoàn Thanh niên tại xã Đắk Ơ tỉnh Đồng Nai")</f>
        <v>Hiệu quả công tác tình nguyện của Đoàn Thanh niên tại xã Đắk Ơ tỉnh Đồng Nai</v>
      </c>
      <c r="D4" s="4" t="str">
        <f>IFERROR(__xludf.DUMMYFUNCTION("""COMPUTED_VALUE"""),"Trần Trọng Hữu; Nguyễn Ngọc Thủy Tiên; Lê Thành Trung")</f>
        <v>Trần Trọng Hữu; Nguyễn Ngọc Thủy Tiên; Lê Thành Trung</v>
      </c>
      <c r="E4" s="4" t="str">
        <f>IFERROR(__xludf.DUMMYFUNCTION("""COMPUTED_VALUE"""),"Phân hiệu Học viện Thanh thiếu niên Việt Nam tại TP. Hồ Chí Minh")</f>
        <v>Phân hiệu Học viện Thanh thiếu niên Việt Nam tại TP. Hồ Chí Minh</v>
      </c>
      <c r="F4" s="4" t="str">
        <f>IFERROR(__xludf.DUMMYFUNCTION("""COMPUTED_VALUE"""),"KHXH2026-003.png")</f>
        <v>KHXH2026-003.png</v>
      </c>
    </row>
    <row r="5">
      <c r="A5" s="4" t="str">
        <f>IFERROR(__xludf.DUMMYFUNCTION("""COMPUTED_VALUE"""),"KHXH2026-004")</f>
        <v>KHXH2026-004</v>
      </c>
      <c r="B5" s="4" t="str">
        <f>IFERROR(__xludf.DUMMYFUNCTION("""COMPUTED_VALUE"""),"Khoa học xã hội")</f>
        <v>Khoa học xã hội</v>
      </c>
      <c r="C5" s="4" t="str">
        <f>IFERROR(__xludf.DUMMYFUNCTION("""COMPUTED_VALUE"""),"NHẬN THỨC VỀ LIÊM CHÍNH HỌC THUẬT TRONG NGHIÊN CỨU VÀ HỌC TẬP CỦA SINH VIÊN TRÊN ĐỊA BÀN THÀNH PHỐ HÀ NỘI")</f>
        <v>NHẬN THỨC VỀ LIÊM CHÍNH HỌC THUẬT TRONG NGHIÊN CỨU VÀ HỌC TẬP CỦA SINH VIÊN TRÊN ĐỊA BÀN THÀNH PHỐ HÀ NỘI</v>
      </c>
      <c r="D5" s="4" t="str">
        <f>IFERROR(__xludf.DUMMYFUNCTION("""COMPUTED_VALUE"""),"Hà Thị Nguyệt; Nông Thị Ánh; Vũ Văn Minh")</f>
        <v>Hà Thị Nguyệt; Nông Thị Ánh; Vũ Văn Minh</v>
      </c>
      <c r="E5" s="4" t="str">
        <f>IFERROR(__xludf.DUMMYFUNCTION("""COMPUTED_VALUE"""),"Học viện Thanh thiếu niên Việt Nam")</f>
        <v>Học viện Thanh thiếu niên Việt Nam</v>
      </c>
      <c r="F5" s="4" t="str">
        <f>IFERROR(__xludf.DUMMYFUNCTION("""COMPUTED_VALUE"""),"KHXH2026-004.png")</f>
        <v>KHXH2026-004.png</v>
      </c>
    </row>
    <row r="6">
      <c r="A6" s="4" t="str">
        <f>IFERROR(__xludf.DUMMYFUNCTION("""COMPUTED_VALUE"""),"KHXH2026-005")</f>
        <v>KHXH2026-005</v>
      </c>
      <c r="B6" s="4" t="str">
        <f>IFERROR(__xludf.DUMMYFUNCTION("""COMPUTED_VALUE"""),"Khoa học xã hội")</f>
        <v>Khoa học xã hội</v>
      </c>
      <c r="C6" s="4" t="str">
        <f>IFERROR(__xludf.DUMMYFUNCTION("""COMPUTED_VALUE"""),"NĂNG LỰC ỨNG DỤNG TRÍ TUỆ NHÂN TẠO TRONG HỌC TẬP CỦA SINH VIÊN TRÊN ĐỊA BÀN THÀNH PHỐ HÀ NỘI")</f>
        <v>NĂNG LỰC ỨNG DỤNG TRÍ TUỆ NHÂN TẠO TRONG HỌC TẬP CỦA SINH VIÊN TRÊN ĐỊA BÀN THÀNH PHỐ HÀ NỘI</v>
      </c>
      <c r="D6" s="4" t="str">
        <f>IFERROR(__xludf.DUMMYFUNCTION("""COMPUTED_VALUE"""),"Triệu Thị Sen; Đinh Hữu Đức; Trần Trung Đạt")</f>
        <v>Triệu Thị Sen; Đinh Hữu Đức; Trần Trung Đạt</v>
      </c>
      <c r="E6" s="4" t="str">
        <f>IFERROR(__xludf.DUMMYFUNCTION("""COMPUTED_VALUE"""),"Học viện Thanh thiếu niên Việt Nam")</f>
        <v>Học viện Thanh thiếu niên Việt Nam</v>
      </c>
      <c r="F6" s="4" t="str">
        <f>IFERROR(__xludf.DUMMYFUNCTION("""COMPUTED_VALUE"""),"KHXH2026-005.png")</f>
        <v>KHXH2026-005.png</v>
      </c>
    </row>
    <row r="7">
      <c r="A7" s="4" t="str">
        <f>IFERROR(__xludf.DUMMYFUNCTION("""COMPUTED_VALUE"""),"KHXH2026-006")</f>
        <v>KHXH2026-006</v>
      </c>
      <c r="B7" s="4" t="str">
        <f>IFERROR(__xludf.DUMMYFUNCTION("""COMPUTED_VALUE"""),"Khoa học xã hội")</f>
        <v>Khoa học xã hội</v>
      </c>
      <c r="C7" s="4" t="str">
        <f>IFERROR(__xludf.DUMMYFUNCTION("""COMPUTED_VALUE"""),"Tiếp cận dịch vụ công tác xã hội của học sinh THCS người dân tộc thiểu số trên địa bàn thành phố Đà Nẵng.")</f>
        <v>Tiếp cận dịch vụ công tác xã hội của học sinh THCS người dân tộc thiểu số trên địa bàn thành phố Đà Nẵng.</v>
      </c>
      <c r="D7" s="4" t="str">
        <f>IFERROR(__xludf.DUMMYFUNCTION("""COMPUTED_VALUE"""),"Nghiêm Thị Hải Linh; Nguyễn Thị Kim Thanh; Phan Thị Yến Như; Trần Thị Thuận; Nguyễn Xuân Hiệp")</f>
        <v>Nghiêm Thị Hải Linh; Nguyễn Thị Kim Thanh; Phan Thị Yến Như; Trần Thị Thuận; Nguyễn Xuân Hiệp</v>
      </c>
      <c r="E7" s="4" t="str">
        <f>IFERROR(__xludf.DUMMYFUNCTION("""COMPUTED_VALUE"""),"Trường Đại học Sư phạm, Đại học Đà Nẵng")</f>
        <v>Trường Đại học Sư phạm, Đại học Đà Nẵng</v>
      </c>
      <c r="F7" s="4" t="str">
        <f>IFERROR(__xludf.DUMMYFUNCTION("""COMPUTED_VALUE"""),"KHXH2026-006.png")</f>
        <v>KHXH2026-006.png</v>
      </c>
    </row>
    <row r="8">
      <c r="A8" s="4" t="str">
        <f>IFERROR(__xludf.DUMMYFUNCTION("""COMPUTED_VALUE"""),"KHXH2026-007")</f>
        <v>KHXH2026-007</v>
      </c>
      <c r="B8" s="4" t="str">
        <f>IFERROR(__xludf.DUMMYFUNCTION("""COMPUTED_VALUE"""),"Khoa học xã hội")</f>
        <v>Khoa học xã hội</v>
      </c>
      <c r="C8" s="4" t="str">
        <f>IFERROR(__xludf.DUMMYFUNCTION("""COMPUTED_VALUE"""),"Đánh giá khả năng tiếp cận dịch vụ y tế và rào cản khi tiếp cận dịch vụ y tế của người khiếm thị tại TP.HCM")</f>
        <v>Đánh giá khả năng tiếp cận dịch vụ y tế và rào cản khi tiếp cận dịch vụ y tế của người khiếm thị tại TP.HCM</v>
      </c>
      <c r="D8" s="4" t="str">
        <f>IFERROR(__xludf.DUMMYFUNCTION("""COMPUTED_VALUE"""),"Bùi Mỹ Kỳ; Phạm Thị Mỹ Hạnh")</f>
        <v>Bùi Mỹ Kỳ; Phạm Thị Mỹ Hạnh</v>
      </c>
      <c r="E8" s="4" t="str">
        <f>IFERROR(__xludf.DUMMYFUNCTION("""COMPUTED_VALUE"""),"Đại học Y Dược TP. Hồ Chí Minh")</f>
        <v>Đại học Y Dược TP. Hồ Chí Minh</v>
      </c>
      <c r="F8" s="4" t="str">
        <f>IFERROR(__xludf.DUMMYFUNCTION("""COMPUTED_VALUE"""),"KHXH2026-007.png")</f>
        <v>KHXH2026-007.png</v>
      </c>
    </row>
    <row r="9">
      <c r="A9" s="4" t="str">
        <f>IFERROR(__xludf.DUMMYFUNCTION("""COMPUTED_VALUE"""),"KHXH2026-008")</f>
        <v>KHXH2026-008</v>
      </c>
      <c r="B9" s="4" t="str">
        <f>IFERROR(__xludf.DUMMYFUNCTION("""COMPUTED_VALUE"""),"Khoa học xã hội")</f>
        <v>Khoa học xã hội</v>
      </c>
      <c r="C9" s="4" t="str">
        <f>IFERROR(__xludf.DUMMYFUNCTION("""COMPUTED_VALUE"""),"KỸ NĂNG TƯ DUY PHẢN BIỆN VỀ THÔNG TIN TRÊN MẠNG XÃ HỘI CỦA SINH VIÊN: NGHIÊN CỨU TRƯỜNG HỢP TẠI MỘT TRƯỜNG ĐẠI HỌC KHỐI NGÀNH LAO ĐỘNG – XÃ HỘI Ở THÀNH PHỐ HỒ CHÍ MINH")</f>
        <v>KỸ NĂNG TƯ DUY PHẢN BIỆN VỀ THÔNG TIN TRÊN MẠNG XÃ HỘI CỦA SINH VIÊN: NGHIÊN CỨU TRƯỜNG HỢP TẠI MỘT TRƯỜNG ĐẠI HỌC KHỐI NGÀNH LAO ĐỘNG – XÃ HỘI Ở THÀNH PHỐ HỒ CHÍ MINH</v>
      </c>
      <c r="D9" s="4" t="str">
        <f>IFERROR(__xludf.DUMMYFUNCTION("""COMPUTED_VALUE"""),"Nguyễn Duy Đông; Lê Thành Danh")</f>
        <v>Nguyễn Duy Đông; Lê Thành Danh</v>
      </c>
      <c r="E9" s="4" t="str">
        <f>IFERROR(__xludf.DUMMYFUNCTION("""COMPUTED_VALUE"""),"Trường Đại học Lao động - Xã hội (CS2)")</f>
        <v>Trường Đại học Lao động - Xã hội (CS2)</v>
      </c>
      <c r="F9" s="4" t="str">
        <f>IFERROR(__xludf.DUMMYFUNCTION("""COMPUTED_VALUE"""),"KHXH2026-008.png")</f>
        <v>KHXH2026-008.png</v>
      </c>
    </row>
    <row r="10">
      <c r="A10" s="4" t="str">
        <f>IFERROR(__xludf.DUMMYFUNCTION("""COMPUTED_VALUE"""),"KHXH2026-009")</f>
        <v>KHXH2026-009</v>
      </c>
      <c r="B10" s="4" t="str">
        <f>IFERROR(__xludf.DUMMYFUNCTION("""COMPUTED_VALUE"""),"Khoa học xã hội")</f>
        <v>Khoa học xã hội</v>
      </c>
      <c r="C10" s="4" t="str">
        <f>IFERROR(__xludf.DUMMYFUNCTION("""COMPUTED_VALUE"""),"Đánh giá mức độ nhận thức và sử dụng dịch vụ đô thị thông minh của sinh viên tại thành phố Đà Nẵng")</f>
        <v>Đánh giá mức độ nhận thức và sử dụng dịch vụ đô thị thông minh của sinh viên tại thành phố Đà Nẵng</v>
      </c>
      <c r="D10" s="4" t="str">
        <f>IFERROR(__xludf.DUMMYFUNCTION("""COMPUTED_VALUE"""),"Trần Quỳnh Anh; Trần Nguyễn Đức Hòa; Trần Thị Thanh Trúc")</f>
        <v>Trần Quỳnh Anh; Trần Nguyễn Đức Hòa; Trần Thị Thanh Trúc</v>
      </c>
      <c r="E10" s="4" t="str">
        <f>IFERROR(__xludf.DUMMYFUNCTION("""COMPUTED_VALUE"""),"Trường Đại học Sư phạm, Đại học Đà Nẵng")</f>
        <v>Trường Đại học Sư phạm, Đại học Đà Nẵng</v>
      </c>
      <c r="F10" s="4" t="str">
        <f>IFERROR(__xludf.DUMMYFUNCTION("""COMPUTED_VALUE"""),"KHXH2026-009.png")</f>
        <v>KHXH2026-009.png</v>
      </c>
    </row>
    <row r="11">
      <c r="A11" s="4" t="str">
        <f>IFERROR(__xludf.DUMMYFUNCTION("""COMPUTED_VALUE"""),"KHXH2026-010")</f>
        <v>KHXH2026-010</v>
      </c>
      <c r="B11" s="4" t="str">
        <f>IFERROR(__xludf.DUMMYFUNCTION("""COMPUTED_VALUE"""),"Khoa học xã hội")</f>
        <v>Khoa học xã hội</v>
      </c>
      <c r="C11" s="4" t="str">
        <f>IFERROR(__xludf.DUMMYFUNCTION("""COMPUTED_VALUE"""),"Nghiên cứu đề xuất quy hoạch hành lang kết nối du lịch di sản tại khu vực đô thị: Trường hợp nghiên cứu tại khu vực phía Tây Hà Nội.")</f>
        <v>Nghiên cứu đề xuất quy hoạch hành lang kết nối du lịch di sản tại khu vực đô thị: Trường hợp nghiên cứu tại khu vực phía Tây Hà Nội.</v>
      </c>
      <c r="D11" s="4" t="str">
        <f>IFERROR(__xludf.DUMMYFUNCTION("""COMPUTED_VALUE"""),"Trần Thị Thảo Linh; Nguyễn Mỹ Linh")</f>
        <v>Trần Thị Thảo Linh; Nguyễn Mỹ Linh</v>
      </c>
      <c r="E11" s="4" t="str">
        <f>IFERROR(__xludf.DUMMYFUNCTION("""COMPUTED_VALUE"""),"Trường Khoa học liên ngành và Nghệ thuật, ĐHQG Hà Nội")</f>
        <v>Trường Khoa học liên ngành và Nghệ thuật, ĐHQG Hà Nội</v>
      </c>
      <c r="F11" s="4" t="str">
        <f>IFERROR(__xludf.DUMMYFUNCTION("""COMPUTED_VALUE"""),"KHXH2026-010.png")</f>
        <v>KHXH2026-010.png</v>
      </c>
    </row>
    <row r="12">
      <c r="A12" s="4" t="str">
        <f>IFERROR(__xludf.DUMMYFUNCTION("""COMPUTED_VALUE"""),"KHXH2026-011")</f>
        <v>KHXH2026-011</v>
      </c>
      <c r="B12" s="4" t="str">
        <f>IFERROR(__xludf.DUMMYFUNCTION("""COMPUTED_VALUE"""),"Khoa học xã hội")</f>
        <v>Khoa học xã hội</v>
      </c>
      <c r="C12" s="4" t="str">
        <f>IFERROR(__xludf.DUMMYFUNCTION("""COMPUTED_VALUE"""),"No trace, no trade? How EU regulatory knowledge moderates and trust mediates young German consumers’ purchase intention for Vietnamese coffee")</f>
        <v>No trace, no trade? How EU regulatory knowledge moderates and trust mediates young German consumers’ purchase intention for Vietnamese coffee</v>
      </c>
      <c r="D12" s="4" t="str">
        <f>IFERROR(__xludf.DUMMYFUNCTION("""COMPUTED_VALUE"""),"Phạm Mai Khánh Duy; Trần Ngọc Anh; Đàm Trung Hiếu; oàng Thanh Mai")</f>
        <v>Phạm Mai Khánh Duy; Trần Ngọc Anh; Đàm Trung Hiếu; oàng Thanh Mai</v>
      </c>
      <c r="E12" s="4" t="str">
        <f>IFERROR(__xludf.DUMMYFUNCTION("""COMPUTED_VALUE"""),"Trường Đại học Ngoại thương")</f>
        <v>Trường Đại học Ngoại thương</v>
      </c>
      <c r="F12" s="4" t="str">
        <f>IFERROR(__xludf.DUMMYFUNCTION("""COMPUTED_VALUE"""),"KHXH2026-011.png")</f>
        <v>KHXH2026-011.png</v>
      </c>
    </row>
    <row r="13">
      <c r="A13" s="4" t="str">
        <f>IFERROR(__xludf.DUMMYFUNCTION("""COMPUTED_VALUE"""),"KHXH2026-012")</f>
        <v>KHXH2026-012</v>
      </c>
      <c r="B13" s="4" t="str">
        <f>IFERROR(__xludf.DUMMYFUNCTION("""COMPUTED_VALUE"""),"Khoa học xã hội")</f>
        <v>Khoa học xã hội</v>
      </c>
      <c r="C13" s="4" t="str">
        <f>IFERROR(__xludf.DUMMYFUNCTION("""COMPUTED_VALUE"""),"Xây dựng bộ chỉ số đánh giá chuyển đổi kép cấp tỉnh tại Việt Nam: Nhận diện lợi thế, ưu tiên phát triển và định hướng phân bổ nguồn lực hướng tới năm 2030")</f>
        <v>Xây dựng bộ chỉ số đánh giá chuyển đổi kép cấp tỉnh tại Việt Nam: Nhận diện lợi thế, ưu tiên phát triển và định hướng phân bổ nguồn lực hướng tới năm 2030</v>
      </c>
      <c r="D13" s="4" t="str">
        <f>IFERROR(__xludf.DUMMYFUNCTION("""COMPUTED_VALUE"""),"Phạm Việt Bình; Vương Thị Thuỳ Trang; Hoàng Chí Long; Nguyễn Đặng Thảo Minh")</f>
        <v>Phạm Việt Bình; Vương Thị Thuỳ Trang; Hoàng Chí Long; Nguyễn Đặng Thảo Minh</v>
      </c>
      <c r="E13" s="4" t="str">
        <f>IFERROR(__xludf.DUMMYFUNCTION("""COMPUTED_VALUE"""),"Trường Đại học Ngoại thương")</f>
        <v>Trường Đại học Ngoại thương</v>
      </c>
      <c r="F13" s="4" t="str">
        <f>IFERROR(__xludf.DUMMYFUNCTION("""COMPUTED_VALUE"""),"KHXH2026-012.png")</f>
        <v>KHXH2026-012.png</v>
      </c>
    </row>
    <row r="14">
      <c r="A14" s="4" t="str">
        <f>IFERROR(__xludf.DUMMYFUNCTION("""COMPUTED_VALUE"""),"KHXH2026-013")</f>
        <v>KHXH2026-013</v>
      </c>
      <c r="B14" s="4" t="str">
        <f>IFERROR(__xludf.DUMMYFUNCTION("""COMPUTED_VALUE"""),"Khoa học xã hội")</f>
        <v>Khoa học xã hội</v>
      </c>
      <c r="C14" s="4" t="str">
        <f>IFERROR(__xludf.DUMMYFUNCTION("""COMPUTED_VALUE"""),"Tác động của rủi ro địa chính trị đến tăng trưởng kinh tế: Bằng chứng quốc tế và bài học cho Việt Nam")</f>
        <v>Tác động của rủi ro địa chính trị đến tăng trưởng kinh tế: Bằng chứng quốc tế và bài học cho Việt Nam</v>
      </c>
      <c r="D14" s="4" t="str">
        <f>IFERROR(__xludf.DUMMYFUNCTION("""COMPUTED_VALUE"""),"Nguyễn Thùy Trang; Phan Ngọc Huyền; Nguyễn Thị Ngọc Anh; Lường Tùng Duy")</f>
        <v>Nguyễn Thùy Trang; Phan Ngọc Huyền; Nguyễn Thị Ngọc Anh; Lường Tùng Duy</v>
      </c>
      <c r="E14" s="4" t="str">
        <f>IFERROR(__xludf.DUMMYFUNCTION("""COMPUTED_VALUE"""),"Học viện Ngân hàng")</f>
        <v>Học viện Ngân hàng</v>
      </c>
      <c r="F14" s="4" t="str">
        <f>IFERROR(__xludf.DUMMYFUNCTION("""COMPUTED_VALUE"""),"KHXH2026-013.png")</f>
        <v>KHXH2026-013.png</v>
      </c>
    </row>
    <row r="15">
      <c r="A15" s="4" t="str">
        <f>IFERROR(__xludf.DUMMYFUNCTION("""COMPUTED_VALUE"""),"KHXH2026-014")</f>
        <v>KHXH2026-014</v>
      </c>
      <c r="B15" s="4" t="str">
        <f>IFERROR(__xludf.DUMMYFUNCTION("""COMPUTED_VALUE"""),"Khoa học xã hội")</f>
        <v>Khoa học xã hội</v>
      </c>
      <c r="C15" s="4" t="str">
        <f>IFERROR(__xludf.DUMMYFUNCTION("""COMPUTED_VALUE"""),"Nhận thức pháp luật về phòng, chống tác hại của thuốc lá của sinh viên đại học tại Thành phố Hồ Chí Minh")</f>
        <v>Nhận thức pháp luật về phòng, chống tác hại của thuốc lá của sinh viên đại học tại Thành phố Hồ Chí Minh</v>
      </c>
      <c r="D15" s="4" t="str">
        <f>IFERROR(__xludf.DUMMYFUNCTION("""COMPUTED_VALUE"""),"Nguyễn Thị Tú Anh; Huỳnh Kim Hoàng Sa; Bùi Phạm Thạch Thảo")</f>
        <v>Nguyễn Thị Tú Anh; Huỳnh Kim Hoàng Sa; Bùi Phạm Thạch Thảo</v>
      </c>
      <c r="E15" s="4" t="str">
        <f>IFERROR(__xludf.DUMMYFUNCTION("""COMPUTED_VALUE"""),"Phân hiệu Học viện Thanh thiếu niên Việt Nam tại TP. Hồ Chí Minh")</f>
        <v>Phân hiệu Học viện Thanh thiếu niên Việt Nam tại TP. Hồ Chí Minh</v>
      </c>
      <c r="F15" s="4" t="str">
        <f>IFERROR(__xludf.DUMMYFUNCTION("""COMPUTED_VALUE"""),"KHXH2026-014.png")</f>
        <v>KHXH2026-014.png</v>
      </c>
    </row>
    <row r="16">
      <c r="A16" s="4" t="str">
        <f>IFERROR(__xludf.DUMMYFUNCTION("""COMPUTED_VALUE"""),"KHXH2026-015")</f>
        <v>KHXH2026-015</v>
      </c>
      <c r="B16" s="4" t="str">
        <f>IFERROR(__xludf.DUMMYFUNCTION("""COMPUTED_VALUE"""),"Khoa học xã hội")</f>
        <v>Khoa học xã hội</v>
      </c>
      <c r="C16" s="4" t="str">
        <f>IFERROR(__xludf.DUMMYFUNCTION("""COMPUTED_VALUE"""),"Giáo dục ý thức cho sinh viên trong việc hiến máu nhân đạo tại Thành phố Hồ Chí Minh")</f>
        <v>Giáo dục ý thức cho sinh viên trong việc hiến máu nhân đạo tại Thành phố Hồ Chí Minh</v>
      </c>
      <c r="D16" s="4" t="str">
        <f>IFERROR(__xludf.DUMMYFUNCTION("""COMPUTED_VALUE"""),"Nguyễn Ngọc Hương Quân; Trần Nhựt Thành; Hồ Duy Khánh")</f>
        <v>Nguyễn Ngọc Hương Quân; Trần Nhựt Thành; Hồ Duy Khánh</v>
      </c>
      <c r="E16" s="4" t="str">
        <f>IFERROR(__xludf.DUMMYFUNCTION("""COMPUTED_VALUE"""),"Phân hiệu Học viện Thanh thiếu niên Việt Nam tại TP. Hồ Chí Minh")</f>
        <v>Phân hiệu Học viện Thanh thiếu niên Việt Nam tại TP. Hồ Chí Minh</v>
      </c>
      <c r="F16" s="4" t="str">
        <f>IFERROR(__xludf.DUMMYFUNCTION("""COMPUTED_VALUE"""),"KHXH2026-015.png")</f>
        <v>KHXH2026-015.png</v>
      </c>
    </row>
    <row r="17">
      <c r="A17" s="4" t="str">
        <f>IFERROR(__xludf.DUMMYFUNCTION("""COMPUTED_VALUE"""),"KHXH2026-016")</f>
        <v>KHXH2026-016</v>
      </c>
      <c r="B17" s="4" t="str">
        <f>IFERROR(__xludf.DUMMYFUNCTION("""COMPUTED_VALUE"""),"Khoa học xã hội")</f>
        <v>Khoa học xã hội</v>
      </c>
      <c r="C17" s="4" t="str">
        <f>IFERROR(__xludf.DUMMYFUNCTION("""COMPUTED_VALUE"""),"Vận dụng tư tưởng Hồ Chí Minh về đạo đức công vụ trong đào tạo, bồi dưỡng cán bộ hành chính tại Thành phố Hồ Chí Minh hiện nay")</f>
        <v>Vận dụng tư tưởng Hồ Chí Minh về đạo đức công vụ trong đào tạo, bồi dưỡng cán bộ hành chính tại Thành phố Hồ Chí Minh hiện nay</v>
      </c>
      <c r="D17" s="4" t="str">
        <f>IFERROR(__xludf.DUMMYFUNCTION("""COMPUTED_VALUE"""),"Lê Thanh Bình; Nguyễn Phan Thanh Thảo; Y Na Thuyên")</f>
        <v>Lê Thanh Bình; Nguyễn Phan Thanh Thảo; Y Na Thuyên</v>
      </c>
      <c r="E17" s="4" t="str">
        <f>IFERROR(__xludf.DUMMYFUNCTION("""COMPUTED_VALUE"""),"Phân hiệu Học viện Thanh thiếu niên Việt Nam tại TP. Hồ Chí Minh")</f>
        <v>Phân hiệu Học viện Thanh thiếu niên Việt Nam tại TP. Hồ Chí Minh</v>
      </c>
      <c r="F17" s="4" t="str">
        <f>IFERROR(__xludf.DUMMYFUNCTION("""COMPUTED_VALUE"""),"KHXH2026-016.png")</f>
        <v>KHXH2026-016.png</v>
      </c>
    </row>
    <row r="18">
      <c r="A18" s="4" t="str">
        <f>IFERROR(__xludf.DUMMYFUNCTION("""COMPUTED_VALUE"""),"KHXH2026-017")</f>
        <v>KHXH2026-017</v>
      </c>
      <c r="B18" s="4" t="str">
        <f>IFERROR(__xludf.DUMMYFUNCTION("""COMPUTED_VALUE"""),"Khoa học xã hội")</f>
        <v>Khoa học xã hội</v>
      </c>
      <c r="C18" s="4" t="str">
        <f>IFERROR(__xludf.DUMMYFUNCTION("""COMPUTED_VALUE"""),"CHẤT LƯỢNG ĐỘI NGŨ CÁN BỘ, ĐẢNG VIÊN TẠI ĐẢNG BỘ PHƯỜNG ĐỐNG ĐA, THÀNH PHỐ HÀ NỘI")</f>
        <v>CHẤT LƯỢNG ĐỘI NGŨ CÁN BỘ, ĐẢNG VIÊN TẠI ĐẢNG BỘ PHƯỜNG ĐỐNG ĐA, THÀNH PHỐ HÀ NỘI</v>
      </c>
      <c r="D18" s="4" t="str">
        <f>IFERROR(__xludf.DUMMYFUNCTION("""COMPUTED_VALUE"""),"NGUYỄN THỊ CA MÂY; NGUYỄN HOÀNG LINH")</f>
        <v>NGUYỄN THỊ CA MÂY; NGUYỄN HOÀNG LINH</v>
      </c>
      <c r="E18" s="4" t="str">
        <f>IFERROR(__xludf.DUMMYFUNCTION("""COMPUTED_VALUE"""),"Học viện Thanh thiếu niên Việt Nam")</f>
        <v>Học viện Thanh thiếu niên Việt Nam</v>
      </c>
      <c r="F18" s="4" t="str">
        <f>IFERROR(__xludf.DUMMYFUNCTION("""COMPUTED_VALUE"""),"KHXH2026-017.png")</f>
        <v>KHXH2026-017.png</v>
      </c>
    </row>
    <row r="19">
      <c r="A19" s="4" t="str">
        <f>IFERROR(__xludf.DUMMYFUNCTION("""COMPUTED_VALUE"""),"KHXH2026-018")</f>
        <v>KHXH2026-018</v>
      </c>
      <c r="B19" s="4" t="str">
        <f>IFERROR(__xludf.DUMMYFUNCTION("""COMPUTED_VALUE"""),"Khoa học xã hội")</f>
        <v>Khoa học xã hội</v>
      </c>
      <c r="C19" s="4" t="str">
        <f>IFERROR(__xludf.DUMMYFUNCTION("""COMPUTED_VALUE"""),"Nâng cao nhận thức của sinh viên Trường Đại học Luật TP. HCM về nguy cơ “Cách mạng màu” trên không gian mạng trong giai đoạn hiện nay")</f>
        <v>Nâng cao nhận thức của sinh viên Trường Đại học Luật TP. HCM về nguy cơ “Cách mạng màu” trên không gian mạng trong giai đoạn hiện nay</v>
      </c>
      <c r="D19" s="4" t="str">
        <f>IFERROR(__xludf.DUMMYFUNCTION("""COMPUTED_VALUE"""),"Nguyễn Thúy Hường; Nguyễn Đào Minh Hà; Lê Thị Gia Hân")</f>
        <v>Nguyễn Thúy Hường; Nguyễn Đào Minh Hà; Lê Thị Gia Hân</v>
      </c>
      <c r="E19" s="4" t="str">
        <f>IFERROR(__xludf.DUMMYFUNCTION("""COMPUTED_VALUE"""),"Trường Đại học Luật TP. Hồ Chí Minh")</f>
        <v>Trường Đại học Luật TP. Hồ Chí Minh</v>
      </c>
      <c r="F19" s="4" t="str">
        <f>IFERROR(__xludf.DUMMYFUNCTION("""COMPUTED_VALUE"""),"KHXH2026-018.png")</f>
        <v>KHXH2026-018.png</v>
      </c>
    </row>
    <row r="20">
      <c r="A20" s="4" t="str">
        <f>IFERROR(__xludf.DUMMYFUNCTION("""COMPUTED_VALUE"""),"KHXH2026-019")</f>
        <v>KHXH2026-019</v>
      </c>
      <c r="B20" s="4" t="str">
        <f>IFERROR(__xludf.DUMMYFUNCTION("""COMPUTED_VALUE"""),"Khoa học xã hội")</f>
        <v>Khoa học xã hội</v>
      </c>
      <c r="C20" s="4" t="str">
        <f>IFERROR(__xludf.DUMMYFUNCTION("""COMPUTED_VALUE"""),"Vận dụng tư tưởng “Dĩ bất biến, ứng vạn biến” của Chủ tịch Hồ Chí Minh vào quá trình thực hiện các nguyên tắc ký kết Điều ước quốc tế của Việt Nam trong giai đoạn từ năm 1986 đến nay")</f>
        <v>Vận dụng tư tưởng “Dĩ bất biến, ứng vạn biến” của Chủ tịch Hồ Chí Minh vào quá trình thực hiện các nguyên tắc ký kết Điều ước quốc tế của Việt Nam trong giai đoạn từ năm 1986 đến nay</v>
      </c>
      <c r="D20" s="4" t="str">
        <f>IFERROR(__xludf.DUMMYFUNCTION("""COMPUTED_VALUE"""),"PHAN QUÝ KHÁNH NGÂN; NGUYỄN HOÀNG YẾN NHI; TRẦN NHẬT KIỀU TRANG; VI THỊ ÁNH TUYẾT")</f>
        <v>PHAN QUÝ KHÁNH NGÂN; NGUYỄN HOÀNG YẾN NHI; TRẦN NHẬT KIỀU TRANG; VI THỊ ÁNH TUYẾT</v>
      </c>
      <c r="E20" s="4" t="str">
        <f>IFERROR(__xludf.DUMMYFUNCTION("""COMPUTED_VALUE"""),"Trường Đại học Luật TP. Hồ Chí Minh")</f>
        <v>Trường Đại học Luật TP. Hồ Chí Minh</v>
      </c>
      <c r="F20" s="4" t="str">
        <f>IFERROR(__xludf.DUMMYFUNCTION("""COMPUTED_VALUE"""),"KHXH2026-019.png")</f>
        <v>KHXH2026-019.png</v>
      </c>
    </row>
    <row r="21">
      <c r="A21" s="4" t="str">
        <f>IFERROR(__xludf.DUMMYFUNCTION("""COMPUTED_VALUE"""),"KHXH2026-020")</f>
        <v>KHXH2026-020</v>
      </c>
      <c r="B21" s="4" t="str">
        <f>IFERROR(__xludf.DUMMYFUNCTION("""COMPUTED_VALUE"""),"Khoa học xã hội")</f>
        <v>Khoa học xã hội</v>
      </c>
      <c r="C21" s="4" t="str">
        <f>IFERROR(__xludf.DUMMYFUNCTION("""COMPUTED_VALUE"""),"Tác Động Của Rủi Ro Địa Chính Trị Và Sự Kiện Chính Trị Đến Thị Trường Chứng Khoán: Nghiên Cứu Thực Nghiệm Tại Các Quốc Gia APEC")</f>
        <v>Tác Động Của Rủi Ro Địa Chính Trị Và Sự Kiện Chính Trị Đến Thị Trường Chứng Khoán: Nghiên Cứu Thực Nghiệm Tại Các Quốc Gia APEC</v>
      </c>
      <c r="D21" s="4" t="str">
        <f>IFERROR(__xludf.DUMMYFUNCTION("""COMPUTED_VALUE"""),"Nguyễn Thiện Thảo; Nguyễn Việt Hà")</f>
        <v>Nguyễn Thiện Thảo; Nguyễn Việt Hà</v>
      </c>
      <c r="E21" s="4" t="str">
        <f>IFERROR(__xludf.DUMMYFUNCTION("""COMPUTED_VALUE"""),"Học viện Ngân hàng")</f>
        <v>Học viện Ngân hàng</v>
      </c>
      <c r="F21" s="4" t="str">
        <f>IFERROR(__xludf.DUMMYFUNCTION("""COMPUTED_VALUE"""),"KHXH2026-020.png")</f>
        <v>KHXH2026-020.png</v>
      </c>
    </row>
    <row r="22">
      <c r="A22" s="4" t="str">
        <f>IFERROR(__xludf.DUMMYFUNCTION("""COMPUTED_VALUE"""),"KHXH2026-021")</f>
        <v>KHXH2026-021</v>
      </c>
      <c r="B22" s="4" t="str">
        <f>IFERROR(__xludf.DUMMYFUNCTION("""COMPUTED_VALUE"""),"Khoa học xã hội")</f>
        <v>Khoa học xã hội</v>
      </c>
      <c r="C22" s="4" t="str">
        <f>IFERROR(__xludf.DUMMYFUNCTION("""COMPUTED_VALUE"""),"Tỉnh ủy Tuyên Quang lãnh đạo công tác vận động đồng bào dân tộc thiểu số hiện nay")</f>
        <v>Tỉnh ủy Tuyên Quang lãnh đạo công tác vận động đồng bào dân tộc thiểu số hiện nay</v>
      </c>
      <c r="D22" s="4" t="str">
        <f>IFERROR(__xludf.DUMMYFUNCTION("""COMPUTED_VALUE"""),"Đới Diệu Trang Linh; Phạm Nguyễn Duy; Nguyễn Thị Khánh Huyền; Thái Ngọc Phương Linh; Nguyễn Thị Như Quỳnh")</f>
        <v>Đới Diệu Trang Linh; Phạm Nguyễn Duy; Nguyễn Thị Khánh Huyền; Thái Ngọc Phương Linh; Nguyễn Thị Như Quỳnh</v>
      </c>
      <c r="E22" s="4" t="str">
        <f>IFERROR(__xludf.DUMMYFUNCTION("""COMPUTED_VALUE"""),"Học viện Báo chí và Tuyên truyền")</f>
        <v>Học viện Báo chí và Tuyên truyền</v>
      </c>
      <c r="F22" s="4" t="str">
        <f>IFERROR(__xludf.DUMMYFUNCTION("""COMPUTED_VALUE"""),"KHXH2026-021.png")</f>
        <v>KHXH2026-021.png</v>
      </c>
    </row>
    <row r="23">
      <c r="A23" s="4" t="str">
        <f>IFERROR(__xludf.DUMMYFUNCTION("""COMPUTED_VALUE"""),"KHXH2026-022")</f>
        <v>KHXH2026-022</v>
      </c>
      <c r="B23" s="4" t="str">
        <f>IFERROR(__xludf.DUMMYFUNCTION("""COMPUTED_VALUE"""),"Khoa học xã hội")</f>
        <v>Khoa học xã hội</v>
      </c>
      <c r="C23" s="4" t="str">
        <f>IFERROR(__xludf.DUMMYFUNCTION("""COMPUTED_VALUE"""),"Phát triển năng lực số trong công tác bảo vệ nền tảng tư tưởng của Đảng cho sinh viên chuyên ngành Lý luận chính trị của các trường đại học trên địa bàn Hà Nội hiện nay")</f>
        <v>Phát triển năng lực số trong công tác bảo vệ nền tảng tư tưởng của Đảng cho sinh viên chuyên ngành Lý luận chính trị của các trường đại học trên địa bàn Hà Nội hiện nay</v>
      </c>
      <c r="D23" s="4" t="str">
        <f>IFERROR(__xludf.DUMMYFUNCTION("""COMPUTED_VALUE"""),"Nguyễn Thùy Dương; Lê Thị Thùy Dương; Nguyễn Hà My; Hoàng Thị Diễm; Cảnh Chi Khang")</f>
        <v>Nguyễn Thùy Dương; Lê Thị Thùy Dương; Nguyễn Hà My; Hoàng Thị Diễm; Cảnh Chi Khang</v>
      </c>
      <c r="E23" s="4" t="str">
        <f>IFERROR(__xludf.DUMMYFUNCTION("""COMPUTED_VALUE"""),"Học viện Báo chí và Tuyên truyền")</f>
        <v>Học viện Báo chí và Tuyên truyền</v>
      </c>
      <c r="F23" s="4" t="str">
        <f>IFERROR(__xludf.DUMMYFUNCTION("""COMPUTED_VALUE"""),"KHXH2026-022.png")</f>
        <v>KHXH2026-022.png</v>
      </c>
    </row>
    <row r="24">
      <c r="A24" s="4" t="str">
        <f>IFERROR(__xludf.DUMMYFUNCTION("""COMPUTED_VALUE"""),"KHXH2026-023")</f>
        <v>KHXH2026-023</v>
      </c>
      <c r="B24" s="4" t="str">
        <f>IFERROR(__xludf.DUMMYFUNCTION("""COMPUTED_VALUE"""),"Khoa học xã hội")</f>
        <v>Khoa học xã hội</v>
      </c>
      <c r="C24" s="4" t="str">
        <f>IFERROR(__xludf.DUMMYFUNCTION("""COMPUTED_VALUE"""),"Exploring tourists’ willingness to participate in carbon offsetting: integrating VIP, PADM and TPB with the moderating role of greenwashing")</f>
        <v>Exploring tourists’ willingness to participate in carbon offsetting: integrating VIP, PADM and TPB with the moderating role of greenwashing</v>
      </c>
      <c r="D24" s="4" t="str">
        <f>IFERROR(__xludf.DUMMYFUNCTION("""COMPUTED_VALUE"""),"Vũ Hoàng Anh Thy; Nguyễn Thị Hồng Gấm; Nguyễn Thị Anh Đào")</f>
        <v>Vũ Hoàng Anh Thy; Nguyễn Thị Hồng Gấm; Nguyễn Thị Anh Đào</v>
      </c>
      <c r="E24" s="4" t="str">
        <f>IFERROR(__xludf.DUMMYFUNCTION("""COMPUTED_VALUE"""),"Trường Đại học Tôn Đức Thắng")</f>
        <v>Trường Đại học Tôn Đức Thắng</v>
      </c>
      <c r="F24" s="4" t="str">
        <f>IFERROR(__xludf.DUMMYFUNCTION("""COMPUTED_VALUE"""),"KHXH2026-023.png")</f>
        <v>KHXH2026-023.png</v>
      </c>
    </row>
    <row r="25">
      <c r="A25" s="4" t="str">
        <f>IFERROR(__xludf.DUMMYFUNCTION("""COMPUTED_VALUE"""),"KHXH2026-024")</f>
        <v>KHXH2026-024</v>
      </c>
      <c r="B25" s="4" t="str">
        <f>IFERROR(__xludf.DUMMYFUNCTION("""COMPUTED_VALUE"""),"Khoa học xã hội")</f>
        <v>Khoa học xã hội</v>
      </c>
      <c r="C25" s="4" t="str">
        <f>IFERROR(__xludf.DUMMYFUNCTION("""COMPUTED_VALUE"""),"ỨNG DỤNG CÔNG NGHỆ SỐ TRONG KHỞI NGHIỆP ĐỔI MỚI SÁNG TẠO DỰA TRÊN NGUỒN LỰC DI SẢN VĂN HÓA VẬT THỂ CỦA SINH VIÊN TẠI HÀ NỘI")</f>
        <v>ỨNG DỤNG CÔNG NGHỆ SỐ TRONG KHỞI NGHIỆP ĐỔI MỚI SÁNG TẠO DỰA TRÊN NGUỒN LỰC DI SẢN VĂN HÓA VẬT THỂ CỦA SINH VIÊN TẠI HÀ NỘI</v>
      </c>
      <c r="D25" s="4" t="str">
        <f>IFERROR(__xludf.DUMMYFUNCTION("""COMPUTED_VALUE"""),"Ninh Thị Thủy; Đỗ Quỳnh Anh; Triệu Thị Thu Hà")</f>
        <v>Ninh Thị Thủy; Đỗ Quỳnh Anh; Triệu Thị Thu Hà</v>
      </c>
      <c r="E25" s="4" t="str">
        <f>IFERROR(__xludf.DUMMYFUNCTION("""COMPUTED_VALUE"""),"Học viện Thanh thiếu niên Việt Nam")</f>
        <v>Học viện Thanh thiếu niên Việt Nam</v>
      </c>
      <c r="F25" s="4" t="str">
        <f>IFERROR(__xludf.DUMMYFUNCTION("""COMPUTED_VALUE"""),"KHXH2026-024.png")</f>
        <v>KHXH2026-024.png</v>
      </c>
    </row>
    <row r="26">
      <c r="A26" s="4" t="str">
        <f>IFERROR(__xludf.DUMMYFUNCTION("""COMPUTED_VALUE"""),"KHXH2026-025")</f>
        <v>KHXH2026-025</v>
      </c>
      <c r="B26" s="4" t="str">
        <f>IFERROR(__xludf.DUMMYFUNCTION("""COMPUTED_VALUE"""),"Khoa học xã hội")</f>
        <v>Khoa học xã hội</v>
      </c>
      <c r="C26" s="4" t="str">
        <f>IFERROR(__xludf.DUMMYFUNCTION("""COMPUTED_VALUE"""),"Nghiên cứu tác động của trí tuệ nhân tạo AI đối với tư duy phản biện của sinh viên trường Đại học Mở Hà Nội")</f>
        <v>Nghiên cứu tác động của trí tuệ nhân tạo AI đối với tư duy phản biện của sinh viên trường Đại học Mở Hà Nội</v>
      </c>
      <c r="D26" s="4" t="str">
        <f>IFERROR(__xludf.DUMMYFUNCTION("""COMPUTED_VALUE"""),"Trần Thị Cẩm Vân; Sa Đức Minh")</f>
        <v>Trần Thị Cẩm Vân; Sa Đức Minh</v>
      </c>
      <c r="E26" s="4" t="str">
        <f>IFERROR(__xludf.DUMMYFUNCTION("""COMPUTED_VALUE"""),"Trường Đại học Mở Hà Nội")</f>
        <v>Trường Đại học Mở Hà Nội</v>
      </c>
      <c r="F26" s="4" t="str">
        <f>IFERROR(__xludf.DUMMYFUNCTION("""COMPUTED_VALUE"""),"KHXH2026-025.png")</f>
        <v>KHXH2026-025.png</v>
      </c>
    </row>
    <row r="27">
      <c r="A27" s="4" t="str">
        <f>IFERROR(__xludf.DUMMYFUNCTION("""COMPUTED_VALUE"""),"KHXH2026-026")</f>
        <v>KHXH2026-026</v>
      </c>
      <c r="B27" s="4" t="str">
        <f>IFERROR(__xludf.DUMMYFUNCTION("""COMPUTED_VALUE"""),"Khoa học xã hội")</f>
        <v>Khoa học xã hội</v>
      </c>
      <c r="C27" s="4" t="str">
        <f>IFERROR(__xludf.DUMMYFUNCTION("""COMPUTED_VALUE"""),"Các yếu tố ảnh hưởng đến ý định chuyển đổi từ xe máy xăng sang xe máy điện của sinh viên đại học tại Thành phố Hồ Chí Minh: Vai trò điều tiết của bản sắc xanh cá nhân")</f>
        <v>Các yếu tố ảnh hưởng đến ý định chuyển đổi từ xe máy xăng sang xe máy điện của sinh viên đại học tại Thành phố Hồ Chí Minh: Vai trò điều tiết của bản sắc xanh cá nhân</v>
      </c>
      <c r="D27" s="4" t="str">
        <f>IFERROR(__xludf.DUMMYFUNCTION("""COMPUTED_VALUE"""),"Mai Thị Tuyết Hương; Trần Huỳnh Anh Thư; Trần Thị Huỳnh Mai; Quách Thị Hoa Huệ")</f>
        <v>Mai Thị Tuyết Hương; Trần Huỳnh Anh Thư; Trần Thị Huỳnh Mai; Quách Thị Hoa Huệ</v>
      </c>
      <c r="E27" s="4" t="str">
        <f>IFERROR(__xludf.DUMMYFUNCTION("""COMPUTED_VALUE"""),"Trường Đại học Nguyễn Tất Thành")</f>
        <v>Trường Đại học Nguyễn Tất Thành</v>
      </c>
      <c r="F27" s="4" t="str">
        <f>IFERROR(__xludf.DUMMYFUNCTION("""COMPUTED_VALUE"""),"KHXH2026-026.png")</f>
        <v>KHXH2026-026.png</v>
      </c>
    </row>
    <row r="28">
      <c r="A28" s="4" t="str">
        <f>IFERROR(__xludf.DUMMYFUNCTION("""COMPUTED_VALUE"""),"KHXH2026-027")</f>
        <v>KHXH2026-027</v>
      </c>
      <c r="B28" s="4" t="str">
        <f>IFERROR(__xludf.DUMMYFUNCTION("""COMPUTED_VALUE"""),"Khoa học xã hội")</f>
        <v>Khoa học xã hội</v>
      </c>
      <c r="C28" s="4" t="str">
        <f>IFERROR(__xludf.DUMMYFUNCTION("""COMPUTED_VALUE"""),"Tác động của Tri thức và Nhận thức Rủi ro Môi trường đến Hành vi Tiêu dùng Bền vững trong Thế hệ Gen Z tại Thành phố Hồ Chí Minh")</f>
        <v>Tác động của Tri thức và Nhận thức Rủi ro Môi trường đến Hành vi Tiêu dùng Bền vững trong Thế hệ Gen Z tại Thành phố Hồ Chí Minh</v>
      </c>
      <c r="D28" s="4" t="str">
        <f>IFERROR(__xludf.DUMMYFUNCTION("""COMPUTED_VALUE"""),"LẠI CAO THĂNG; TRẦN PẠT DẾNH; Phạm Nguyễn Quốc Tú; Vũ Thị Thơm")</f>
        <v>LẠI CAO THĂNG; TRẦN PẠT DẾNH; Phạm Nguyễn Quốc Tú; Vũ Thị Thơm</v>
      </c>
      <c r="E28" s="4" t="str">
        <f>IFERROR(__xludf.DUMMYFUNCTION("""COMPUTED_VALUE"""),"Trường Đại học Nguyễn Tất Thành")</f>
        <v>Trường Đại học Nguyễn Tất Thành</v>
      </c>
      <c r="F28" s="4" t="str">
        <f>IFERROR(__xludf.DUMMYFUNCTION("""COMPUTED_VALUE"""),"KHXH2026-027.png")</f>
        <v>KHXH2026-027.png</v>
      </c>
    </row>
    <row r="29">
      <c r="A29" s="4" t="str">
        <f>IFERROR(__xludf.DUMMYFUNCTION("""COMPUTED_VALUE"""),"KHXH2026-028")</f>
        <v>KHXH2026-028</v>
      </c>
      <c r="B29" s="4" t="str">
        <f>IFERROR(__xludf.DUMMYFUNCTION("""COMPUTED_VALUE"""),"Khoa học xã hội")</f>
        <v>Khoa học xã hội</v>
      </c>
      <c r="C29" s="4" t="str">
        <f>IFERROR(__xludf.DUMMYFUNCTION("""COMPUTED_VALUE"""),"Các yếu tố ảnh hưởng ý định học tập, làm việc và hành vi liên quan đến Logistics xanh của sinh viên đại học tại Thành phố Hồ Chí Minh: tiếp cận TPB mở rộng trong bối cảnh ESG")</f>
        <v>Các yếu tố ảnh hưởng ý định học tập, làm việc và hành vi liên quan đến Logistics xanh của sinh viên đại học tại Thành phố Hồ Chí Minh: tiếp cận TPB mở rộng trong bối cảnh ESG</v>
      </c>
      <c r="D29" s="4" t="str">
        <f>IFERROR(__xludf.DUMMYFUNCTION("""COMPUTED_VALUE"""),"TRẦN ĐÔNG SUN; TRẦN PẠT DẾNH")</f>
        <v>TRẦN ĐÔNG SUN; TRẦN PẠT DẾNH</v>
      </c>
      <c r="E29" s="4" t="str">
        <f>IFERROR(__xludf.DUMMYFUNCTION("""COMPUTED_VALUE"""),"Trường Đại học Nguyễn Tất Thành")</f>
        <v>Trường Đại học Nguyễn Tất Thành</v>
      </c>
      <c r="F29" s="4" t="str">
        <f>IFERROR(__xludf.DUMMYFUNCTION("""COMPUTED_VALUE"""),"KHXH2026-028.png")</f>
        <v>KHXH2026-028.png</v>
      </c>
    </row>
    <row r="30">
      <c r="A30" s="4" t="str">
        <f>IFERROR(__xludf.DUMMYFUNCTION("""COMPUTED_VALUE"""),"KHXH2026-029")</f>
        <v>KHXH2026-029</v>
      </c>
      <c r="B30" s="4" t="str">
        <f>IFERROR(__xludf.DUMMYFUNCTION("""COMPUTED_VALUE"""),"Khoa học xã hội")</f>
        <v>Khoa học xã hội</v>
      </c>
      <c r="C30" s="4" t="str">
        <f>IFERROR(__xludf.DUMMYFUNCTION("""COMPUTED_VALUE"""),"Nghiên cứu về sự chấp nhận của thương lái và nông dân đối với bao bì lót làm từ thân chuối trong chuỗi cung ứng chuối xuất khẩu: Nghiên cứu trường hợp tại tỉnh Đồng Nai")</f>
        <v>Nghiên cứu về sự chấp nhận của thương lái và nông dân đối với bao bì lót làm từ thân chuối trong chuỗi cung ứng chuối xuất khẩu: Nghiên cứu trường hợp tại tỉnh Đồng Nai</v>
      </c>
      <c r="D30" s="4" t="str">
        <f>IFERROR(__xludf.DUMMYFUNCTION("""COMPUTED_VALUE"""),"TRẦN PẠT DẾNH; TRẦN ĐÔNG SUN; Nguyễn Thị Nhung")</f>
        <v>TRẦN PẠT DẾNH; TRẦN ĐÔNG SUN; Nguyễn Thị Nhung</v>
      </c>
      <c r="E30" s="4" t="str">
        <f>IFERROR(__xludf.DUMMYFUNCTION("""COMPUTED_VALUE"""),"Trường Đại học Nguyễn Tất Thành")</f>
        <v>Trường Đại học Nguyễn Tất Thành</v>
      </c>
      <c r="F30" s="4" t="str">
        <f>IFERROR(__xludf.DUMMYFUNCTION("""COMPUTED_VALUE"""),"KHXH2026-029.png")</f>
        <v>KHXH2026-029.png</v>
      </c>
    </row>
    <row r="31">
      <c r="A31" s="4" t="str">
        <f>IFERROR(__xludf.DUMMYFUNCTION("""COMPUTED_VALUE"""),"KHXH2026-030")</f>
        <v>KHXH2026-030</v>
      </c>
      <c r="B31" s="4" t="str">
        <f>IFERROR(__xludf.DUMMYFUNCTION("""COMPUTED_VALUE"""),"Khoa học xã hội")</f>
        <v>Khoa học xã hội</v>
      </c>
      <c r="C31" s="4" t="str">
        <f>IFERROR(__xludf.DUMMYFUNCTION("""COMPUTED_VALUE"""),"Xây dựng mô hình đánh giá và lựa chọn nhà cung cấp giấy tích hợp các tiêu chí phát triển bền vững bằng phương pháp AHP–SAW: Nghiên cứu tình huống tại Công ty TNHH TH Green Sky")</f>
        <v>Xây dựng mô hình đánh giá và lựa chọn nhà cung cấp giấy tích hợp các tiêu chí phát triển bền vững bằng phương pháp AHP–SAW: Nghiên cứu tình huống tại Công ty TNHH TH Green Sky</v>
      </c>
      <c r="D31" s="4" t="str">
        <f>IFERROR(__xludf.DUMMYFUNCTION("""COMPUTED_VALUE"""),"LẠI CAO THĂNG; Phạm Nguyễn Quốc Tú")</f>
        <v>LẠI CAO THĂNG; Phạm Nguyễn Quốc Tú</v>
      </c>
      <c r="E31" s="4" t="str">
        <f>IFERROR(__xludf.DUMMYFUNCTION("""COMPUTED_VALUE"""),"Trường Đại học Nguyễn Tất Thành")</f>
        <v>Trường Đại học Nguyễn Tất Thành</v>
      </c>
      <c r="F31" s="4" t="str">
        <f>IFERROR(__xludf.DUMMYFUNCTION("""COMPUTED_VALUE"""),"KHXH2026-030.png")</f>
        <v>KHXH2026-030.png</v>
      </c>
    </row>
    <row r="32">
      <c r="A32" s="4" t="str">
        <f>IFERROR(__xludf.DUMMYFUNCTION("""COMPUTED_VALUE"""),"KHXH2026-031")</f>
        <v>KHXH2026-031</v>
      </c>
      <c r="B32" s="4" t="str">
        <f>IFERROR(__xludf.DUMMYFUNCTION("""COMPUTED_VALUE"""),"Khoa học xã hội")</f>
        <v>Khoa học xã hội</v>
      </c>
      <c r="C32" s="4" t="str">
        <f>IFERROR(__xludf.DUMMYFUNCTION("""COMPUTED_VALUE"""),"GIÁO DỤC VĂN HÓA CỘI NGUỒN CHO TRẺ EM TRONG GIA ĐÌNH ĐA VĂN HÓA VIỆT - ĐÀI: THỰC TRẠNG VÀ ĐỀ XUẤT THIẾT KẾ BỘ SẢN PHẨM GIÁO DỤC")</f>
        <v>GIÁO DỤC VĂN HÓA CỘI NGUỒN CHO TRẺ EM TRONG GIA ĐÌNH ĐA VĂN HÓA VIỆT - ĐÀI: THỰC TRẠNG VÀ ĐỀ XUẤT THIẾT KẾ BỘ SẢN PHẨM GIÁO DỤC</v>
      </c>
      <c r="D32" s="4" t="str">
        <f>IFERROR(__xludf.DUMMYFUNCTION("""COMPUTED_VALUE"""),"Dương Tuấn Duy; Trần Thị Hồng Mến")</f>
        <v>Dương Tuấn Duy; Trần Thị Hồng Mến</v>
      </c>
      <c r="E32" s="4" t="str">
        <f>IFERROR(__xludf.DUMMYFUNCTION("""COMPUTED_VALUE"""),"Trường Đại học Sư phạm Hà Nội")</f>
        <v>Trường Đại học Sư phạm Hà Nội</v>
      </c>
      <c r="F32" s="4" t="str">
        <f>IFERROR(__xludf.DUMMYFUNCTION("""COMPUTED_VALUE"""),"KHXH2026-031.png")</f>
        <v>KHXH2026-031.png</v>
      </c>
    </row>
    <row r="33">
      <c r="A33" s="4" t="str">
        <f>IFERROR(__xludf.DUMMYFUNCTION("""COMPUTED_VALUE"""),"KHXH2026-032")</f>
        <v>KHXH2026-032</v>
      </c>
      <c r="B33" s="4" t="str">
        <f>IFERROR(__xludf.DUMMYFUNCTION("""COMPUTED_VALUE"""),"Khoa học xã hội")</f>
        <v>Khoa học xã hội</v>
      </c>
      <c r="C33" s="4" t="str">
        <f>IFERROR(__xludf.DUMMYFUNCTION("""COMPUTED_VALUE"""),"Tương Tác Không Gian Thực Và Ảo (Trường Hợp Lễ Hội Chùa Hương)")</f>
        <v>Tương Tác Không Gian Thực Và Ảo (Trường Hợp Lễ Hội Chùa Hương)</v>
      </c>
      <c r="D33" s="4" t="str">
        <f>IFERROR(__xludf.DUMMYFUNCTION("""COMPUTED_VALUE"""),"Nguyễn Mỹ Duyên; Nguyễn Thu Hằng; Lưu Thu Hằng")</f>
        <v>Nguyễn Mỹ Duyên; Nguyễn Thu Hằng; Lưu Thu Hằng</v>
      </c>
      <c r="E33" s="4" t="str">
        <f>IFERROR(__xludf.DUMMYFUNCTION("""COMPUTED_VALUE"""),"Trường Đại học Sư phạm Hà Nội")</f>
        <v>Trường Đại học Sư phạm Hà Nội</v>
      </c>
      <c r="F33" s="4" t="str">
        <f>IFERROR(__xludf.DUMMYFUNCTION("""COMPUTED_VALUE"""),"KHXH2026-032.png")</f>
        <v>KHXH2026-032.png</v>
      </c>
    </row>
    <row r="34">
      <c r="A34" s="4" t="str">
        <f>IFERROR(__xludf.DUMMYFUNCTION("""COMPUTED_VALUE"""),"KHXH2026-033")</f>
        <v>KHXH2026-033</v>
      </c>
      <c r="B34" s="4" t="str">
        <f>IFERROR(__xludf.DUMMYFUNCTION("""COMPUTED_VALUE"""),"Khoa học xã hội")</f>
        <v>Khoa học xã hội</v>
      </c>
      <c r="C34" s="4" t="str">
        <f>IFERROR(__xludf.DUMMYFUNCTION("""COMPUTED_VALUE"""),"Quan điểm xã hội về hành vi tự hại và một số yếu tố liên quan của sinh viên điều dưỡng.")</f>
        <v>Quan điểm xã hội về hành vi tự hại và một số yếu tố liên quan của sinh viên điều dưỡng.</v>
      </c>
      <c r="D34" s="4" t="str">
        <f>IFERROR(__xludf.DUMMYFUNCTION("""COMPUTED_VALUE"""),"Lê Ngọc Sang; Bùi Ngọc Diễm My; Trần Hoàng Anh; Lê Tâm Minh An")</f>
        <v>Lê Ngọc Sang; Bùi Ngọc Diễm My; Trần Hoàng Anh; Lê Tâm Minh An</v>
      </c>
      <c r="E34" s="4" t="str">
        <f>IFERROR(__xludf.DUMMYFUNCTION("""COMPUTED_VALUE"""),"Trường Đại học Nguyễn Tất Thành")</f>
        <v>Trường Đại học Nguyễn Tất Thành</v>
      </c>
      <c r="F34" s="4" t="str">
        <f>IFERROR(__xludf.DUMMYFUNCTION("""COMPUTED_VALUE"""),"KHXH2026-033.png")</f>
        <v>KHXH2026-033.png</v>
      </c>
    </row>
    <row r="35">
      <c r="A35" s="4" t="str">
        <f>IFERROR(__xludf.DUMMYFUNCTION("""COMPUTED_VALUE"""),"KHXH2026-034")</f>
        <v>KHXH2026-034</v>
      </c>
      <c r="B35" s="4" t="str">
        <f>IFERROR(__xludf.DUMMYFUNCTION("""COMPUTED_VALUE"""),"Khoa học xã hội")</f>
        <v>Khoa học xã hội</v>
      </c>
      <c r="C35" s="4" t="str">
        <f>IFERROR(__xludf.DUMMYFUNCTION("""COMPUTED_VALUE"""),"Nghiên cứu nhân tố ảnh hưởng đến kết quả học tập của sinh viên ngành Kế toán tại trường Đại học Nghệ An")</f>
        <v>Nghiên cứu nhân tố ảnh hưởng đến kết quả học tập của sinh viên ngành Kế toán tại trường Đại học Nghệ An</v>
      </c>
      <c r="D35" s="4" t="str">
        <f>IFERROR(__xludf.DUMMYFUNCTION("""COMPUTED_VALUE"""),"Phạm Hà Phương; Võ Thị Phương Thảo")</f>
        <v>Phạm Hà Phương; Võ Thị Phương Thảo</v>
      </c>
      <c r="E35" s="4" t="str">
        <f>IFERROR(__xludf.DUMMYFUNCTION("""COMPUTED_VALUE"""),"Trường Đại học Nghệ An")</f>
        <v>Trường Đại học Nghệ An</v>
      </c>
      <c r="F35" s="4" t="str">
        <f>IFERROR(__xludf.DUMMYFUNCTION("""COMPUTED_VALUE"""),"KHXH2026-034.png")</f>
        <v>KHXH2026-034.png</v>
      </c>
    </row>
    <row r="36">
      <c r="A36" s="4" t="str">
        <f>IFERROR(__xludf.DUMMYFUNCTION("""COMPUTED_VALUE"""),"KHXH2026-035")</f>
        <v>KHXH2026-035</v>
      </c>
      <c r="B36" s="4" t="str">
        <f>IFERROR(__xludf.DUMMYFUNCTION("""COMPUTED_VALUE"""),"Khoa học xã hội")</f>
        <v>Khoa học xã hội</v>
      </c>
      <c r="C36" s="4" t="str">
        <f>IFERROR(__xludf.DUMMYFUNCTION("""COMPUTED_VALUE"""),"Tác động của chuyển đổi số đến chất lượng học tập của sinh viên ngành Kế toán, Trường Đại học Nghệ An")</f>
        <v>Tác động của chuyển đổi số đến chất lượng học tập của sinh viên ngành Kế toán, Trường Đại học Nghệ An</v>
      </c>
      <c r="D36" s="4" t="str">
        <f>IFERROR(__xludf.DUMMYFUNCTION("""COMPUTED_VALUE"""),"Nguyễn Thị Tú; Cao Thị Thu Thủy")</f>
        <v>Nguyễn Thị Tú; Cao Thị Thu Thủy</v>
      </c>
      <c r="E36" s="4" t="str">
        <f>IFERROR(__xludf.DUMMYFUNCTION("""COMPUTED_VALUE"""),"Trường Đại học Nghệ An")</f>
        <v>Trường Đại học Nghệ An</v>
      </c>
      <c r="F36" s="4" t="str">
        <f>IFERROR(__xludf.DUMMYFUNCTION("""COMPUTED_VALUE"""),"KHXH2026-035.png")</f>
        <v>KHXH2026-035.png</v>
      </c>
    </row>
    <row r="37">
      <c r="A37" s="4" t="str">
        <f>IFERROR(__xludf.DUMMYFUNCTION("""COMPUTED_VALUE"""),"KHXH2026-036")</f>
        <v>KHXH2026-036</v>
      </c>
      <c r="B37" s="4" t="str">
        <f>IFERROR(__xludf.DUMMYFUNCTION("""COMPUTED_VALUE"""),"Khoa học xã hội")</f>
        <v>Khoa học xã hội</v>
      </c>
      <c r="C37" s="4" t="str">
        <f>IFERROR(__xludf.DUMMYFUNCTION("""COMPUTED_VALUE"""),"BIẾN ĐỘNG CỦA THỊ TRƯỜNG CHỨNG KHOÁN VÀ GIÁ TRỊ DOANH NGHIỆP")</f>
        <v>BIẾN ĐỘNG CỦA THỊ TRƯỜNG CHỨNG KHOÁN VÀ GIÁ TRỊ DOANH NGHIỆP</v>
      </c>
      <c r="D37" s="4" t="str">
        <f>IFERROR(__xludf.DUMMYFUNCTION("""COMPUTED_VALUE"""),"Lê Thị Mỹ Hương; Đỗ Vân Khánh; Trần Thị Thùy Linh; Nguyễn Như Thùy Vân")</f>
        <v>Lê Thị Mỹ Hương; Đỗ Vân Khánh; Trần Thị Thùy Linh; Nguyễn Như Thùy Vân</v>
      </c>
      <c r="E37" s="4" t="str">
        <f>IFERROR(__xludf.DUMMYFUNCTION("""COMPUTED_VALUE"""),"Trường Đại học Mở TP. Hồ Chí Minh")</f>
        <v>Trường Đại học Mở TP. Hồ Chí Minh</v>
      </c>
      <c r="F37" s="4" t="str">
        <f>IFERROR(__xludf.DUMMYFUNCTION("""COMPUTED_VALUE"""),"KHXH2026-036.png")</f>
        <v>KHXH2026-036.png</v>
      </c>
    </row>
    <row r="38">
      <c r="A38" s="4" t="str">
        <f>IFERROR(__xludf.DUMMYFUNCTION("""COMPUTED_VALUE"""),"KHXH2026-037")</f>
        <v>KHXH2026-037</v>
      </c>
      <c r="B38" s="4" t="str">
        <f>IFERROR(__xludf.DUMMYFUNCTION("""COMPUTED_VALUE"""),"Khoa học xã hội")</f>
        <v>Khoa học xã hội</v>
      </c>
      <c r="C38" s="4" t="str">
        <f>IFERROR(__xludf.DUMMYFUNCTION("""COMPUTED_VALUE"""),"Tác động của quyết định ứng dụng AI đến hiệu quả chuyển đổi xanh trong doanh nghiệp vận tải đường bộ tại TP.HCM: vai trò điều tiết của nhận thức và trách nhiệm xã hội")</f>
        <v>Tác động của quyết định ứng dụng AI đến hiệu quả chuyển đổi xanh trong doanh nghiệp vận tải đường bộ tại TP.HCM: vai trò điều tiết của nhận thức và trách nhiệm xã hội</v>
      </c>
      <c r="D38" s="4" t="str">
        <f>IFERROR(__xludf.DUMMYFUNCTION("""COMPUTED_VALUE"""),"Nguyễn Quốc Việt Lâm; Nguyễn Mai Hoàng Quân; Đới Anh Minh")</f>
        <v>Nguyễn Quốc Việt Lâm; Nguyễn Mai Hoàng Quân; Đới Anh Minh</v>
      </c>
      <c r="E38" s="4" t="str">
        <f>IFERROR(__xludf.DUMMYFUNCTION("""COMPUTED_VALUE"""),"Trường Đại học Công nghệ TP. Hồ Chí Minh")</f>
        <v>Trường Đại học Công nghệ TP. Hồ Chí Minh</v>
      </c>
      <c r="F38" s="4" t="str">
        <f>IFERROR(__xludf.DUMMYFUNCTION("""COMPUTED_VALUE"""),"KHXH2026-037.png")</f>
        <v>KHXH2026-037.png</v>
      </c>
    </row>
    <row r="39">
      <c r="A39" s="4" t="str">
        <f>IFERROR(__xludf.DUMMYFUNCTION("""COMPUTED_VALUE"""),"KHXH2026-038")</f>
        <v>KHXH2026-038</v>
      </c>
      <c r="B39" s="4" t="str">
        <f>IFERROR(__xludf.DUMMYFUNCTION("""COMPUTED_VALUE"""),"Khoa học xã hội")</f>
        <v>Khoa học xã hội</v>
      </c>
      <c r="C39" s="4" t="str">
        <f>IFERROR(__xludf.DUMMYFUNCTION("""COMPUTED_VALUE"""),"Nghiên cứu đánh giá khả năng chống chịu và phục hồi dựa vào cộng đồng của di sản trong bối cảnh rủi ro thiên tai: Trường hợp nghiên cứu tại khu đô thị cổ ven sông Hoài, thành phố Hội An.")</f>
        <v>Nghiên cứu đánh giá khả năng chống chịu và phục hồi dựa vào cộng đồng của di sản trong bối cảnh rủi ro thiên tai: Trường hợp nghiên cứu tại khu đô thị cổ ven sông Hoài, thành phố Hội An.</v>
      </c>
      <c r="D39" s="4" t="str">
        <f>IFERROR(__xludf.DUMMYFUNCTION("""COMPUTED_VALUE"""),"Nguyễn Mỹ Linh")</f>
        <v>Nguyễn Mỹ Linh</v>
      </c>
      <c r="E39" s="4" t="str">
        <f>IFERROR(__xludf.DUMMYFUNCTION("""COMPUTED_VALUE"""),"Trường Khoa học liên ngành và Nghệ thuật, ĐHQG Hà Nội")</f>
        <v>Trường Khoa học liên ngành và Nghệ thuật, ĐHQG Hà Nội</v>
      </c>
      <c r="F39" s="4" t="str">
        <f>IFERROR(__xludf.DUMMYFUNCTION("""COMPUTED_VALUE"""),"KHXH2026-038.png")</f>
        <v>KHXH2026-038.png</v>
      </c>
    </row>
    <row r="40">
      <c r="A40" s="4" t="str">
        <f>IFERROR(__xludf.DUMMYFUNCTION("""COMPUTED_VALUE"""),"KHXH2026-039")</f>
        <v>KHXH2026-039</v>
      </c>
      <c r="B40" s="4" t="str">
        <f>IFERROR(__xludf.DUMMYFUNCTION("""COMPUTED_VALUE"""),"Khoa học xã hội")</f>
        <v>Khoa học xã hội</v>
      </c>
      <c r="C40" s="4" t="str">
        <f>IFERROR(__xludf.DUMMYFUNCTION("""COMPUTED_VALUE"""),"Nghiên cứu đánh giá chất lượng cuộc sống cư dân phục vụ phát triển du lịch tại các làng di sản thuộc khu vực Công viên địa chất toàn cầu Cao nguyên đá Đồng Văn, tỉnh Tuyên Quang")</f>
        <v>Nghiên cứu đánh giá chất lượng cuộc sống cư dân phục vụ phát triển du lịch tại các làng di sản thuộc khu vực Công viên địa chất toàn cầu Cao nguyên đá Đồng Văn, tỉnh Tuyên Quang</v>
      </c>
      <c r="D40" s="4" t="str">
        <f>IFERROR(__xludf.DUMMYFUNCTION("""COMPUTED_VALUE"""),"Nguyễn Đình Thị Nhung")</f>
        <v>Nguyễn Đình Thị Nhung</v>
      </c>
      <c r="E40" s="4" t="str">
        <f>IFERROR(__xludf.DUMMYFUNCTION("""COMPUTED_VALUE"""),"Trường Khoa học liên ngành và Nghệ thuật, ĐHQG Hà Nội")</f>
        <v>Trường Khoa học liên ngành và Nghệ thuật, ĐHQG Hà Nội</v>
      </c>
      <c r="F40" s="4" t="str">
        <f>IFERROR(__xludf.DUMMYFUNCTION("""COMPUTED_VALUE"""),"KHXH2026-039.png")</f>
        <v>KHXH2026-039.png</v>
      </c>
    </row>
    <row r="41">
      <c r="A41" s="4" t="str">
        <f>IFERROR(__xludf.DUMMYFUNCTION("""COMPUTED_VALUE"""),"KHXH2026-040")</f>
        <v>KHXH2026-040</v>
      </c>
      <c r="B41" s="4" t="str">
        <f>IFERROR(__xludf.DUMMYFUNCTION("""COMPUTED_VALUE"""),"Khoa học xã hội")</f>
        <v>Khoa học xã hội</v>
      </c>
      <c r="C41" s="4" t="str">
        <f>IFERROR(__xludf.DUMMYFUNCTION("""COMPUTED_VALUE"""),"Đánh giá tác động của các yếu tố văn hóa trong quảng cáo đến nhận thức thương hiệu thực phẩm-đồ uống tại Việt Nam.")</f>
        <v>Đánh giá tác động của các yếu tố văn hóa trong quảng cáo đến nhận thức thương hiệu thực phẩm-đồ uống tại Việt Nam.</v>
      </c>
      <c r="D41" s="4" t="str">
        <f>IFERROR(__xludf.DUMMYFUNCTION("""COMPUTED_VALUE"""),"Phùng Thị Ánh Hồng; Nguyễn Thùy Linh")</f>
        <v>Phùng Thị Ánh Hồng; Nguyễn Thùy Linh</v>
      </c>
      <c r="E41" s="4" t="str">
        <f>IFERROR(__xludf.DUMMYFUNCTION("""COMPUTED_VALUE"""),"Trường Khoa học liên ngành và Nghệ thuật, ĐHQG Hà Nội")</f>
        <v>Trường Khoa học liên ngành và Nghệ thuật, ĐHQG Hà Nội</v>
      </c>
      <c r="F41" s="4" t="str">
        <f>IFERROR(__xludf.DUMMYFUNCTION("""COMPUTED_VALUE"""),"KHXH2026-040.png")</f>
        <v>KHXH2026-040.png</v>
      </c>
    </row>
    <row r="42">
      <c r="A42" s="4" t="str">
        <f>IFERROR(__xludf.DUMMYFUNCTION("""COMPUTED_VALUE"""),"KHXH2026-041")</f>
        <v>KHXH2026-041</v>
      </c>
      <c r="B42" s="4" t="str">
        <f>IFERROR(__xludf.DUMMYFUNCTION("""COMPUTED_VALUE"""),"Khoa học xã hội")</f>
        <v>Khoa học xã hội</v>
      </c>
      <c r="C42" s="4" t="str">
        <f>IFERROR(__xludf.DUMMYFUNCTION("""COMPUTED_VALUE"""),"Hành vi quản trị lợi nhuận tác động đến mức độ công bố thông tin trách nhiệm xã hội của 100 doanh nghiệp niêm yết trên Sở giao dịch chứng khoán Thành phố Hồ Chí Minh giai đoạn 2019-2024")</f>
        <v>Hành vi quản trị lợi nhuận tác động đến mức độ công bố thông tin trách nhiệm xã hội của 100 doanh nghiệp niêm yết trên Sở giao dịch chứng khoán Thành phố Hồ Chí Minh giai đoạn 2019-2024</v>
      </c>
      <c r="D42" s="4" t="str">
        <f>IFERROR(__xludf.DUMMYFUNCTION("""COMPUTED_VALUE"""),"Lương Tú Linh; Trần Thị Yến Nhung; Trần Thị Thuý Diễm")</f>
        <v>Lương Tú Linh; Trần Thị Yến Nhung; Trần Thị Thuý Diễm</v>
      </c>
      <c r="E42" s="4" t="str">
        <f>IFERROR(__xludf.DUMMYFUNCTION("""COMPUTED_VALUE"""),"Trường Đại học Mở TP. Hồ Chí Minh")</f>
        <v>Trường Đại học Mở TP. Hồ Chí Minh</v>
      </c>
      <c r="F42" s="4" t="str">
        <f>IFERROR(__xludf.DUMMYFUNCTION("""COMPUTED_VALUE"""),"KHXH2026-041.png")</f>
        <v>KHXH2026-041.png</v>
      </c>
    </row>
    <row r="43">
      <c r="A43" s="4" t="str">
        <f>IFERROR(__xludf.DUMMYFUNCTION("""COMPUTED_VALUE"""),"KHXH2026-042")</f>
        <v>KHXH2026-042</v>
      </c>
      <c r="B43" s="4" t="str">
        <f>IFERROR(__xludf.DUMMYFUNCTION("""COMPUTED_VALUE"""),"Khoa học xã hội")</f>
        <v>Khoa học xã hội</v>
      </c>
      <c r="C43" s="4" t="str">
        <f>IFERROR(__xludf.DUMMYFUNCTION("""COMPUTED_VALUE"""),"Giải mã niềm tin của thế hệ Zillennial: Vai trò của hình ảnh nhà bán lẻ trong việc kích hoạt hành vi mua nhãn hàng riêng thông qua mô hình S–O–R tại Việt Nam")</f>
        <v>Giải mã niềm tin của thế hệ Zillennial: Vai trò của hình ảnh nhà bán lẻ trong việc kích hoạt hành vi mua nhãn hàng riêng thông qua mô hình S–O–R tại Việt Nam</v>
      </c>
      <c r="D43" s="4" t="str">
        <f>IFERROR(__xludf.DUMMYFUNCTION("""COMPUTED_VALUE"""),"Lương Tấn Lực; Lê Trần Lê; Lê Nguyễn Trâm Anh; Mai Thị Lệ Khánh; Mai Hoàng Anh Thư")</f>
        <v>Lương Tấn Lực; Lê Trần Lê; Lê Nguyễn Trâm Anh; Mai Thị Lệ Khánh; Mai Hoàng Anh Thư</v>
      </c>
      <c r="E43" s="4" t="str">
        <f>IFERROR(__xludf.DUMMYFUNCTION("""COMPUTED_VALUE"""),"Trường Đại học Mở TP. Hồ Chí Minh")</f>
        <v>Trường Đại học Mở TP. Hồ Chí Minh</v>
      </c>
      <c r="F43" s="4" t="str">
        <f>IFERROR(__xludf.DUMMYFUNCTION("""COMPUTED_VALUE"""),"KHXH2026-042.png")</f>
        <v>KHXH2026-042.png</v>
      </c>
    </row>
    <row r="44">
      <c r="A44" s="4" t="str">
        <f>IFERROR(__xludf.DUMMYFUNCTION("""COMPUTED_VALUE"""),"KHXH2026-043")</f>
        <v>KHXH2026-043</v>
      </c>
      <c r="B44" s="4" t="str">
        <f>IFERROR(__xludf.DUMMYFUNCTION("""COMPUTED_VALUE"""),"Khoa học xã hội")</f>
        <v>Khoa học xã hội</v>
      </c>
      <c r="C44" s="4" t="str">
        <f>IFERROR(__xludf.DUMMYFUNCTION("""COMPUTED_VALUE"""),"Tín hiệu xã hội dạng văn bản trong nội dung bài đăng của người ảnh hưởng: Khai phá chuỗi nhận thức – cảm xúc – hành vi trong chứng thực của con người và trí tuệ nhân tạo")</f>
        <v>Tín hiệu xã hội dạng văn bản trong nội dung bài đăng của người ảnh hưởng: Khai phá chuỗi nhận thức – cảm xúc – hành vi trong chứng thực của con người và trí tuệ nhân tạo</v>
      </c>
      <c r="D44" s="4" t="str">
        <f>IFERROR(__xludf.DUMMYFUNCTION("""COMPUTED_VALUE"""),"Phạm Quỳnh Uyên Nhi; Võ Thị Như Quỳnh; Phan Hoàng Nguyên")</f>
        <v>Phạm Quỳnh Uyên Nhi; Võ Thị Như Quỳnh; Phan Hoàng Nguyên</v>
      </c>
      <c r="E44" s="4" t="str">
        <f>IFERROR(__xludf.DUMMYFUNCTION("""COMPUTED_VALUE"""),"Trường Đại học Mở TP. Hồ Chí Minh")</f>
        <v>Trường Đại học Mở TP. Hồ Chí Minh</v>
      </c>
      <c r="F44" s="4" t="str">
        <f>IFERROR(__xludf.DUMMYFUNCTION("""COMPUTED_VALUE"""),"KHXH2026-043.png")</f>
        <v>KHXH2026-043.png</v>
      </c>
    </row>
    <row r="45">
      <c r="A45" s="4" t="str">
        <f>IFERROR(__xludf.DUMMYFUNCTION("""COMPUTED_VALUE"""),"KHXH2026-044")</f>
        <v>KHXH2026-044</v>
      </c>
      <c r="B45" s="4" t="str">
        <f>IFERROR(__xludf.DUMMYFUNCTION("""COMPUTED_VALUE"""),"Khoa học xã hội")</f>
        <v>Khoa học xã hội</v>
      </c>
      <c r="C45" s="4" t="str">
        <f>IFERROR(__xludf.DUMMYFUNCTION("""COMPUTED_VALUE"""),"Ứng dụng học máy trong phát hiện sớm rủi ro tín dụng của doanh nghiệp nhỏ và vừa tại Thành phố Hồ Chí Minh")</f>
        <v>Ứng dụng học máy trong phát hiện sớm rủi ro tín dụng của doanh nghiệp nhỏ và vừa tại Thành phố Hồ Chí Minh</v>
      </c>
      <c r="D45" s="4" t="str">
        <f>IFERROR(__xludf.DUMMYFUNCTION("""COMPUTED_VALUE"""),"Trương Lâm Bảo Thoa; Nguyễn Phan Minh Hân; Võ Nguyễn Thuỳ Dương; Nguyễn Như Ý; Lâm Phước Dị")</f>
        <v>Trương Lâm Bảo Thoa; Nguyễn Phan Minh Hân; Võ Nguyễn Thuỳ Dương; Nguyễn Như Ý; Lâm Phước Dị</v>
      </c>
      <c r="E45" s="4" t="str">
        <f>IFERROR(__xludf.DUMMYFUNCTION("""COMPUTED_VALUE"""),"Trường Đại học Mở TP. Hồ Chí Minh")</f>
        <v>Trường Đại học Mở TP. Hồ Chí Minh</v>
      </c>
      <c r="F45" s="4" t="str">
        <f>IFERROR(__xludf.DUMMYFUNCTION("""COMPUTED_VALUE"""),"KHXH2026-044.png")</f>
        <v>KHXH2026-044.png</v>
      </c>
    </row>
    <row r="46">
      <c r="A46" s="4" t="str">
        <f>IFERROR(__xludf.DUMMYFUNCTION("""COMPUTED_VALUE"""),"KHXH2026-045")</f>
        <v>KHXH2026-045</v>
      </c>
      <c r="B46" s="4" t="str">
        <f>IFERROR(__xludf.DUMMYFUNCTION("""COMPUTED_VALUE"""),"Khoa học xã hội")</f>
        <v>Khoa học xã hội</v>
      </c>
      <c r="C46" s="4" t="str">
        <f>IFERROR(__xludf.DUMMYFUNCTION("""COMPUTED_VALUE"""),"Tác động của vốn xã hội đối với hành vi vì môi trường của sinh viên các trường đại học ở TP. Hồ Chí Minh: Vai trò của thái độ môi trường và hiệu quả chính sách được nhận thức")</f>
        <v>Tác động của vốn xã hội đối với hành vi vì môi trường của sinh viên các trường đại học ở TP. Hồ Chí Minh: Vai trò của thái độ môi trường và hiệu quả chính sách được nhận thức</v>
      </c>
      <c r="D46" s="4" t="str">
        <f>IFERROR(__xludf.DUMMYFUNCTION("""COMPUTED_VALUE"""),"Nguyễn Quách Thảo Nhân; Võ Thị Kiều Mẫn; Huỳnh Diễm Mi; Ngô Thị Hà")</f>
        <v>Nguyễn Quách Thảo Nhân; Võ Thị Kiều Mẫn; Huỳnh Diễm Mi; Ngô Thị Hà</v>
      </c>
      <c r="E46" s="4" t="str">
        <f>IFERROR(__xludf.DUMMYFUNCTION("""COMPUTED_VALUE"""),"Trường Đại học Mở TP. Hồ Chí Minh")</f>
        <v>Trường Đại học Mở TP. Hồ Chí Minh</v>
      </c>
      <c r="F46" s="4" t="str">
        <f>IFERROR(__xludf.DUMMYFUNCTION("""COMPUTED_VALUE"""),"KHXH2026-045.png")</f>
        <v>KHXH2026-045.png</v>
      </c>
    </row>
    <row r="47">
      <c r="A47" s="4" t="str">
        <f>IFERROR(__xludf.DUMMYFUNCTION("""COMPUTED_VALUE"""),"KHXH2026-046")</f>
        <v>KHXH2026-046</v>
      </c>
      <c r="B47" s="4" t="str">
        <f>IFERROR(__xludf.DUMMYFUNCTION("""COMPUTED_VALUE"""),"Khoa học xã hội")</f>
        <v>Khoa học xã hội</v>
      </c>
      <c r="C47" s="4" t="str">
        <f>IFERROR(__xludf.DUMMYFUNCTION("""COMPUTED_VALUE"""),"Ứng dụng trí tuệ nhân tạo tạo sinh (GenAI) trong khai thác thông tin phục vụ học tập của sinh viên trên địa bàn Hà Nội")</f>
        <v>Ứng dụng trí tuệ nhân tạo tạo sinh (GenAI) trong khai thác thông tin phục vụ học tập của sinh viên trên địa bàn Hà Nội</v>
      </c>
      <c r="D47" s="4" t="str">
        <f>IFERROR(__xludf.DUMMYFUNCTION("""COMPUTED_VALUE"""),"Trần Thị Phúc Như; Nguyễn Văn Thắng; Yên Thị Nhật Linh; Yên Thị Thảo; Vũ Thị Kiều Oanh")</f>
        <v>Trần Thị Phúc Như; Nguyễn Văn Thắng; Yên Thị Nhật Linh; Yên Thị Thảo; Vũ Thị Kiều Oanh</v>
      </c>
      <c r="E47" s="4" t="str">
        <f>IFERROR(__xludf.DUMMYFUNCTION("""COMPUTED_VALUE"""),"Trường Đại học Văn hóa Hà Nội")</f>
        <v>Trường Đại học Văn hóa Hà Nội</v>
      </c>
      <c r="F47" s="4" t="str">
        <f>IFERROR(__xludf.DUMMYFUNCTION("""COMPUTED_VALUE"""),"KHXH2026-046.png")</f>
        <v>KHXH2026-046.png</v>
      </c>
    </row>
    <row r="48">
      <c r="A48" s="4" t="str">
        <f>IFERROR(__xludf.DUMMYFUNCTION("""COMPUTED_VALUE"""),"KHXH2026-047")</f>
        <v>KHXH2026-047</v>
      </c>
      <c r="B48" s="4" t="str">
        <f>IFERROR(__xludf.DUMMYFUNCTION("""COMPUTED_VALUE"""),"Khoa học xã hội")</f>
        <v>Khoa học xã hội</v>
      </c>
      <c r="C48" s="4" t="str">
        <f>IFERROR(__xludf.DUMMYFUNCTION("""COMPUTED_VALUE"""),"Pháp luật về quyền tự do ngôn luận trên không gian mạng ở Việt Nam")</f>
        <v>Pháp luật về quyền tự do ngôn luận trên không gian mạng ở Việt Nam</v>
      </c>
      <c r="D48" s="4" t="str">
        <f>IFERROR(__xludf.DUMMYFUNCTION("""COMPUTED_VALUE"""),"Trương Thị Mỹ Tình; Trịnh Hoàng Phúc; Bùi Thị Như Ngọc; Đào Nguyên Đức")</f>
        <v>Trương Thị Mỹ Tình; Trịnh Hoàng Phúc; Bùi Thị Như Ngọc; Đào Nguyên Đức</v>
      </c>
      <c r="E48" s="4" t="str">
        <f>IFERROR(__xludf.DUMMYFUNCTION("""COMPUTED_VALUE"""),"Trường Đại học Luật, Đại học Huế")</f>
        <v>Trường Đại học Luật, Đại học Huế</v>
      </c>
      <c r="F48" s="4" t="str">
        <f>IFERROR(__xludf.DUMMYFUNCTION("""COMPUTED_VALUE"""),"KHXH2026-047.png")</f>
        <v>KHXH2026-047.png</v>
      </c>
    </row>
    <row r="49">
      <c r="A49" s="4" t="str">
        <f>IFERROR(__xludf.DUMMYFUNCTION("""COMPUTED_VALUE"""),"KHXH2026-048")</f>
        <v>KHXH2026-048</v>
      </c>
      <c r="B49" s="4" t="str">
        <f>IFERROR(__xludf.DUMMYFUNCTION("""COMPUTED_VALUE"""),"Khoa học xã hội")</f>
        <v>Khoa học xã hội</v>
      </c>
      <c r="C49" s="4" t="str">
        <f>IFERROR(__xludf.DUMMYFUNCTION("""COMPUTED_VALUE"""),"Hiểu về ý định đầu tư xanh: Vai trò của hiểu biết đầu tư xanh và các yếu tố hành vi đối với thế hệ Gen Z tại Việt Nam")</f>
        <v>Hiểu về ý định đầu tư xanh: Vai trò của hiểu biết đầu tư xanh và các yếu tố hành vi đối với thế hệ Gen Z tại Việt Nam</v>
      </c>
      <c r="D49" s="4" t="str">
        <f>IFERROR(__xludf.DUMMYFUNCTION("""COMPUTED_VALUE"""),"Trần Phúc Quỳnh Phương; Vũ Hoàng Nhật Linh; Nguyễn Hoàng Thu An; Lê Đặng Châu Anh; Lê Ngọc Hà Vy")</f>
        <v>Trần Phúc Quỳnh Phương; Vũ Hoàng Nhật Linh; Nguyễn Hoàng Thu An; Lê Đặng Châu Anh; Lê Ngọc Hà Vy</v>
      </c>
      <c r="E49" s="4" t="str">
        <f>IFERROR(__xludf.DUMMYFUNCTION("""COMPUTED_VALUE"""),"Đại học Kinh tế Quốc dân")</f>
        <v>Đại học Kinh tế Quốc dân</v>
      </c>
      <c r="F49" s="4" t="str">
        <f>IFERROR(__xludf.DUMMYFUNCTION("""COMPUTED_VALUE"""),"KHXH2026-048.png")</f>
        <v>KHXH2026-048.png</v>
      </c>
    </row>
    <row r="50">
      <c r="A50" s="4" t="str">
        <f>IFERROR(__xludf.DUMMYFUNCTION("""COMPUTED_VALUE"""),"KHXH2026-049")</f>
        <v>KHXH2026-049</v>
      </c>
      <c r="B50" s="4" t="str">
        <f>IFERROR(__xludf.DUMMYFUNCTION("""COMPUTED_VALUE"""),"Khoa học xã hội")</f>
        <v>Khoa học xã hội</v>
      </c>
      <c r="C50" s="4" t="str">
        <f>IFERROR(__xludf.DUMMYFUNCTION("""COMPUTED_VALUE"""),"ĐỀ XUẤT BỔ SUNG MÔ HÌNH CẢI TIẾN CẤU TRÚC KỲ THI ĐÁNH GIÁ NĂNG LỰC TIẾNG NHẬT (JLPT) DỰA TRÊN TIÊU CHUẨN CEFR")</f>
        <v>ĐỀ XUẤT BỔ SUNG MÔ HÌNH CẢI TIẾN CẤU TRÚC KỲ THI ĐÁNH GIÁ NĂNG LỰC TIẾNG NHẬT (JLPT) DỰA TRÊN TIÊU CHUẨN CEFR</v>
      </c>
      <c r="D50" s="4" t="str">
        <f>IFERROR(__xludf.DUMMYFUNCTION("""COMPUTED_VALUE"""),"Bùi Thanh Huỳnh Như; Nguyễn Ngọc Lan Vy; Nguyễn Thu Thảo")</f>
        <v>Bùi Thanh Huỳnh Như; Nguyễn Ngọc Lan Vy; Nguyễn Thu Thảo</v>
      </c>
      <c r="E50" s="4" t="str">
        <f>IFERROR(__xludf.DUMMYFUNCTION("""COMPUTED_VALUE"""),"Trường Đại học Văn Hiến")</f>
        <v>Trường Đại học Văn Hiến</v>
      </c>
      <c r="F50" s="4" t="str">
        <f>IFERROR(__xludf.DUMMYFUNCTION("""COMPUTED_VALUE"""),"KHXH2026-049.png")</f>
        <v>KHXH2026-049.png</v>
      </c>
    </row>
    <row r="51">
      <c r="A51" s="4" t="str">
        <f>IFERROR(__xludf.DUMMYFUNCTION("""COMPUTED_VALUE"""),"KHXH2026-050")</f>
        <v>KHXH2026-050</v>
      </c>
      <c r="B51" s="4" t="str">
        <f>IFERROR(__xludf.DUMMYFUNCTION("""COMPUTED_VALUE"""),"Khoa học xã hội")</f>
        <v>Khoa học xã hội</v>
      </c>
      <c r="C51" s="4" t="str">
        <f>IFERROR(__xludf.DUMMYFUNCTION("""COMPUTED_VALUE"""),"Triệu chứng cơ xương khớp ở tài xế xe ôm công nghệ tại Thành phố Hồ Chí Minh.")</f>
        <v>Triệu chứng cơ xương khớp ở tài xế xe ôm công nghệ tại Thành phố Hồ Chí Minh.</v>
      </c>
      <c r="D51" s="4" t="str">
        <f>IFERROR(__xludf.DUMMYFUNCTION("""COMPUTED_VALUE"""),"Nguyễn Ngọc Thảo Nguyên; Trần Hoài Huy")</f>
        <v>Nguyễn Ngọc Thảo Nguyên; Trần Hoài Huy</v>
      </c>
      <c r="E51" s="4" t="str">
        <f>IFERROR(__xludf.DUMMYFUNCTION("""COMPUTED_VALUE"""),"Đại học Y Dược TP. Hồ Chí Minh")</f>
        <v>Đại học Y Dược TP. Hồ Chí Minh</v>
      </c>
      <c r="F51" s="4" t="str">
        <f>IFERROR(__xludf.DUMMYFUNCTION("""COMPUTED_VALUE"""),"KHXH2026-050.png")</f>
        <v>KHXH2026-050.png</v>
      </c>
    </row>
    <row r="52">
      <c r="A52" s="4" t="str">
        <f>IFERROR(__xludf.DUMMYFUNCTION("""COMPUTED_VALUE"""),"KHXH2026-051")</f>
        <v>KHXH2026-051</v>
      </c>
      <c r="B52" s="4" t="str">
        <f>IFERROR(__xludf.DUMMYFUNCTION("""COMPUTED_VALUE"""),"Khoa học xã hội")</f>
        <v>Khoa học xã hội</v>
      </c>
      <c r="C52" s="4" t="str">
        <f>IFERROR(__xludf.DUMMYFUNCTION("""COMPUTED_VALUE"""),"HIỆU QUẢ CỦA CÁC CAN THIỆP CÓ THÀNH PHẦN ĐỒNG ĐẲNG ĐỐI VỚI HÀNH VI ĂN UỐNG Ở THANH THIẾU NIÊN: MỘT TỔNG QUAN HỆ THỐNG")</f>
        <v>HIỆU QUẢ CỦA CÁC CAN THIỆP CÓ THÀNH PHẦN ĐỒNG ĐẲNG ĐỐI VỚI HÀNH VI ĂN UỐNG Ở THANH THIẾU NIÊN: MỘT TỔNG QUAN HỆ THỐNG</v>
      </c>
      <c r="D52" s="4" t="str">
        <f>IFERROR(__xludf.DUMMYFUNCTION("""COMPUTED_VALUE"""),"Nguyễn Thành Nam; Lâm Ngọc Khánh Linh")</f>
        <v>Nguyễn Thành Nam; Lâm Ngọc Khánh Linh</v>
      </c>
      <c r="E52" s="4" t="str">
        <f>IFERROR(__xludf.DUMMYFUNCTION("""COMPUTED_VALUE"""),"Đại học Y Dược TP. Hồ Chí Minh")</f>
        <v>Đại học Y Dược TP. Hồ Chí Minh</v>
      </c>
      <c r="F52" s="4" t="str">
        <f>IFERROR(__xludf.DUMMYFUNCTION("""COMPUTED_VALUE"""),"KHXH2026-051.png")</f>
        <v>KHXH2026-051.png</v>
      </c>
    </row>
    <row r="53">
      <c r="A53" s="4" t="str">
        <f>IFERROR(__xludf.DUMMYFUNCTION("""COMPUTED_VALUE"""),"KHXH2026-052")</f>
        <v>KHXH2026-052</v>
      </c>
      <c r="B53" s="4" t="str">
        <f>IFERROR(__xludf.DUMMYFUNCTION("""COMPUTED_VALUE"""),"Khoa học xã hội")</f>
        <v>Khoa học xã hội</v>
      </c>
      <c r="C53" s="4" t="str">
        <f>IFERROR(__xludf.DUMMYFUNCTION("""COMPUTED_VALUE"""),"Chất lượng giấc ngủ và các yếu tố liên quan đến người bệnh ung thư đang hoá trị tại Bệnh viện Đại học Y Dược Thành phố Hồ Chí Minh.")</f>
        <v>Chất lượng giấc ngủ và các yếu tố liên quan đến người bệnh ung thư đang hoá trị tại Bệnh viện Đại học Y Dược Thành phố Hồ Chí Minh.</v>
      </c>
      <c r="D53" s="4" t="str">
        <f>IFERROR(__xludf.DUMMYFUNCTION("""COMPUTED_VALUE"""),"Vũ Thị Hồng Anh; Nguyễn Ngọc Cẩm Vân; Huỳnh Nguyễn Huyền Trang")</f>
        <v>Vũ Thị Hồng Anh; Nguyễn Ngọc Cẩm Vân; Huỳnh Nguyễn Huyền Trang</v>
      </c>
      <c r="E53" s="4" t="str">
        <f>IFERROR(__xludf.DUMMYFUNCTION("""COMPUTED_VALUE"""),"Đại học Y Dược TP. Hồ Chí Minh")</f>
        <v>Đại học Y Dược TP. Hồ Chí Minh</v>
      </c>
      <c r="F53" s="4" t="str">
        <f>IFERROR(__xludf.DUMMYFUNCTION("""COMPUTED_VALUE"""),"KHXH2026-052.png")</f>
        <v>KHXH2026-052.png</v>
      </c>
    </row>
    <row r="54">
      <c r="A54" s="4" t="str">
        <f>IFERROR(__xludf.DUMMYFUNCTION("""COMPUTED_VALUE"""),"KHXH2026-053")</f>
        <v>KHXH2026-053</v>
      </c>
      <c r="B54" s="4" t="str">
        <f>IFERROR(__xludf.DUMMYFUNCTION("""COMPUTED_VALUE"""),"Khoa học xã hội")</f>
        <v>Khoa học xã hội</v>
      </c>
      <c r="C54" s="4" t="str">
        <f>IFERROR(__xludf.DUMMYFUNCTION("""COMPUTED_VALUE"""),"PHÁT TRIỂN ỨNG DỤNG SỔ TAY ĐIỆN TỬ VỀ THUẬT NGỮ VÀ CÔNG ƯỚC QUỐC TẾ TRONG VẬN TẢI BIỂN PHỤC VỤ ĐÀO TẠO")</f>
        <v>PHÁT TRIỂN ỨNG DỤNG SỔ TAY ĐIỆN TỬ VỀ THUẬT NGỮ VÀ CÔNG ƯỚC QUỐC TẾ TRONG VẬN TẢI BIỂN PHỤC VỤ ĐÀO TẠO</v>
      </c>
      <c r="D54" s="4" t="str">
        <f>IFERROR(__xludf.DUMMYFUNCTION("""COMPUTED_VALUE"""),"VŨ HOÀNG NAM; NGUYỄN THỊ PHƯƠNG; NGUYỄN THỊ ÁNH TUYẾT; LÊ MINH XUÂN; PHẠM MINH NGUYỆT")</f>
        <v>VŨ HOÀNG NAM; NGUYỄN THỊ PHƯƠNG; NGUYỄN THỊ ÁNH TUYẾT; LÊ MINH XUÂN; PHẠM MINH NGUYỆT</v>
      </c>
      <c r="E54" s="4" t="str">
        <f>IFERROR(__xludf.DUMMYFUNCTION("""COMPUTED_VALUE"""),"Trường Đại học Hàng hải Việt Nam")</f>
        <v>Trường Đại học Hàng hải Việt Nam</v>
      </c>
      <c r="F54" s="4" t="str">
        <f>IFERROR(__xludf.DUMMYFUNCTION("""COMPUTED_VALUE"""),"KHXH2026-053.png")</f>
        <v>KHXH2026-053.png</v>
      </c>
    </row>
    <row r="55">
      <c r="A55" s="4" t="str">
        <f>IFERROR(__xludf.DUMMYFUNCTION("""COMPUTED_VALUE"""),"KHXH2026-054")</f>
        <v>KHXH2026-054</v>
      </c>
      <c r="B55" s="4" t="str">
        <f>IFERROR(__xludf.DUMMYFUNCTION("""COMPUTED_VALUE"""),"Khoa học xã hội")</f>
        <v>Khoa học xã hội</v>
      </c>
      <c r="C55" s="4" t="str">
        <f>IFERROR(__xludf.DUMMYFUNCTION("""COMPUTED_VALUE"""),"Pháp luật hiện hành về phòng, chống công nghệ giả mạo bằng trí tuệ nhân tạo (Deepfake) trong bối cảnh chuyển đổi số tại Việt Nam")</f>
        <v>Pháp luật hiện hành về phòng, chống công nghệ giả mạo bằng trí tuệ nhân tạo (Deepfake) trong bối cảnh chuyển đổi số tại Việt Nam</v>
      </c>
      <c r="D55" s="4" t="str">
        <f>IFERROR(__xludf.DUMMYFUNCTION("""COMPUTED_VALUE"""),"Nguyễn Kim Ngân; Trần Nguyễn Nhật Uyên; Trương Hoàng Thy Phương; Vũ Thùy Trang; Trần Thị Khánh Ngọc")</f>
        <v>Nguyễn Kim Ngân; Trần Nguyễn Nhật Uyên; Trương Hoàng Thy Phương; Vũ Thùy Trang; Trần Thị Khánh Ngọc</v>
      </c>
      <c r="E55" s="4" t="str">
        <f>IFERROR(__xludf.DUMMYFUNCTION("""COMPUTED_VALUE"""),"Trường Đại học Công Thương TP. Hồ Chí Minh")</f>
        <v>Trường Đại học Công Thương TP. Hồ Chí Minh</v>
      </c>
      <c r="F55" s="4" t="str">
        <f>IFERROR(__xludf.DUMMYFUNCTION("""COMPUTED_VALUE"""),"KHXH2026-054.png")</f>
        <v>KHXH2026-054.png</v>
      </c>
    </row>
    <row r="56">
      <c r="A56" s="4" t="str">
        <f>IFERROR(__xludf.DUMMYFUNCTION("""COMPUTED_VALUE"""),"KHXH2026-055")</f>
        <v>KHXH2026-055</v>
      </c>
      <c r="B56" s="4" t="str">
        <f>IFERROR(__xludf.DUMMYFUNCTION("""COMPUTED_VALUE"""),"Khoa học xã hội")</f>
        <v>Khoa học xã hội</v>
      </c>
      <c r="C56" s="4" t="str">
        <f>IFERROR(__xludf.DUMMYFUNCTION("""COMPUTED_VALUE"""),"Tuyển dịch và nghiên cứu tư liệu Hán Nôm tại di tích Võ miếu Long Hồ tỉnh Vĩnh Long")</f>
        <v>Tuyển dịch và nghiên cứu tư liệu Hán Nôm tại di tích Võ miếu Long Hồ tỉnh Vĩnh Long</v>
      </c>
      <c r="D56" s="4" t="str">
        <f>IFERROR(__xludf.DUMMYFUNCTION("""COMPUTED_VALUE"""),"Đào Thị Thanh Mai")</f>
        <v>Đào Thị Thanh Mai</v>
      </c>
      <c r="E56" s="4" t="str">
        <f>IFERROR(__xludf.DUMMYFUNCTION("""COMPUTED_VALUE"""),"Trường Đại học Khoa học xã hội và Nhân văn, ĐHQG-HCM")</f>
        <v>Trường Đại học Khoa học xã hội và Nhân văn, ĐHQG-HCM</v>
      </c>
      <c r="F56" s="4" t="str">
        <f>IFERROR(__xludf.DUMMYFUNCTION("""COMPUTED_VALUE"""),"KHXH2026-055.png")</f>
        <v>KHXH2026-055.png</v>
      </c>
    </row>
    <row r="57">
      <c r="A57" s="4" t="str">
        <f>IFERROR(__xludf.DUMMYFUNCTION("""COMPUTED_VALUE"""),"KHXH2026-056")</f>
        <v>KHXH2026-056</v>
      </c>
      <c r="B57" s="4" t="str">
        <f>IFERROR(__xludf.DUMMYFUNCTION("""COMPUTED_VALUE"""),"Khoa học xã hội")</f>
        <v>Khoa học xã hội</v>
      </c>
      <c r="C57" s="4" t="str">
        <f>IFERROR(__xludf.DUMMYFUNCTION("""COMPUTED_VALUE"""),"Các yếu tố ảnh hưởng đến nhận thức về chuyển đổi số và năng lực tự học suốt đời của sinh viên")</f>
        <v>Các yếu tố ảnh hưởng đến nhận thức về chuyển đổi số và năng lực tự học suốt đời của sinh viên</v>
      </c>
      <c r="D57" s="4" t="str">
        <f>IFERROR(__xludf.DUMMYFUNCTION("""COMPUTED_VALUE"""),"Nguyễn Lê Ngọc Trâm; Lê Văn Vũ; Lê Thị Kiều Oanh; Phạm Thị Mỹ Duyên")</f>
        <v>Nguyễn Lê Ngọc Trâm; Lê Văn Vũ; Lê Thị Kiều Oanh; Phạm Thị Mỹ Duyên</v>
      </c>
      <c r="E57" s="4" t="str">
        <f>IFERROR(__xludf.DUMMYFUNCTION("""COMPUTED_VALUE"""),"Trường Đại học Công Thương TP. Hồ Chí Minh")</f>
        <v>Trường Đại học Công Thương TP. Hồ Chí Minh</v>
      </c>
      <c r="F57" s="4" t="str">
        <f>IFERROR(__xludf.DUMMYFUNCTION("""COMPUTED_VALUE"""),"KHXH2026-056.png")</f>
        <v>KHXH2026-056.png</v>
      </c>
    </row>
    <row r="58">
      <c r="A58" s="4" t="str">
        <f>IFERROR(__xludf.DUMMYFUNCTION("""COMPUTED_VALUE"""),"KHXH2026-057")</f>
        <v>KHXH2026-057</v>
      </c>
      <c r="B58" s="4" t="str">
        <f>IFERROR(__xludf.DUMMYFUNCTION("""COMPUTED_VALUE"""),"Khoa học xã hội")</f>
        <v>Khoa học xã hội</v>
      </c>
      <c r="C58" s="4" t="str">
        <f>IFERROR(__xludf.DUMMYFUNCTION("""COMPUTED_VALUE"""),"Ứng dụng công nghệ số trong việc xúc tiến, quảng bá các bảo tàng tại Thành phố Hồ Chí Minh")</f>
        <v>Ứng dụng công nghệ số trong việc xúc tiến, quảng bá các bảo tàng tại Thành phố Hồ Chí Minh</v>
      </c>
      <c r="D58" s="4" t="str">
        <f>IFERROR(__xludf.DUMMYFUNCTION("""COMPUTED_VALUE"""),"Mai Anh Tuấn; Trần Yến Nhi; Trần Thị Mỹ Tình; Đinh Thanh Tuyền; Nguyễn Minh Mẩn")</f>
        <v>Mai Anh Tuấn; Trần Yến Nhi; Trần Thị Mỹ Tình; Đinh Thanh Tuyền; Nguyễn Minh Mẩn</v>
      </c>
      <c r="E58" s="4" t="str">
        <f>IFERROR(__xludf.DUMMYFUNCTION("""COMPUTED_VALUE"""),"Trường Đại học Khoa học xã hội và Nhân văn, ĐHQG-HCM")</f>
        <v>Trường Đại học Khoa học xã hội và Nhân văn, ĐHQG-HCM</v>
      </c>
      <c r="F58" s="4" t="str">
        <f>IFERROR(__xludf.DUMMYFUNCTION("""COMPUTED_VALUE"""),"KHXH2026-057.png")</f>
        <v>KHXH2026-057.png</v>
      </c>
    </row>
    <row r="59">
      <c r="A59" s="4" t="str">
        <f>IFERROR(__xludf.DUMMYFUNCTION("""COMPUTED_VALUE"""),"KHXH2026-058")</f>
        <v>KHXH2026-058</v>
      </c>
      <c r="B59" s="4" t="str">
        <f>IFERROR(__xludf.DUMMYFUNCTION("""COMPUTED_VALUE"""),"Khoa học xã hội")</f>
        <v>Khoa học xã hội</v>
      </c>
      <c r="C59" s="4" t="str">
        <f>IFERROR(__xludf.DUMMYFUNCTION("""COMPUTED_VALUE"""),"Đánh giá tác động của việc sáp nhập đơn vị hành chính đến chất lượng và khả năng tiếp cận các dịch vụ công đô thị của người dân tại TP.HCM")</f>
        <v>Đánh giá tác động của việc sáp nhập đơn vị hành chính đến chất lượng và khả năng tiếp cận các dịch vụ công đô thị của người dân tại TP.HCM</v>
      </c>
      <c r="D59" s="4" t="str">
        <f>IFERROR(__xludf.DUMMYFUNCTION("""COMPUTED_VALUE"""),"Nguyễn Đỗ Hoàng Uyên; Trần Diễm My")</f>
        <v>Nguyễn Đỗ Hoàng Uyên; Trần Diễm My</v>
      </c>
      <c r="E59" s="4" t="str">
        <f>IFERROR(__xludf.DUMMYFUNCTION("""COMPUTED_VALUE"""),"Trường Đại học Khoa học xã hội và Nhân văn, ĐHQG-HCM")</f>
        <v>Trường Đại học Khoa học xã hội và Nhân văn, ĐHQG-HCM</v>
      </c>
      <c r="F59" s="4" t="str">
        <f>IFERROR(__xludf.DUMMYFUNCTION("""COMPUTED_VALUE"""),"KHXH2026-058.png")</f>
        <v>KHXH2026-058.png</v>
      </c>
    </row>
    <row r="60">
      <c r="A60" s="4" t="str">
        <f>IFERROR(__xludf.DUMMYFUNCTION("""COMPUTED_VALUE"""),"KHXH2026-059")</f>
        <v>KHXH2026-059</v>
      </c>
      <c r="B60" s="4" t="str">
        <f>IFERROR(__xludf.DUMMYFUNCTION("""COMPUTED_VALUE"""),"Khoa học xã hội")</f>
        <v>Khoa học xã hội</v>
      </c>
      <c r="C60" s="4" t="str">
        <f>IFERROR(__xludf.DUMMYFUNCTION("""COMPUTED_VALUE"""),"Ảnh hưởng của Hallyu đến hành vi tiêu dùng xanh của sinh viên tại TP. Hồ Chí Minh")</f>
        <v>Ảnh hưởng của Hallyu đến hành vi tiêu dùng xanh của sinh viên tại TP. Hồ Chí Minh</v>
      </c>
      <c r="D60" s="4" t="str">
        <f>IFERROR(__xludf.DUMMYFUNCTION("""COMPUTED_VALUE"""),"Nguyễn Minh Phú; Ngô Ngụy Mỹ Hồng; Tô Quỳnh Trâm; Nguyễn Đào Uyên Nhi; Nguyễn Đặng Như Bình")</f>
        <v>Nguyễn Minh Phú; Ngô Ngụy Mỹ Hồng; Tô Quỳnh Trâm; Nguyễn Đào Uyên Nhi; Nguyễn Đặng Như Bình</v>
      </c>
      <c r="E60" s="4" t="str">
        <f>IFERROR(__xludf.DUMMYFUNCTION("""COMPUTED_VALUE"""),"Trường Đại học Khoa học xã hội và Nhân văn, ĐHQG-HCM")</f>
        <v>Trường Đại học Khoa học xã hội và Nhân văn, ĐHQG-HCM</v>
      </c>
      <c r="F60" s="4" t="str">
        <f>IFERROR(__xludf.DUMMYFUNCTION("""COMPUTED_VALUE"""),"KHXH2026-059.png")</f>
        <v>KHXH2026-059.png</v>
      </c>
    </row>
    <row r="61">
      <c r="A61" s="4" t="str">
        <f>IFERROR(__xludf.DUMMYFUNCTION("""COMPUTED_VALUE"""),"KHXH2026-060")</f>
        <v>KHXH2026-060</v>
      </c>
      <c r="B61" s="4" t="str">
        <f>IFERROR(__xludf.DUMMYFUNCTION("""COMPUTED_VALUE"""),"Khoa học xã hội")</f>
        <v>Khoa học xã hội</v>
      </c>
      <c r="C61" s="4" t="str">
        <f>IFERROR(__xludf.DUMMYFUNCTION("""COMPUTED_VALUE"""),"Video ngắn và hành vi tiêu dùng mỹ phẩm của thế hệ Z: Vai trò của niềm tin và tình yêu thương hiệu")</f>
        <v>Video ngắn và hành vi tiêu dùng mỹ phẩm của thế hệ Z: Vai trò của niềm tin và tình yêu thương hiệu</v>
      </c>
      <c r="D61" s="4" t="str">
        <f>IFERROR(__xludf.DUMMYFUNCTION("""COMPUTED_VALUE"""),"Phạm Thị Cẩm Tiên; Lê Công Sang; Võ An Khang; Huỳnh Thị Thiên Trâm; Chu Kim Gun")</f>
        <v>Phạm Thị Cẩm Tiên; Lê Công Sang; Võ An Khang; Huỳnh Thị Thiên Trâm; Chu Kim Gun</v>
      </c>
      <c r="E61" s="4" t="str">
        <f>IFERROR(__xludf.DUMMYFUNCTION("""COMPUTED_VALUE"""),"Trường Đại học Công Thương TP. Hồ Chí Minh")</f>
        <v>Trường Đại học Công Thương TP. Hồ Chí Minh</v>
      </c>
      <c r="F61" s="4" t="str">
        <f>IFERROR(__xludf.DUMMYFUNCTION("""COMPUTED_VALUE"""),"KHXH2026-060.png")</f>
        <v>KHXH2026-060.png</v>
      </c>
    </row>
    <row r="62">
      <c r="A62" s="4" t="str">
        <f>IFERROR(__xludf.DUMMYFUNCTION("""COMPUTED_VALUE"""),"KHXH2026-061")</f>
        <v>KHXH2026-061</v>
      </c>
      <c r="B62" s="4" t="str">
        <f>IFERROR(__xludf.DUMMYFUNCTION("""COMPUTED_VALUE"""),"Khoa học xã hội")</f>
        <v>Khoa học xã hội</v>
      </c>
      <c r="C62" s="4" t="str">
        <f>IFERROR(__xludf.DUMMYFUNCTION("""COMPUTED_VALUE"""),"Tác động của công nghiệp hóa, đô thị hóa và toàn cầu hóa đến sự phát triển con người ở Việt Nam")</f>
        <v>Tác động của công nghiệp hóa, đô thị hóa và toàn cầu hóa đến sự phát triển con người ở Việt Nam</v>
      </c>
      <c r="D62" s="4" t="str">
        <f>IFERROR(__xludf.DUMMYFUNCTION("""COMPUTED_VALUE"""),"Phạm Thị Hồng Ngọc; Nguyễn Khánh Toàn; Đào Thị Phương Ngân")</f>
        <v>Phạm Thị Hồng Ngọc; Nguyễn Khánh Toàn; Đào Thị Phương Ngân</v>
      </c>
      <c r="E62" s="4" t="str">
        <f>IFERROR(__xludf.DUMMYFUNCTION("""COMPUTED_VALUE"""),"Trường Đại học Công Thương TP. Hồ Chí Minh")</f>
        <v>Trường Đại học Công Thương TP. Hồ Chí Minh</v>
      </c>
      <c r="F62" s="4" t="str">
        <f>IFERROR(__xludf.DUMMYFUNCTION("""COMPUTED_VALUE"""),"KHXH2026-061.png")</f>
        <v>KHXH2026-061.png</v>
      </c>
    </row>
    <row r="63">
      <c r="A63" s="4" t="str">
        <f>IFERROR(__xludf.DUMMYFUNCTION("""COMPUTED_VALUE"""),"KHXH2026-062")</f>
        <v>KHXH2026-062</v>
      </c>
      <c r="B63" s="4" t="str">
        <f>IFERROR(__xludf.DUMMYFUNCTION("""COMPUTED_VALUE"""),"Khoa học xã hội")</f>
        <v>Khoa học xã hội</v>
      </c>
      <c r="C63" s="4" t="str">
        <f>IFERROR(__xludf.DUMMYFUNCTION("""COMPUTED_VALUE"""),"Các yếu tố tác động đến phát triển kinh tế số tại các quốc gia khu vực Đông Nam Á và bài học kinh nghiệm cho Việt Nam")</f>
        <v>Các yếu tố tác động đến phát triển kinh tế số tại các quốc gia khu vực Đông Nam Á và bài học kinh nghiệm cho Việt Nam</v>
      </c>
      <c r="D63" s="4" t="str">
        <f>IFERROR(__xludf.DUMMYFUNCTION("""COMPUTED_VALUE"""),"Nguyễn Thị Như Thùy; Ngô Thái Dương")</f>
        <v>Nguyễn Thị Như Thùy; Ngô Thái Dương</v>
      </c>
      <c r="E63" s="4" t="str">
        <f>IFERROR(__xludf.DUMMYFUNCTION("""COMPUTED_VALUE"""),"Trường Đại học Công Thương TP. Hồ Chí Minh")</f>
        <v>Trường Đại học Công Thương TP. Hồ Chí Minh</v>
      </c>
      <c r="F63" s="4" t="str">
        <f>IFERROR(__xludf.DUMMYFUNCTION("""COMPUTED_VALUE"""),"KHXH2026-062.png")</f>
        <v>KHXH2026-062.png</v>
      </c>
    </row>
    <row r="64">
      <c r="A64" s="4" t="str">
        <f>IFERROR(__xludf.DUMMYFUNCTION("""COMPUTED_VALUE"""),"KHXH2026-063")</f>
        <v>KHXH2026-063</v>
      </c>
      <c r="B64" s="4" t="str">
        <f>IFERROR(__xludf.DUMMYFUNCTION("""COMPUTED_VALUE"""),"Khoa học xã hội")</f>
        <v>Khoa học xã hội</v>
      </c>
      <c r="C64" s="4" t="str">
        <f>IFERROR(__xludf.DUMMYFUNCTION("""COMPUTED_VALUE"""),"Nghiên cứu tác động của chuyển đổi số đến hiệu quả hoạt động của các ngân hàng thương mại tại Việt Nam")</f>
        <v>Nghiên cứu tác động của chuyển đổi số đến hiệu quả hoạt động của các ngân hàng thương mại tại Việt Nam</v>
      </c>
      <c r="D64" s="4" t="str">
        <f>IFERROR(__xludf.DUMMYFUNCTION("""COMPUTED_VALUE"""),"Bùi Lê Uyên Nhi; Trần Thanh Hưng; Nguyễn Thành Đô; Nguyễn Minh Tài; Trần Thị Yến Duyên")</f>
        <v>Bùi Lê Uyên Nhi; Trần Thanh Hưng; Nguyễn Thành Đô; Nguyễn Minh Tài; Trần Thị Yến Duyên</v>
      </c>
      <c r="E64" s="4" t="str">
        <f>IFERROR(__xludf.DUMMYFUNCTION("""COMPUTED_VALUE"""),"Trường Đại học Công Thương TP. Hồ Chí Minh")</f>
        <v>Trường Đại học Công Thương TP. Hồ Chí Minh</v>
      </c>
      <c r="F64" s="4" t="str">
        <f>IFERROR(__xludf.DUMMYFUNCTION("""COMPUTED_VALUE"""),"KHXH2026-063.png")</f>
        <v>KHXH2026-063.png</v>
      </c>
    </row>
    <row r="65">
      <c r="A65" s="4" t="str">
        <f>IFERROR(__xludf.DUMMYFUNCTION("""COMPUTED_VALUE"""),"KHXH2026-064")</f>
        <v>KHXH2026-064</v>
      </c>
      <c r="B65" s="4" t="str">
        <f>IFERROR(__xludf.DUMMYFUNCTION("""COMPUTED_VALUE"""),"Khoa học xã hội")</f>
        <v>Khoa học xã hội</v>
      </c>
      <c r="C65" s="4" t="str">
        <f>IFERROR(__xludf.DUMMYFUNCTION("""COMPUTED_VALUE"""),"Phân tích tác động của ESG đến tăng trưởng doanh thu và tăng trưởng lợi nhuận của top 30 doanh nghiệp thực hiện báo cáo phát triển bền vững tại Việt Nam")</f>
        <v>Phân tích tác động của ESG đến tăng trưởng doanh thu và tăng trưởng lợi nhuận của top 30 doanh nghiệp thực hiện báo cáo phát triển bền vững tại Việt Nam</v>
      </c>
      <c r="D65" s="4" t="str">
        <f>IFERROR(__xludf.DUMMYFUNCTION("""COMPUTED_VALUE"""),"Huỳnh Trần Tina; Phạm Thị Huyền Trang; Trần Thị Tứ; Ngô Trần Thúy Linh; Nguyễn Thị Đoan Trang")</f>
        <v>Huỳnh Trần Tina; Phạm Thị Huyền Trang; Trần Thị Tứ; Ngô Trần Thúy Linh; Nguyễn Thị Đoan Trang</v>
      </c>
      <c r="E65" s="4" t="str">
        <f>IFERROR(__xludf.DUMMYFUNCTION("""COMPUTED_VALUE"""),"Trường Đại học Công Thương TP. Hồ Chí Minh")</f>
        <v>Trường Đại học Công Thương TP. Hồ Chí Minh</v>
      </c>
      <c r="F65" s="4" t="str">
        <f>IFERROR(__xludf.DUMMYFUNCTION("""COMPUTED_VALUE"""),"KHXH2026-064.png")</f>
        <v>KHXH2026-064.png</v>
      </c>
    </row>
    <row r="66">
      <c r="A66" s="4" t="str">
        <f>IFERROR(__xludf.DUMMYFUNCTION("""COMPUTED_VALUE"""),"KHXH2026-065")</f>
        <v>KHXH2026-065</v>
      </c>
      <c r="B66" s="4" t="str">
        <f>IFERROR(__xludf.DUMMYFUNCTION("""COMPUTED_VALUE"""),"Khoa học xã hội")</f>
        <v>Khoa học xã hội</v>
      </c>
      <c r="C66" s="4" t="str">
        <f>IFERROR(__xludf.DUMMYFUNCTION("""COMPUTED_VALUE"""),"Sự tương tác giữa trí tuệ nhân tạo, công nghệ sạch và thị trường chứng khoán Việt Nam")</f>
        <v>Sự tương tác giữa trí tuệ nhân tạo, công nghệ sạch và thị trường chứng khoán Việt Nam</v>
      </c>
      <c r="D66" s="4" t="str">
        <f>IFERROR(__xludf.DUMMYFUNCTION("""COMPUTED_VALUE"""),"Trần Phạm Ngọc Khởi; Nguyễn Lê Minh Khang; Nguyễn Thị Khánh Linh; Nguyễn Thanh Trúc; Phan Thị Bích Nhẫm")</f>
        <v>Trần Phạm Ngọc Khởi; Nguyễn Lê Minh Khang; Nguyễn Thị Khánh Linh; Nguyễn Thanh Trúc; Phan Thị Bích Nhẫm</v>
      </c>
      <c r="E66" s="4" t="str">
        <f>IFERROR(__xludf.DUMMYFUNCTION("""COMPUTED_VALUE"""),"Trường Đại học Tài chính - Marketing")</f>
        <v>Trường Đại học Tài chính - Marketing</v>
      </c>
      <c r="F66" s="4" t="str">
        <f>IFERROR(__xludf.DUMMYFUNCTION("""COMPUTED_VALUE"""),"KHXH2026-065.png")</f>
        <v>KHXH2026-065.png</v>
      </c>
    </row>
    <row r="67">
      <c r="A67" s="4" t="str">
        <f>IFERROR(__xludf.DUMMYFUNCTION("""COMPUTED_VALUE"""),"KHXH2026-066")</f>
        <v>KHXH2026-066</v>
      </c>
      <c r="B67" s="4" t="str">
        <f>IFERROR(__xludf.DUMMYFUNCTION("""COMPUTED_VALUE"""),"Khoa học xã hội")</f>
        <v>Khoa học xã hội</v>
      </c>
      <c r="C67" s="4" t="str">
        <f>IFERROR(__xludf.DUMMYFUNCTION("""COMPUTED_VALUE"""),"Ảnh hưởng của trí tuệ nhân tạo đến hành vi mua hàng ngẫu hứng: Trường hợp các ứng dụng thương mại di động tại Việt Nam")</f>
        <v>Ảnh hưởng của trí tuệ nhân tạo đến hành vi mua hàng ngẫu hứng: Trường hợp các ứng dụng thương mại di động tại Việt Nam</v>
      </c>
      <c r="D67" s="4" t="str">
        <f>IFERROR(__xludf.DUMMYFUNCTION("""COMPUTED_VALUE"""),"Lê Lâm Ngọc Kha; Nguyễn Hoàng Kim Phụng; Lý Tú Bảo Ngân; Lê Thị Trúc Phương; Ngô Quốc Triệu")</f>
        <v>Lê Lâm Ngọc Kha; Nguyễn Hoàng Kim Phụng; Lý Tú Bảo Ngân; Lê Thị Trúc Phương; Ngô Quốc Triệu</v>
      </c>
      <c r="E67" s="4" t="str">
        <f>IFERROR(__xludf.DUMMYFUNCTION("""COMPUTED_VALUE"""),"Trường Đại học Tài chính - Marketing")</f>
        <v>Trường Đại học Tài chính - Marketing</v>
      </c>
      <c r="F67" s="4" t="str">
        <f>IFERROR(__xludf.DUMMYFUNCTION("""COMPUTED_VALUE"""),"KHXH2026-066.png")</f>
        <v>KHXH2026-066.png</v>
      </c>
    </row>
    <row r="68">
      <c r="A68" s="4" t="str">
        <f>IFERROR(__xludf.DUMMYFUNCTION("""COMPUTED_VALUE"""),"KHXH2026-067")</f>
        <v>KHXH2026-067</v>
      </c>
      <c r="B68" s="4" t="str">
        <f>IFERROR(__xludf.DUMMYFUNCTION("""COMPUTED_VALUE"""),"Khoa học xã hội")</f>
        <v>Khoa học xã hội</v>
      </c>
      <c r="C68" s="4" t="str">
        <f>IFERROR(__xludf.DUMMYFUNCTION("""COMPUTED_VALUE"""),"Phát triển bền vững xuất khẩu thủy sản Việt Nam sang EU: Vai trò của các biện pháp phi thuế quan xanh, EVFTA và hiệu quả logistics")</f>
        <v>Phát triển bền vững xuất khẩu thủy sản Việt Nam sang EU: Vai trò của các biện pháp phi thuế quan xanh, EVFTA và hiệu quả logistics</v>
      </c>
      <c r="D68" s="4" t="str">
        <f>IFERROR(__xludf.DUMMYFUNCTION("""COMPUTED_VALUE"""),"Trần Anh Thy; Võ Hoàng Vân Anh; Lê Thành Đạt; Lê Phạm Trà My; Võ Ngọc Thúy Vy")</f>
        <v>Trần Anh Thy; Võ Hoàng Vân Anh; Lê Thành Đạt; Lê Phạm Trà My; Võ Ngọc Thúy Vy</v>
      </c>
      <c r="E68" s="4" t="str">
        <f>IFERROR(__xludf.DUMMYFUNCTION("""COMPUTED_VALUE"""),"Trường Đại học Tài chính - Marketing")</f>
        <v>Trường Đại học Tài chính - Marketing</v>
      </c>
      <c r="F68" s="4" t="str">
        <f>IFERROR(__xludf.DUMMYFUNCTION("""COMPUTED_VALUE"""),"KHXH2026-067.png")</f>
        <v>KHXH2026-067.png</v>
      </c>
    </row>
    <row r="69">
      <c r="A69" s="4" t="str">
        <f>IFERROR(__xludf.DUMMYFUNCTION("""COMPUTED_VALUE"""),"KHXH2026-068")</f>
        <v>KHXH2026-068</v>
      </c>
      <c r="B69" s="4" t="str">
        <f>IFERROR(__xludf.DUMMYFUNCTION("""COMPUTED_VALUE"""),"Khoa học xã hội")</f>
        <v>Khoa học xã hội</v>
      </c>
      <c r="C69" s="4" t="str">
        <f>IFERROR(__xludf.DUMMYFUNCTION("""COMPUTED_VALUE"""),"Tác động của trách nhiệm xã hội doanh nghiệp và xu hướng tiêu dùng xanh đến lòng trung thành của người tiêu dùng trẻ tại Thành phố Hồ Chí Minh")</f>
        <v>Tác động của trách nhiệm xã hội doanh nghiệp và xu hướng tiêu dùng xanh đến lòng trung thành của người tiêu dùng trẻ tại Thành phố Hồ Chí Minh</v>
      </c>
      <c r="D69" s="4" t="str">
        <f>IFERROR(__xludf.DUMMYFUNCTION("""COMPUTED_VALUE"""),"Nguyễn Quỳnh Giang; Phan Thị Mỹ Kiều; Lê Văn Vũ")</f>
        <v>Nguyễn Quỳnh Giang; Phan Thị Mỹ Kiều; Lê Văn Vũ</v>
      </c>
      <c r="E69" s="4" t="str">
        <f>IFERROR(__xludf.DUMMYFUNCTION("""COMPUTED_VALUE"""),"Trường Đại học Công Thương TP. Hồ Chí Minh")</f>
        <v>Trường Đại học Công Thương TP. Hồ Chí Minh</v>
      </c>
      <c r="F69" s="4" t="str">
        <f>IFERROR(__xludf.DUMMYFUNCTION("""COMPUTED_VALUE"""),"KHXH2026-068.png")</f>
        <v>KHXH2026-068.png</v>
      </c>
    </row>
    <row r="70">
      <c r="A70" s="4" t="str">
        <f>IFERROR(__xludf.DUMMYFUNCTION("""COMPUTED_VALUE"""),"KHXH2026-069")</f>
        <v>KHXH2026-069</v>
      </c>
      <c r="B70" s="4" t="str">
        <f>IFERROR(__xludf.DUMMYFUNCTION("""COMPUTED_VALUE"""),"Khoa học xã hội")</f>
        <v>Khoa học xã hội</v>
      </c>
      <c r="C70" s="4" t="str">
        <f>IFERROR(__xludf.DUMMYFUNCTION("""COMPUTED_VALUE"""),"Nâng cao khả năng đàn hồi của chuỗi cung ứng logistics lạnh ngành thủy hải sản tại khu vực miền Trung Việt Nam")</f>
        <v>Nâng cao khả năng đàn hồi của chuỗi cung ứng logistics lạnh ngành thủy hải sản tại khu vực miền Trung Việt Nam</v>
      </c>
      <c r="D70" s="4" t="str">
        <f>IFERROR(__xludf.DUMMYFUNCTION("""COMPUTED_VALUE"""),"Đàm Nữ Quỳnh Anh; Phạm Ngọc Thạch")</f>
        <v>Đàm Nữ Quỳnh Anh; Phạm Ngọc Thạch</v>
      </c>
      <c r="E70" s="4" t="str">
        <f>IFERROR(__xludf.DUMMYFUNCTION("""COMPUTED_VALUE"""),"Trường Đại học Tài chính - Marketing")</f>
        <v>Trường Đại học Tài chính - Marketing</v>
      </c>
      <c r="F70" s="4" t="str">
        <f>IFERROR(__xludf.DUMMYFUNCTION("""COMPUTED_VALUE"""),"KHXH2026-069.png")</f>
        <v>KHXH2026-069.png</v>
      </c>
    </row>
    <row r="71">
      <c r="A71" s="4" t="str">
        <f>IFERROR(__xludf.DUMMYFUNCTION("""COMPUTED_VALUE"""),"KHXH2026-070")</f>
        <v>KHXH2026-070</v>
      </c>
      <c r="B71" s="4" t="str">
        <f>IFERROR(__xludf.DUMMYFUNCTION("""COMPUTED_VALUE"""),"Khoa học xã hội")</f>
        <v>Khoa học xã hội</v>
      </c>
      <c r="C71" s="4" t="str">
        <f>IFERROR(__xludf.DUMMYFUNCTION("""COMPUTED_VALUE"""),"The impact of fiscal policy on environmental sustainability in Asian countries: The regulatory role of Government in the context of digital transformation")</f>
        <v>The impact of fiscal policy on environmental sustainability in Asian countries: The regulatory role of Government in the context of digital transformation</v>
      </c>
      <c r="D71" s="4" t="str">
        <f>IFERROR(__xludf.DUMMYFUNCTION("""COMPUTED_VALUE"""),"Nguyễn Nam Phương; Bùi Thu Hằng; Chu Thị Thu Hoài; Trần Quỳnh Hương; Lê Ngọc Phương Linh")</f>
        <v>Nguyễn Nam Phương; Bùi Thu Hằng; Chu Thị Thu Hoài; Trần Quỳnh Hương; Lê Ngọc Phương Linh</v>
      </c>
      <c r="E71" s="4" t="str">
        <f>IFERROR(__xludf.DUMMYFUNCTION("""COMPUTED_VALUE"""),"Trường Đại học Tài chính - Marketing")</f>
        <v>Trường Đại học Tài chính - Marketing</v>
      </c>
      <c r="F71" s="4" t="str">
        <f>IFERROR(__xludf.DUMMYFUNCTION("""COMPUTED_VALUE"""),"KHXH2026-070.png")</f>
        <v>KHXH2026-070.png</v>
      </c>
    </row>
    <row r="72">
      <c r="A72" s="4" t="str">
        <f>IFERROR(__xludf.DUMMYFUNCTION("""COMPUTED_VALUE"""),"KHXH2026-071")</f>
        <v>KHXH2026-071</v>
      </c>
      <c r="B72" s="4" t="str">
        <f>IFERROR(__xludf.DUMMYFUNCTION("""COMPUTED_VALUE"""),"Khoa học xã hội")</f>
        <v>Khoa học xã hội</v>
      </c>
      <c r="C72" s="4" t="str">
        <f>IFERROR(__xludf.DUMMYFUNCTION("""COMPUTED_VALUE"""),"Đánh giá tác động của sự bất định giá dầu và rủi ro địa chính trị đến cổ phiếu ngành hàng không Việt Nam")</f>
        <v>Đánh giá tác động của sự bất định giá dầu và rủi ro địa chính trị đến cổ phiếu ngành hàng không Việt Nam</v>
      </c>
      <c r="D72" s="4" t="str">
        <f>IFERROR(__xludf.DUMMYFUNCTION("""COMPUTED_VALUE"""),"Lê Thị Mỹ Linh; Phan Thị Mỹ Duyên; Đinh Xuân Hải; Trần Anh Hiếu; Trần Văn Tiến")</f>
        <v>Lê Thị Mỹ Linh; Phan Thị Mỹ Duyên; Đinh Xuân Hải; Trần Anh Hiếu; Trần Văn Tiến</v>
      </c>
      <c r="E72" s="4" t="str">
        <f>IFERROR(__xludf.DUMMYFUNCTION("""COMPUTED_VALUE"""),"Trường Đại học Tài chính - Marketing")</f>
        <v>Trường Đại học Tài chính - Marketing</v>
      </c>
      <c r="F72" s="4" t="str">
        <f>IFERROR(__xludf.DUMMYFUNCTION("""COMPUTED_VALUE"""),"KHXH2026-071.png")</f>
        <v>KHXH2026-071.png</v>
      </c>
    </row>
    <row r="73">
      <c r="A73" s="4" t="str">
        <f>IFERROR(__xludf.DUMMYFUNCTION("""COMPUTED_VALUE"""),"KHXH2026-072")</f>
        <v>KHXH2026-072</v>
      </c>
      <c r="B73" s="4" t="str">
        <f>IFERROR(__xludf.DUMMYFUNCTION("""COMPUTED_VALUE"""),"Khoa học xã hội")</f>
        <v>Khoa học xã hội</v>
      </c>
      <c r="C73" s="4" t="str">
        <f>IFERROR(__xludf.DUMMYFUNCTION("""COMPUTED_VALUE"""),"Phong cách sống tối giản và hành vi tiêu dùng second-hand hướng đến phát triển bền vững của Gen Z")</f>
        <v>Phong cách sống tối giản và hành vi tiêu dùng second-hand hướng đến phát triển bền vững của Gen Z</v>
      </c>
      <c r="D73" s="4" t="str">
        <f>IFERROR(__xludf.DUMMYFUNCTION("""COMPUTED_VALUE"""),"Vũ Mai Anh; Phạm Nhật Khang; Trần Thị Thuỳ Dương; Nguyễn Tấn Phát; Trần Thị Bảo Uyên")</f>
        <v>Vũ Mai Anh; Phạm Nhật Khang; Trần Thị Thuỳ Dương; Nguyễn Tấn Phát; Trần Thị Bảo Uyên</v>
      </c>
      <c r="E73" s="4" t="str">
        <f>IFERROR(__xludf.DUMMYFUNCTION("""COMPUTED_VALUE"""),"Trường Đại học Tài chính - Marketing")</f>
        <v>Trường Đại học Tài chính - Marketing</v>
      </c>
      <c r="F73" s="4" t="str">
        <f>IFERROR(__xludf.DUMMYFUNCTION("""COMPUTED_VALUE"""),"KHXH2026-072.png")</f>
        <v>KHXH2026-072.png</v>
      </c>
    </row>
    <row r="74">
      <c r="A74" s="4" t="str">
        <f>IFERROR(__xludf.DUMMYFUNCTION("""COMPUTED_VALUE"""),"KHXH2026-073")</f>
        <v>KHXH2026-073</v>
      </c>
      <c r="B74" s="4" t="str">
        <f>IFERROR(__xludf.DUMMYFUNCTION("""COMPUTED_VALUE"""),"Khoa học xã hội")</f>
        <v>Khoa học xã hội</v>
      </c>
      <c r="C74" s="4" t="str">
        <f>IFERROR(__xludf.DUMMYFUNCTION("""COMPUTED_VALUE"""),"Các yếu tố ảnh hưởng đến năng lực xuất khẩu bền vững ngành dệt may của Việt Nam sang thị trường Hoa Kỳ: Vận dụng phương pháp MCDM")</f>
        <v>Các yếu tố ảnh hưởng đến năng lực xuất khẩu bền vững ngành dệt may của Việt Nam sang thị trường Hoa Kỳ: Vận dụng phương pháp MCDM</v>
      </c>
      <c r="D74" s="4" t="str">
        <f>IFERROR(__xludf.DUMMYFUNCTION("""COMPUTED_VALUE"""),"Lê Nhơn Thanh Hậu; Trương Trịnh Minh Thư; Phạm Thị Kim Ngân; Lương Phương Thảo; Lê Phan Linh Chi")</f>
        <v>Lê Nhơn Thanh Hậu; Trương Trịnh Minh Thư; Phạm Thị Kim Ngân; Lương Phương Thảo; Lê Phan Linh Chi</v>
      </c>
      <c r="E74" s="4" t="str">
        <f>IFERROR(__xludf.DUMMYFUNCTION("""COMPUTED_VALUE"""),"Trường Đại học Tài chính - Marketing")</f>
        <v>Trường Đại học Tài chính - Marketing</v>
      </c>
      <c r="F74" s="4" t="str">
        <f>IFERROR(__xludf.DUMMYFUNCTION("""COMPUTED_VALUE"""),"KHXH2026-073.png")</f>
        <v>KHXH2026-073.png</v>
      </c>
    </row>
    <row r="75">
      <c r="A75" s="4" t="str">
        <f>IFERROR(__xludf.DUMMYFUNCTION("""COMPUTED_VALUE"""),"KHXH2026-074")</f>
        <v>KHXH2026-074</v>
      </c>
      <c r="B75" s="4" t="str">
        <f>IFERROR(__xludf.DUMMYFUNCTION("""COMPUTED_VALUE"""),"Khoa học xã hội")</f>
        <v>Khoa học xã hội</v>
      </c>
      <c r="C75" s="4" t="str">
        <f>IFERROR(__xludf.DUMMYFUNCTION("""COMPUTED_VALUE"""),"Redefining the VBN Model: A key driver toward green consumption mindset through responsibility and sustainability")</f>
        <v>Redefining the VBN Model: A key driver toward green consumption mindset through responsibility and sustainability</v>
      </c>
      <c r="D75" s="4" t="str">
        <f>IFERROR(__xludf.DUMMYFUNCTION("""COMPUTED_VALUE"""),"Nguyễn Lý Bích Hậu; Phan Trần Như Ý; Nguyễn Tường Trang; Trần Thị Anh Thư")</f>
        <v>Nguyễn Lý Bích Hậu; Phan Trần Như Ý; Nguyễn Tường Trang; Trần Thị Anh Thư</v>
      </c>
      <c r="E75" s="4" t="str">
        <f>IFERROR(__xludf.DUMMYFUNCTION("""COMPUTED_VALUE"""),"Trường Đại học Tài chính - Marketing")</f>
        <v>Trường Đại học Tài chính - Marketing</v>
      </c>
      <c r="F75" s="4" t="str">
        <f>IFERROR(__xludf.DUMMYFUNCTION("""COMPUTED_VALUE"""),"KHXH2026-074.png")</f>
        <v>KHXH2026-074.png</v>
      </c>
    </row>
    <row r="76">
      <c r="A76" s="4" t="str">
        <f>IFERROR(__xludf.DUMMYFUNCTION("""COMPUTED_VALUE"""),"KHXH2026-075")</f>
        <v>KHXH2026-075</v>
      </c>
      <c r="B76" s="4" t="str">
        <f>IFERROR(__xludf.DUMMYFUNCTION("""COMPUTED_VALUE"""),"Khoa học xã hội")</f>
        <v>Khoa học xã hội</v>
      </c>
      <c r="C76" s="4" t="str">
        <f>IFERROR(__xludf.DUMMYFUNCTION("""COMPUTED_VALUE"""),"Thách thức hay trở ngại? Mối quan hệ giữa hợp tác nhân viên-AI và sự gắn kết trong công việc: Các tác nhân gây căng thẳng công nghệ và niềm tin vào năng lực sử dụng AI")</f>
        <v>Thách thức hay trở ngại? Mối quan hệ giữa hợp tác nhân viên-AI và sự gắn kết trong công việc: Các tác nhân gây căng thẳng công nghệ và niềm tin vào năng lực sử dụng AI</v>
      </c>
      <c r="D76" s="4" t="str">
        <f>IFERROR(__xludf.DUMMYFUNCTION("""COMPUTED_VALUE"""),"Nguyễn Thị Thu Hà")</f>
        <v>Nguyễn Thị Thu Hà</v>
      </c>
      <c r="E76" s="4" t="str">
        <f>IFERROR(__xludf.DUMMYFUNCTION("""COMPUTED_VALUE"""),"Trường Đại học Ngoại thương")</f>
        <v>Trường Đại học Ngoại thương</v>
      </c>
      <c r="F76" s="4" t="str">
        <f>IFERROR(__xludf.DUMMYFUNCTION("""COMPUTED_VALUE"""),"KHXH2026-075.png")</f>
        <v>KHXH2026-075.png</v>
      </c>
    </row>
    <row r="77">
      <c r="A77" s="4" t="str">
        <f>IFERROR(__xludf.DUMMYFUNCTION("""COMPUTED_VALUE"""),"KHXH2026-076")</f>
        <v>KHXH2026-076</v>
      </c>
      <c r="B77" s="4" t="str">
        <f>IFERROR(__xludf.DUMMYFUNCTION("""COMPUTED_VALUE"""),"Khoa học xã hội")</f>
        <v>Khoa học xã hội</v>
      </c>
      <c r="C77" s="4" t="str">
        <f>IFERROR(__xludf.DUMMYFUNCTION("""COMPUTED_VALUE"""),"How customer experience drives online impulsive buying behavior: The moderating roles of materialism and normative influence")</f>
        <v>How customer experience drives online impulsive buying behavior: The moderating roles of materialism and normative influence</v>
      </c>
      <c r="D77" s="4" t="str">
        <f>IFERROR(__xludf.DUMMYFUNCTION("""COMPUTED_VALUE"""),"Mai Khánh Ngân; Đỗ Thu Trang; Ngô Quốc An; Nguyễn Phương Linh; Ngô Phương Linh")</f>
        <v>Mai Khánh Ngân; Đỗ Thu Trang; Ngô Quốc An; Nguyễn Phương Linh; Ngô Phương Linh</v>
      </c>
      <c r="E77" s="4" t="str">
        <f>IFERROR(__xludf.DUMMYFUNCTION("""COMPUTED_VALUE"""),"Trường Đại học Ngoại thương")</f>
        <v>Trường Đại học Ngoại thương</v>
      </c>
      <c r="F77" s="4" t="str">
        <f>IFERROR(__xludf.DUMMYFUNCTION("""COMPUTED_VALUE"""),"KHXH2026-076.png")</f>
        <v>KHXH2026-076.png</v>
      </c>
    </row>
    <row r="78">
      <c r="A78" s="4" t="str">
        <f>IFERROR(__xludf.DUMMYFUNCTION("""COMPUTED_VALUE"""),"KHXH2026-077")</f>
        <v>KHXH2026-077</v>
      </c>
      <c r="B78" s="4" t="str">
        <f>IFERROR(__xludf.DUMMYFUNCTION("""COMPUTED_VALUE"""),"Khoa học xã hội")</f>
        <v>Khoa học xã hội</v>
      </c>
      <c r="C78" s="4" t="str">
        <f>IFERROR(__xludf.DUMMYFUNCTION("""COMPUTED_VALUE"""),"Nghiên cứu hiệu quả sử dụng ChatGPT trong việc học tiếng Trung của người học tại Hà Nội")</f>
        <v>Nghiên cứu hiệu quả sử dụng ChatGPT trong việc học tiếng Trung của người học tại Hà Nội</v>
      </c>
      <c r="D78" s="4" t="str">
        <f>IFERROR(__xludf.DUMMYFUNCTION("""COMPUTED_VALUE"""),"Vũ Hà Huệ Trân; Phạm Phương Anh; Nguyễn Khánh Linh; Nguyễn Phương Thảo; Lê Thị Huyền Trang")</f>
        <v>Vũ Hà Huệ Trân; Phạm Phương Anh; Nguyễn Khánh Linh; Nguyễn Phương Thảo; Lê Thị Huyền Trang</v>
      </c>
      <c r="E78" s="4" t="str">
        <f>IFERROR(__xludf.DUMMYFUNCTION("""COMPUTED_VALUE"""),"Trường Đại học Ngoại thương")</f>
        <v>Trường Đại học Ngoại thương</v>
      </c>
      <c r="F78" s="4" t="str">
        <f>IFERROR(__xludf.DUMMYFUNCTION("""COMPUTED_VALUE"""),"KHXH2026-077.png")</f>
        <v>KHXH2026-077.png</v>
      </c>
    </row>
    <row r="79">
      <c r="A79" s="4" t="str">
        <f>IFERROR(__xludf.DUMMYFUNCTION("""COMPUTED_VALUE"""),"KHXH2026-078")</f>
        <v>KHXH2026-078</v>
      </c>
      <c r="B79" s="4" t="str">
        <f>IFERROR(__xludf.DUMMYFUNCTION("""COMPUTED_VALUE"""),"Khoa học xã hội")</f>
        <v>Khoa học xã hội</v>
      </c>
      <c r="C79" s="4" t="str">
        <f>IFERROR(__xludf.DUMMYFUNCTION("""COMPUTED_VALUE"""),"Quy mô dân số Hồi giáo và sự phân hóa mức độ nhạy cảm Halal trong xuất khẩu thực phẩm của Việt Nam: Tiếp cận từ mô hình trọng lực")</f>
        <v>Quy mô dân số Hồi giáo và sự phân hóa mức độ nhạy cảm Halal trong xuất khẩu thực phẩm của Việt Nam: Tiếp cận từ mô hình trọng lực</v>
      </c>
      <c r="D79" s="4" t="str">
        <f>IFERROR(__xludf.DUMMYFUNCTION("""COMPUTED_VALUE"""),"Nguyễn Thị Mai Phương; Phạm Thị Bảo Ngọc; Nguyễn Phương Mai; Bùi Bích Phương; Phạm Thị Minh Thư")</f>
        <v>Nguyễn Thị Mai Phương; Phạm Thị Bảo Ngọc; Nguyễn Phương Mai; Bùi Bích Phương; Phạm Thị Minh Thư</v>
      </c>
      <c r="E79" s="4" t="str">
        <f>IFERROR(__xludf.DUMMYFUNCTION("""COMPUTED_VALUE"""),"Trường Đại học Ngoại thương")</f>
        <v>Trường Đại học Ngoại thương</v>
      </c>
      <c r="F79" s="4" t="str">
        <f>IFERROR(__xludf.DUMMYFUNCTION("""COMPUTED_VALUE"""),"KHXH2026-078.png")</f>
        <v>KHXH2026-078.png</v>
      </c>
    </row>
    <row r="80">
      <c r="A80" s="4" t="str">
        <f>IFERROR(__xludf.DUMMYFUNCTION("""COMPUTED_VALUE"""),"KHXH2026-079")</f>
        <v>KHXH2026-079</v>
      </c>
      <c r="B80" s="4" t="str">
        <f>IFERROR(__xludf.DUMMYFUNCTION("""COMPUTED_VALUE"""),"Khoa học xã hội")</f>
        <v>Khoa học xã hội</v>
      </c>
      <c r="C80" s="4" t="str">
        <f>IFERROR(__xludf.DUMMYFUNCTION("""COMPUTED_VALUE"""),"Các rào cản đối với việc tiếp cận tài chính số của người cao tuổi và người lao động phi chính thức tại Hà Nội")</f>
        <v>Các rào cản đối với việc tiếp cận tài chính số của người cao tuổi và người lao động phi chính thức tại Hà Nội</v>
      </c>
      <c r="D80" s="4" t="str">
        <f>IFERROR(__xludf.DUMMYFUNCTION("""COMPUTED_VALUE"""),"Phạm Gia Linh; Nguyễn Thị Thuý Hà; Đỗ Thuỳ Linh")</f>
        <v>Phạm Gia Linh; Nguyễn Thị Thuý Hà; Đỗ Thuỳ Linh</v>
      </c>
      <c r="E80" s="4" t="str">
        <f>IFERROR(__xludf.DUMMYFUNCTION("""COMPUTED_VALUE"""),"Trường Đại học Ngoại thương")</f>
        <v>Trường Đại học Ngoại thương</v>
      </c>
      <c r="F80" s="4" t="str">
        <f>IFERROR(__xludf.DUMMYFUNCTION("""COMPUTED_VALUE"""),"KHXH2026-079.png")</f>
        <v>KHXH2026-079.png</v>
      </c>
    </row>
    <row r="81">
      <c r="A81" s="4" t="str">
        <f>IFERROR(__xludf.DUMMYFUNCTION("""COMPUTED_VALUE"""),"KHXH2026-080")</f>
        <v>KHXH2026-080</v>
      </c>
      <c r="B81" s="4" t="str">
        <f>IFERROR(__xludf.DUMMYFUNCTION("""COMPUTED_VALUE"""),"Khoa học xã hội")</f>
        <v>Khoa học xã hội</v>
      </c>
      <c r="C81" s="4" t="str">
        <f>IFERROR(__xludf.DUMMYFUNCTION("""COMPUTED_VALUE"""),"Tác động của hỗ trợ xã hội đến tình trạng kiệt quệ cảm xúc của sinh viên")</f>
        <v>Tác động của hỗ trợ xã hội đến tình trạng kiệt quệ cảm xúc của sinh viên</v>
      </c>
      <c r="D81" s="4" t="str">
        <f>IFERROR(__xludf.DUMMYFUNCTION("""COMPUTED_VALUE"""),"Lương Hà Châu; Đinh Thái Thuỳ Linh; Nguyễn Việt Hà; Trần Thị Diệu Linh; Mai Ngọc Anh")</f>
        <v>Lương Hà Châu; Đinh Thái Thuỳ Linh; Nguyễn Việt Hà; Trần Thị Diệu Linh; Mai Ngọc Anh</v>
      </c>
      <c r="E81" s="4" t="str">
        <f>IFERROR(__xludf.DUMMYFUNCTION("""COMPUTED_VALUE"""),"Trường Đại học Ngoại thương")</f>
        <v>Trường Đại học Ngoại thương</v>
      </c>
      <c r="F81" s="4" t="str">
        <f>IFERROR(__xludf.DUMMYFUNCTION("""COMPUTED_VALUE"""),"KHXH2026-080.png")</f>
        <v>KHXH2026-080.png</v>
      </c>
    </row>
    <row r="82">
      <c r="A82" s="4" t="str">
        <f>IFERROR(__xludf.DUMMYFUNCTION("""COMPUTED_VALUE"""),"KHXH2026-081")</f>
        <v>KHXH2026-081</v>
      </c>
      <c r="B82" s="4" t="str">
        <f>IFERROR(__xludf.DUMMYFUNCTION("""COMPUTED_VALUE"""),"Khoa học xã hội")</f>
        <v>Khoa học xã hội</v>
      </c>
      <c r="C82" s="4" t="str">
        <f>IFERROR(__xludf.DUMMYFUNCTION("""COMPUTED_VALUE"""),"Sự tham gia của người dân trong vận hành phố đi bộ Bùi Viện (Thành phố Hồ Chí Minh) theo cách tiếp cận dựa vào năng lực cộng đồng")</f>
        <v>Sự tham gia của người dân trong vận hành phố đi bộ Bùi Viện (Thành phố Hồ Chí Minh) theo cách tiếp cận dựa vào năng lực cộng đồng</v>
      </c>
      <c r="D82" s="4" t="str">
        <f>IFERROR(__xludf.DUMMYFUNCTION("""COMPUTED_VALUE"""),"Phạm Hoàng Giang; Đặng Hải Hà; Đoàn Hương Giang; Nguyễn Thị Thiên Hương; Lê Minh Thuận")</f>
        <v>Phạm Hoàng Giang; Đặng Hải Hà; Đoàn Hương Giang; Nguyễn Thị Thiên Hương; Lê Minh Thuận</v>
      </c>
      <c r="E82" s="4" t="str">
        <f>IFERROR(__xludf.DUMMYFUNCTION("""COMPUTED_VALUE"""),"Trường Đại học Khoa học xã hội và Nhân văn, ĐHQG-HCM")</f>
        <v>Trường Đại học Khoa học xã hội và Nhân văn, ĐHQG-HCM</v>
      </c>
      <c r="F82" s="4" t="str">
        <f>IFERROR(__xludf.DUMMYFUNCTION("""COMPUTED_VALUE"""),"KHXH2026-081.png")</f>
        <v>KHXH2026-081.png</v>
      </c>
    </row>
    <row r="83">
      <c r="A83" s="4" t="str">
        <f>IFERROR(__xludf.DUMMYFUNCTION("""COMPUTED_VALUE"""),"KHXH2026-082")</f>
        <v>KHXH2026-082</v>
      </c>
      <c r="B83" s="4" t="str">
        <f>IFERROR(__xludf.DUMMYFUNCTION("""COMPUTED_VALUE"""),"Khoa học xã hội")</f>
        <v>Khoa học xã hội</v>
      </c>
      <c r="C83" s="4" t="str">
        <f>IFERROR(__xludf.DUMMYFUNCTION("""COMPUTED_VALUE"""),"Trải nghiệm của người khuyết tật vận động về khả năng tiếp cận tuyến đường sắt đô thị Metro số 1 (Bến Thành - Suối Tiên) tại Thành phố Hồ Chí Minh")</f>
        <v>Trải nghiệm của người khuyết tật vận động về khả năng tiếp cận tuyến đường sắt đô thị Metro số 1 (Bến Thành - Suối Tiên) tại Thành phố Hồ Chí Minh</v>
      </c>
      <c r="D83" s="4" t="str">
        <f>IFERROR(__xludf.DUMMYFUNCTION("""COMPUTED_VALUE"""),"Phạm Trần Thanh Trâm; Nguyễn Ngọc Quỳnh Trâm")</f>
        <v>Phạm Trần Thanh Trâm; Nguyễn Ngọc Quỳnh Trâm</v>
      </c>
      <c r="E83" s="4" t="str">
        <f>IFERROR(__xludf.DUMMYFUNCTION("""COMPUTED_VALUE"""),"Trường Đại học Khoa học xã hội và Nhân văn, ĐHQG-HCM")</f>
        <v>Trường Đại học Khoa học xã hội và Nhân văn, ĐHQG-HCM</v>
      </c>
      <c r="F83" s="4" t="str">
        <f>IFERROR(__xludf.DUMMYFUNCTION("""COMPUTED_VALUE"""),"KHXH2026-082.png")</f>
        <v>KHXH2026-082.png</v>
      </c>
    </row>
    <row r="84">
      <c r="A84" s="4" t="str">
        <f>IFERROR(__xludf.DUMMYFUNCTION("""COMPUTED_VALUE"""),"KHXH2026-083")</f>
        <v>KHXH2026-083</v>
      </c>
      <c r="B84" s="4" t="str">
        <f>IFERROR(__xludf.DUMMYFUNCTION("""COMPUTED_VALUE"""),"Khoa học xã hội")</f>
        <v>Khoa học xã hội</v>
      </c>
      <c r="C84" s="4" t="str">
        <f>IFERROR(__xludf.DUMMYFUNCTION("""COMPUTED_VALUE"""),"Giải pháp chuyển đổi số trong việc quản lý và vận hành chợ truyền thống tại Thành phố Hồ Chí Minh")</f>
        <v>Giải pháp chuyển đổi số trong việc quản lý và vận hành chợ truyền thống tại Thành phố Hồ Chí Minh</v>
      </c>
      <c r="D84" s="4" t="str">
        <f>IFERROR(__xludf.DUMMYFUNCTION("""COMPUTED_VALUE"""),"Tô Nguyễn Hoàn Vũ; Trần Cao Phúc; Trần Anh Huy; Nguyễn Thục Hân; Lê Minh Châu")</f>
        <v>Tô Nguyễn Hoàn Vũ; Trần Cao Phúc; Trần Anh Huy; Nguyễn Thục Hân; Lê Minh Châu</v>
      </c>
      <c r="E84" s="4" t="str">
        <f>IFERROR(__xludf.DUMMYFUNCTION("""COMPUTED_VALUE"""),"Trường Đại học Khoa học xã hội và Nhân văn, ĐHQG-HCM")</f>
        <v>Trường Đại học Khoa học xã hội và Nhân văn, ĐHQG-HCM</v>
      </c>
      <c r="F84" s="4" t="str">
        <f>IFERROR(__xludf.DUMMYFUNCTION("""COMPUTED_VALUE"""),"KHXH2026-083.png")</f>
        <v>KHXH2026-083.png</v>
      </c>
    </row>
    <row r="85">
      <c r="A85" s="4" t="str">
        <f>IFERROR(__xludf.DUMMYFUNCTION("""COMPUTED_VALUE"""),"KHXH2026-084")</f>
        <v>KHXH2026-084</v>
      </c>
      <c r="B85" s="4" t="str">
        <f>IFERROR(__xludf.DUMMYFUNCTION("""COMPUTED_VALUE"""),"Khoa học xã hội")</f>
        <v>Khoa học xã hội</v>
      </c>
      <c r="C85" s="4" t="str">
        <f>IFERROR(__xludf.DUMMYFUNCTION("""COMPUTED_VALUE"""),"Khảo sát hiệu quả của Chat GPT trong hỗ trợ viết tiểu luận tiếng Việt học thuật của sinh viên ngành Ngôn ngữ học.")</f>
        <v>Khảo sát hiệu quả của Chat GPT trong hỗ trợ viết tiểu luận tiếng Việt học thuật của sinh viên ngành Ngôn ngữ học.</v>
      </c>
      <c r="D85" s="4" t="str">
        <f>IFERROR(__xludf.DUMMYFUNCTION("""COMPUTED_VALUE"""),"Trương Diệu Hoa; Nguyễn Ngọc Mỹ Tiên")</f>
        <v>Trương Diệu Hoa; Nguyễn Ngọc Mỹ Tiên</v>
      </c>
      <c r="E85" s="4" t="str">
        <f>IFERROR(__xludf.DUMMYFUNCTION("""COMPUTED_VALUE"""),"Trường Đại học Khoa học xã hội và Nhân văn, ĐHQG-HCM")</f>
        <v>Trường Đại học Khoa học xã hội và Nhân văn, ĐHQG-HCM</v>
      </c>
      <c r="F85" s="4" t="str">
        <f>IFERROR(__xludf.DUMMYFUNCTION("""COMPUTED_VALUE"""),"KHXH2026-084.png")</f>
        <v>KHXH2026-084.png</v>
      </c>
    </row>
    <row r="86">
      <c r="A86" s="4" t="str">
        <f>IFERROR(__xludf.DUMMYFUNCTION("""COMPUTED_VALUE"""),"KHXH2026-085")</f>
        <v>KHXH2026-085</v>
      </c>
      <c r="B86" s="4" t="str">
        <f>IFERROR(__xludf.DUMMYFUNCTION("""COMPUTED_VALUE"""),"Khoa học xã hội")</f>
        <v>Khoa học xã hội</v>
      </c>
      <c r="C86" s="4" t="str">
        <f>IFERROR(__xludf.DUMMYFUNCTION("""COMPUTED_VALUE"""),"Xây dựng “Mặt trận số” bảo đảm an ninh, trật tự. Nghiên cứu trường hợp phường Hồng Ngự, tỉnh Đồng Tháp")</f>
        <v>Xây dựng “Mặt trận số” bảo đảm an ninh, trật tự. Nghiên cứu trường hợp phường Hồng Ngự, tỉnh Đồng Tháp</v>
      </c>
      <c r="D86" s="4" t="str">
        <f>IFERROR(__xludf.DUMMYFUNCTION("""COMPUTED_VALUE"""),"Dương Văn Huỳnh Điền; Phạm Thái Hiếu; Trần Bảo Trâm; Nguyễn Đức Thịnh; Nguyễn Luận Văn Kiện")</f>
        <v>Dương Văn Huỳnh Điền; Phạm Thái Hiếu; Trần Bảo Trâm; Nguyễn Đức Thịnh; Nguyễn Luận Văn Kiện</v>
      </c>
      <c r="E86" s="4" t="str">
        <f>IFERROR(__xludf.DUMMYFUNCTION("""COMPUTED_VALUE"""),"Trường Đại học An ninh Nhân dân")</f>
        <v>Trường Đại học An ninh Nhân dân</v>
      </c>
      <c r="F86" s="4" t="str">
        <f>IFERROR(__xludf.DUMMYFUNCTION("""COMPUTED_VALUE"""),"KHXH2026-085.png")</f>
        <v>KHXH2026-085.png</v>
      </c>
    </row>
    <row r="87">
      <c r="A87" s="4" t="str">
        <f>IFERROR(__xludf.DUMMYFUNCTION("""COMPUTED_VALUE"""),"KHXH2026-086")</f>
        <v>KHXH2026-086</v>
      </c>
      <c r="B87" s="4" t="str">
        <f>IFERROR(__xludf.DUMMYFUNCTION("""COMPUTED_VALUE"""),"Khoa học xã hội")</f>
        <v>Khoa học xã hội</v>
      </c>
      <c r="C87" s="4" t="str">
        <f>IFERROR(__xludf.DUMMYFUNCTION("""COMPUTED_VALUE"""),"Hoạt động của tôn giáo trên không gian mạng ở Việt Nam trong kỷ nguyên số và đề xuất, kiến nghị (Nghiên cứu trường hợp Phật giáo và Công giáo)")</f>
        <v>Hoạt động của tôn giáo trên không gian mạng ở Việt Nam trong kỷ nguyên số và đề xuất, kiến nghị (Nghiên cứu trường hợp Phật giáo và Công giáo)</v>
      </c>
      <c r="D87" s="4" t="str">
        <f>IFERROR(__xludf.DUMMYFUNCTION("""COMPUTED_VALUE"""),"Dương Thành Danh; Trương Tấn Phát; Nguyễn Đăng Vinh; Nguyễn Hữu Thịnh; Trần Anh Kiệt")</f>
        <v>Dương Thành Danh; Trương Tấn Phát; Nguyễn Đăng Vinh; Nguyễn Hữu Thịnh; Trần Anh Kiệt</v>
      </c>
      <c r="E87" s="4" t="str">
        <f>IFERROR(__xludf.DUMMYFUNCTION("""COMPUTED_VALUE"""),"Trường Đại học An ninh Nhân dân")</f>
        <v>Trường Đại học An ninh Nhân dân</v>
      </c>
      <c r="F87" s="4" t="str">
        <f>IFERROR(__xludf.DUMMYFUNCTION("""COMPUTED_VALUE"""),"KHXH2026-086.png")</f>
        <v>KHXH2026-086.png</v>
      </c>
    </row>
    <row r="88">
      <c r="A88" s="4" t="str">
        <f>IFERROR(__xludf.DUMMYFUNCTION("""COMPUTED_VALUE"""),"KHXH2026-087")</f>
        <v>KHXH2026-087</v>
      </c>
      <c r="B88" s="4" t="str">
        <f>IFERROR(__xludf.DUMMYFUNCTION("""COMPUTED_VALUE"""),"Khoa học xã hội")</f>
        <v>Khoa học xã hội</v>
      </c>
      <c r="C88" s="4" t="str">
        <f>IFERROR(__xludf.DUMMYFUNCTION("""COMPUTED_VALUE"""),"Nâng cao hiệu quả phổ biến, giáo dục pháp luật về an ninh, trật tự trên địa bàn xã Long Hoà, Thành phố Hồ Chí Minh")</f>
        <v>Nâng cao hiệu quả phổ biến, giáo dục pháp luật về an ninh, trật tự trên địa bàn xã Long Hoà, Thành phố Hồ Chí Minh</v>
      </c>
      <c r="D88" s="4" t="str">
        <f>IFERROR(__xludf.DUMMYFUNCTION("""COMPUTED_VALUE"""),"Đoàn Nguyễn Duy; Nguyễn Trường An; Lê Tuấn Huy; Hồ Đức Huy; Phạm Minh Thường")</f>
        <v>Đoàn Nguyễn Duy; Nguyễn Trường An; Lê Tuấn Huy; Hồ Đức Huy; Phạm Minh Thường</v>
      </c>
      <c r="E88" s="4" t="str">
        <f>IFERROR(__xludf.DUMMYFUNCTION("""COMPUTED_VALUE"""),"Trường Đại học An ninh Nhân dân")</f>
        <v>Trường Đại học An ninh Nhân dân</v>
      </c>
      <c r="F88" s="4" t="str">
        <f>IFERROR(__xludf.DUMMYFUNCTION("""COMPUTED_VALUE"""),"KHXH2026-087.png")</f>
        <v>KHXH2026-087.png</v>
      </c>
    </row>
    <row r="89">
      <c r="A89" s="4" t="str">
        <f>IFERROR(__xludf.DUMMYFUNCTION("""COMPUTED_VALUE"""),"KHXH2026-088")</f>
        <v>KHXH2026-088</v>
      </c>
      <c r="B89" s="4" t="str">
        <f>IFERROR(__xludf.DUMMYFUNCTION("""COMPUTED_VALUE"""),"Khoa học xã hội")</f>
        <v>Khoa học xã hội</v>
      </c>
      <c r="C89" s="4" t="str">
        <f>IFERROR(__xludf.DUMMYFUNCTION("""COMPUTED_VALUE"""),"Nghiên cứu mô hình sinh kế cho ngư dân trong công tác chống khai thác IUU tại Thành phố Hồ Chí Minh")</f>
        <v>Nghiên cứu mô hình sinh kế cho ngư dân trong công tác chống khai thác IUU tại Thành phố Hồ Chí Minh</v>
      </c>
      <c r="D89" s="4" t="str">
        <f>IFERROR(__xludf.DUMMYFUNCTION("""COMPUTED_VALUE"""),"Phạm Bá Đạt; Nguyễn Trung Kiên; Nguyễn Hồ Chí Nghĩa; Võ Minh Khoa")</f>
        <v>Phạm Bá Đạt; Nguyễn Trung Kiên; Nguyễn Hồ Chí Nghĩa; Võ Minh Khoa</v>
      </c>
      <c r="E89" s="4" t="str">
        <f>IFERROR(__xludf.DUMMYFUNCTION("""COMPUTED_VALUE"""),"Trường Đại học An ninh Nhân dân")</f>
        <v>Trường Đại học An ninh Nhân dân</v>
      </c>
      <c r="F89" s="4" t="str">
        <f>IFERROR(__xludf.DUMMYFUNCTION("""COMPUTED_VALUE"""),"KHXH2026-088.png")</f>
        <v>KHXH2026-088.png</v>
      </c>
    </row>
    <row r="90">
      <c r="A90" s="4" t="str">
        <f>IFERROR(__xludf.DUMMYFUNCTION("""COMPUTED_VALUE"""),"KHXH2026-089")</f>
        <v>KHXH2026-089</v>
      </c>
      <c r="B90" s="4" t="str">
        <f>IFERROR(__xludf.DUMMYFUNCTION("""COMPUTED_VALUE"""),"Khoa học xã hội")</f>
        <v>Khoa học xã hội</v>
      </c>
      <c r="C90" s="4" t="str">
        <f>IFERROR(__xludf.DUMMYFUNCTION("""COMPUTED_VALUE"""),"Tác động của Hình ảnh thương hiệu xanh đến Sự ưu tiên thương hiệu xanh. Vai trò trung gian của Thái độ đối với thương hiệu xanh và vai trò điều tiết của Truyền miệng xanh")</f>
        <v>Tác động của Hình ảnh thương hiệu xanh đến Sự ưu tiên thương hiệu xanh. Vai trò trung gian của Thái độ đối với thương hiệu xanh và vai trò điều tiết của Truyền miệng xanh</v>
      </c>
      <c r="D90" s="4" t="str">
        <f>IFERROR(__xludf.DUMMYFUNCTION("""COMPUTED_VALUE"""),"Bùi Hoàng Mỹ Duyên; Huỳnh Thị Bích Trâm; Phan Đình Quốc Hưng; Trần Long Triều; Lê Quang Thành")</f>
        <v>Bùi Hoàng Mỹ Duyên; Huỳnh Thị Bích Trâm; Phan Đình Quốc Hưng; Trần Long Triều; Lê Quang Thành</v>
      </c>
      <c r="E90" s="4" t="str">
        <f>IFERROR(__xludf.DUMMYFUNCTION("""COMPUTED_VALUE"""),"Phân hiệu Trường Đại học Ngoại thương tại TP. Hồ Chí Minh")</f>
        <v>Phân hiệu Trường Đại học Ngoại thương tại TP. Hồ Chí Minh</v>
      </c>
      <c r="F90" s="4" t="str">
        <f>IFERROR(__xludf.DUMMYFUNCTION("""COMPUTED_VALUE"""),"KHXH2026-089.png")</f>
        <v>KHXH2026-089.png</v>
      </c>
    </row>
    <row r="91">
      <c r="A91" s="4" t="str">
        <f>IFERROR(__xludf.DUMMYFUNCTION("""COMPUTED_VALUE"""),"KHXH2026-090")</f>
        <v>KHXH2026-090</v>
      </c>
      <c r="B91" s="4" t="str">
        <f>IFERROR(__xludf.DUMMYFUNCTION("""COMPUTED_VALUE"""),"Khoa học xã hội")</f>
        <v>Khoa học xã hội</v>
      </c>
      <c r="C91" s="4" t="str">
        <f>IFERROR(__xludf.DUMMYFUNCTION("""COMPUTED_VALUE"""),"Nghiên cứu định hướng ứng dụng AI trong nâng cao năng lực ứng phó với vấn đề ùn tắc giao thông tại Hà Nội: Kinh nghiệm từ Seoul")</f>
        <v>Nghiên cứu định hướng ứng dụng AI trong nâng cao năng lực ứng phó với vấn đề ùn tắc giao thông tại Hà Nội: Kinh nghiệm từ Seoul</v>
      </c>
      <c r="D91" s="4" t="str">
        <f>IFERROR(__xludf.DUMMYFUNCTION("""COMPUTED_VALUE"""),"Lê Thị Ngọc Mai; Ngô Đức Mạnh")</f>
        <v>Lê Thị Ngọc Mai; Ngô Đức Mạnh</v>
      </c>
      <c r="E91" s="4" t="str">
        <f>IFERROR(__xludf.DUMMYFUNCTION("""COMPUTED_VALUE"""),"Trường Đại học Hà Nội")</f>
        <v>Trường Đại học Hà Nội</v>
      </c>
      <c r="F91" s="4" t="str">
        <f>IFERROR(__xludf.DUMMYFUNCTION("""COMPUTED_VALUE"""),"KHXH2026-090.png")</f>
        <v>KHXH2026-090.png</v>
      </c>
    </row>
    <row r="92">
      <c r="A92" s="4" t="str">
        <f>IFERROR(__xludf.DUMMYFUNCTION("""COMPUTED_VALUE"""),"KHXH2026-091")</f>
        <v>KHXH2026-091</v>
      </c>
      <c r="B92" s="4" t="str">
        <f>IFERROR(__xludf.DUMMYFUNCTION("""COMPUTED_VALUE"""),"Khoa học xã hội")</f>
        <v>Khoa học xã hội</v>
      </c>
      <c r="C92" s="4" t="str">
        <f>IFERROR(__xludf.DUMMYFUNCTION("""COMPUTED_VALUE"""),"VAI TRÒ CỦA VĂN HOÁ VÀ PHÁP LUẬT TRONG THÚC ĐẨY BÌNH ĐẲNG GIỚI – NGHIÊN CỨU TRƯỜNG HỢP ICELAND, PHILIPPINES VÀ BÀI HỌC KINH NGHIỆM CHO VIỆT NAM")</f>
        <v>VAI TRÒ CỦA VĂN HOÁ VÀ PHÁP LUẬT TRONG THÚC ĐẨY BÌNH ĐẲNG GIỚI – NGHIÊN CỨU TRƯỜNG HỢP ICELAND, PHILIPPINES VÀ BÀI HỌC KINH NGHIỆM CHO VIỆT NAM</v>
      </c>
      <c r="D92" s="4" t="str">
        <f>IFERROR(__xludf.DUMMYFUNCTION("""COMPUTED_VALUE"""),"Giang Ngọc Phương Anh; Phan Thị Ngọc Anh; Lê Hoàng Bách; Võ Nguyệt Hằng")</f>
        <v>Giang Ngọc Phương Anh; Phan Thị Ngọc Anh; Lê Hoàng Bách; Võ Nguyệt Hằng</v>
      </c>
      <c r="E92" s="4" t="str">
        <f>IFERROR(__xludf.DUMMYFUNCTION("""COMPUTED_VALUE"""),"Trường Đại học Luật TP. Hồ Chí Minh")</f>
        <v>Trường Đại học Luật TP. Hồ Chí Minh</v>
      </c>
      <c r="F92" s="4" t="str">
        <f>IFERROR(__xludf.DUMMYFUNCTION("""COMPUTED_VALUE"""),"KHXH2026-091.png")</f>
        <v>KHXH2026-091.png</v>
      </c>
    </row>
    <row r="93">
      <c r="A93" s="4" t="str">
        <f>IFERROR(__xludf.DUMMYFUNCTION("""COMPUTED_VALUE"""),"KHXH2026-092")</f>
        <v>KHXH2026-092</v>
      </c>
      <c r="B93" s="4" t="str">
        <f>IFERROR(__xludf.DUMMYFUNCTION("""COMPUTED_VALUE"""),"Khoa học xã hội")</f>
        <v>Khoa học xã hội</v>
      </c>
      <c r="C93" s="4" t="str">
        <f>IFERROR(__xludf.DUMMYFUNCTION("""COMPUTED_VALUE"""),"Sự giao thoa giữa Nho giáo và văn hóa bản địa trong Luật Hồng Đức: Giá trị kế thừa trong pháp Luật Hôn nhân và Gia đình hiện đại")</f>
        <v>Sự giao thoa giữa Nho giáo và văn hóa bản địa trong Luật Hồng Đức: Giá trị kế thừa trong pháp Luật Hôn nhân và Gia đình hiện đại</v>
      </c>
      <c r="D93" s="4" t="str">
        <f>IFERROR(__xludf.DUMMYFUNCTION("""COMPUTED_VALUE"""),"Quách Ngọc Mỹ; Ngô Ngọc Bảo Châu; Trần Hoàng Anh; Cao Thị Hoàng Ngọc; Trần Vũ Trà My")</f>
        <v>Quách Ngọc Mỹ; Ngô Ngọc Bảo Châu; Trần Hoàng Anh; Cao Thị Hoàng Ngọc; Trần Vũ Trà My</v>
      </c>
      <c r="E93" s="4" t="str">
        <f>IFERROR(__xludf.DUMMYFUNCTION("""COMPUTED_VALUE"""),"Trường Đại học Luật TP. Hồ Chí Minh")</f>
        <v>Trường Đại học Luật TP. Hồ Chí Minh</v>
      </c>
      <c r="F93" s="4" t="str">
        <f>IFERROR(__xludf.DUMMYFUNCTION("""COMPUTED_VALUE"""),"KHXH2026-092.png")</f>
        <v>KHXH2026-092.png</v>
      </c>
    </row>
    <row r="94">
      <c r="A94" s="4" t="str">
        <f>IFERROR(__xludf.DUMMYFUNCTION("""COMPUTED_VALUE"""),"KHXH2026-093")</f>
        <v>KHXH2026-093</v>
      </c>
      <c r="B94" s="4" t="str">
        <f>IFERROR(__xludf.DUMMYFUNCTION("""COMPUTED_VALUE"""),"Khoa học xã hội")</f>
        <v>Khoa học xã hội</v>
      </c>
      <c r="C94" s="4" t="str">
        <f>IFERROR(__xludf.DUMMYFUNCTION("""COMPUTED_VALUE"""),"Hoạt động của Ban Công tác Thành ở Sài Gòn - Gia Định từ năm 1945 đến năm 1954")</f>
        <v>Hoạt động của Ban Công tác Thành ở Sài Gòn - Gia Định từ năm 1945 đến năm 1954</v>
      </c>
      <c r="D94" s="4" t="str">
        <f>IFERROR(__xludf.DUMMYFUNCTION("""COMPUTED_VALUE"""),"Ngô Thị Ngọc Duy; Lư Minh Đạt; Nguyễn Hoàng Phúc")</f>
        <v>Ngô Thị Ngọc Duy; Lư Minh Đạt; Nguyễn Hoàng Phúc</v>
      </c>
      <c r="E94" s="4" t="str">
        <f>IFERROR(__xludf.DUMMYFUNCTION("""COMPUTED_VALUE"""),"Trường Đại học Sư phạm TP. Hồ Chí Minh")</f>
        <v>Trường Đại học Sư phạm TP. Hồ Chí Minh</v>
      </c>
      <c r="F94" s="4" t="str">
        <f>IFERROR(__xludf.DUMMYFUNCTION("""COMPUTED_VALUE"""),"KHXH2026-093.png")</f>
        <v>KHXH2026-093.png</v>
      </c>
    </row>
    <row r="95">
      <c r="A95" s="4" t="str">
        <f>IFERROR(__xludf.DUMMYFUNCTION("""COMPUTED_VALUE"""),"KHXH2026-094")</f>
        <v>KHXH2026-094</v>
      </c>
      <c r="B95" s="4" t="str">
        <f>IFERROR(__xludf.DUMMYFUNCTION("""COMPUTED_VALUE"""),"Khoa học xã hội")</f>
        <v>Khoa học xã hội</v>
      </c>
      <c r="C95" s="4" t="str">
        <f>IFERROR(__xludf.DUMMYFUNCTION("""COMPUTED_VALUE"""),"Hoạt động tấn công mạng vào hệ thống thông tin của các doanh nghiệp Việt Nam và những vấn đề đặt ra đối với công tác Công an")</f>
        <v>Hoạt động tấn công mạng vào hệ thống thông tin của các doanh nghiệp Việt Nam và những vấn đề đặt ra đối với công tác Công an</v>
      </c>
      <c r="D95" s="4" t="str">
        <f>IFERROR(__xludf.DUMMYFUNCTION("""COMPUTED_VALUE"""),"Nông Quốc Phong")</f>
        <v>Nông Quốc Phong</v>
      </c>
      <c r="E95" s="4" t="str">
        <f>IFERROR(__xludf.DUMMYFUNCTION("""COMPUTED_VALUE"""),"Học viện An ninh nhân dân")</f>
        <v>Học viện An ninh nhân dân</v>
      </c>
      <c r="F95" s="4" t="str">
        <f>IFERROR(__xludf.DUMMYFUNCTION("""COMPUTED_VALUE"""),"KHXH2026-094.png")</f>
        <v>KHXH2026-094.png</v>
      </c>
    </row>
    <row r="96">
      <c r="A96" s="4" t="str">
        <f>IFERROR(__xludf.DUMMYFUNCTION("""COMPUTED_VALUE"""),"KHXH2026-095")</f>
        <v>KHXH2026-095</v>
      </c>
      <c r="B96" s="4" t="str">
        <f>IFERROR(__xludf.DUMMYFUNCTION("""COMPUTED_VALUE"""),"Khoa học xã hội")</f>
        <v>Khoa học xã hội</v>
      </c>
      <c r="C96" s="4" t="str">
        <f>IFERROR(__xludf.DUMMYFUNCTION("""COMPUTED_VALUE"""),"HÌNH TƯỢNG KHƯƠNG TỬ NHA TRONG PHONG THẦN DIỄN NGHĨA: SỰ GIAO THOA GIỮA NHO – ĐẠO – TÍN NGƯỠNG DÂN")</f>
        <v>HÌNH TƯỢNG KHƯƠNG TỬ NHA TRONG PHONG THẦN DIỄN NGHĨA: SỰ GIAO THOA GIỮA NHO – ĐẠO – TÍN NGƯỠNG DÂN</v>
      </c>
      <c r="D96" s="4" t="str">
        <f>IFERROR(__xludf.DUMMYFUNCTION("""COMPUTED_VALUE"""),"Nguyễn Thu Thảo; Đào Hương Ly; Phạm Thuý Hiền")</f>
        <v>Nguyễn Thu Thảo; Đào Hương Ly; Phạm Thuý Hiền</v>
      </c>
      <c r="E96" s="4" t="str">
        <f>IFERROR(__xludf.DUMMYFUNCTION("""COMPUTED_VALUE"""),"Trường Đại học Ngoại ngữ, ĐHQG Hà Nội")</f>
        <v>Trường Đại học Ngoại ngữ, ĐHQG Hà Nội</v>
      </c>
      <c r="F96" s="4" t="str">
        <f>IFERROR(__xludf.DUMMYFUNCTION("""COMPUTED_VALUE"""),"KHXH2026-095.png")</f>
        <v>KHXH2026-095.png</v>
      </c>
    </row>
    <row r="97">
      <c r="A97" s="4" t="str">
        <f>IFERROR(__xludf.DUMMYFUNCTION("""COMPUTED_VALUE"""),"KHXH2026-096")</f>
        <v>KHXH2026-096</v>
      </c>
      <c r="B97" s="4" t="str">
        <f>IFERROR(__xludf.DUMMYFUNCTION("""COMPUTED_VALUE"""),"Khoa học xã hội")</f>
        <v>Khoa học xã hội</v>
      </c>
      <c r="C97" s="4" t="str">
        <f>IFERROR(__xludf.DUMMYFUNCTION("""COMPUTED_VALUE"""),"Nâng cao nhận thức của sinh viên các trường đại học trên địa bàn thành phố Hà Nội về thủ đoạn lừa đảo trên mạng Internet")</f>
        <v>Nâng cao nhận thức của sinh viên các trường đại học trên địa bàn thành phố Hà Nội về thủ đoạn lừa đảo trên mạng Internet</v>
      </c>
      <c r="D97" s="4" t="str">
        <f>IFERROR(__xludf.DUMMYFUNCTION("""COMPUTED_VALUE"""),"Nguyễn Hồ Gia Bảo")</f>
        <v>Nguyễn Hồ Gia Bảo</v>
      </c>
      <c r="E97" s="4" t="str">
        <f>IFERROR(__xludf.DUMMYFUNCTION("""COMPUTED_VALUE"""),"Học viện An ninh nhân dân")</f>
        <v>Học viện An ninh nhân dân</v>
      </c>
      <c r="F97" s="4" t="str">
        <f>IFERROR(__xludf.DUMMYFUNCTION("""COMPUTED_VALUE"""),"KHXH2026-096.png")</f>
        <v>KHXH2026-096.png</v>
      </c>
    </row>
    <row r="98">
      <c r="A98" s="4" t="str">
        <f>IFERROR(__xludf.DUMMYFUNCTION("""COMPUTED_VALUE"""),"KHXH2026-097")</f>
        <v>KHXH2026-097</v>
      </c>
      <c r="B98" s="4" t="str">
        <f>IFERROR(__xludf.DUMMYFUNCTION("""COMPUTED_VALUE"""),"Khoa học xã hội")</f>
        <v>Khoa học xã hội</v>
      </c>
      <c r="C98" s="4" t="str">
        <f>IFERROR(__xludf.DUMMYFUNCTION("""COMPUTED_VALUE"""),"Identifying key drivers of I-REC redemption in Vietnam: A high-dimensional LASSO approach")</f>
        <v>Identifying key drivers of I-REC redemption in Vietnam: A high-dimensional LASSO approach</v>
      </c>
      <c r="D98" s="4" t="str">
        <f>IFERROR(__xludf.DUMMYFUNCTION("""COMPUTED_VALUE"""),"Nguyễn Thị Phương Dung; Nguyễn Xuân Tùng; Trần Hữu Huy Hoàng")</f>
        <v>Nguyễn Thị Phương Dung; Nguyễn Xuân Tùng; Trần Hữu Huy Hoàng</v>
      </c>
      <c r="E98" s="4" t="str">
        <f>IFERROR(__xludf.DUMMYFUNCTION("""COMPUTED_VALUE"""),"Phân hiệu Trường Đại học Ngoại thương tại TP. Hồ Chí Minh")</f>
        <v>Phân hiệu Trường Đại học Ngoại thương tại TP. Hồ Chí Minh</v>
      </c>
      <c r="F98" s="4" t="str">
        <f>IFERROR(__xludf.DUMMYFUNCTION("""COMPUTED_VALUE"""),"KHXH2026-097.png")</f>
        <v>KHXH2026-097.png</v>
      </c>
    </row>
    <row r="99">
      <c r="A99" s="4" t="str">
        <f>IFERROR(__xludf.DUMMYFUNCTION("""COMPUTED_VALUE"""),"KHXH2026-098")</f>
        <v>KHXH2026-098</v>
      </c>
      <c r="B99" s="4" t="str">
        <f>IFERROR(__xludf.DUMMYFUNCTION("""COMPUTED_VALUE"""),"Khoa học xã hội")</f>
        <v>Khoa học xã hội</v>
      </c>
      <c r="C99" s="4" t="str">
        <f>IFERROR(__xludf.DUMMYFUNCTION("""COMPUTED_VALUE"""),"Effective Tax Rates (ETR), Gross Fixed Capital Formation (GFCF), and Foreign Direct Investment (FDI) in Developing Countries: Evidence Before and After the Implementation of the Global Minimum Tax (GMT)")</f>
        <v>Effective Tax Rates (ETR), Gross Fixed Capital Formation (GFCF), and Foreign Direct Investment (FDI) in Developing Countries: Evidence Before and After the Implementation of the Global Minimum Tax (GMT)</v>
      </c>
      <c r="D99" s="4" t="str">
        <f>IFERROR(__xludf.DUMMYFUNCTION("""COMPUTED_VALUE"""),"Trần Đặng Phương Linh; Trần Bảo Ngọc; Lê Ngọc Hà My; Lê Thị Hương")</f>
        <v>Trần Đặng Phương Linh; Trần Bảo Ngọc; Lê Ngọc Hà My; Lê Thị Hương</v>
      </c>
      <c r="E99" s="4" t="str">
        <f>IFERROR(__xludf.DUMMYFUNCTION("""COMPUTED_VALUE"""),"Phân hiệu Trường Đại học Ngoại thương tại TP. Hồ Chí Minh")</f>
        <v>Phân hiệu Trường Đại học Ngoại thương tại TP. Hồ Chí Minh</v>
      </c>
      <c r="F99" s="4" t="str">
        <f>IFERROR(__xludf.DUMMYFUNCTION("""COMPUTED_VALUE"""),"KHXH2026-098.png")</f>
        <v>KHXH2026-098.png</v>
      </c>
    </row>
    <row r="100">
      <c r="A100" s="4" t="str">
        <f>IFERROR(__xludf.DUMMYFUNCTION("""COMPUTED_VALUE"""),"KHXH2026-099")</f>
        <v>KHXH2026-099</v>
      </c>
      <c r="B100" s="4" t="str">
        <f>IFERROR(__xludf.DUMMYFUNCTION("""COMPUTED_VALUE"""),"Khoa học xã hội")</f>
        <v>Khoa học xã hội</v>
      </c>
      <c r="C100" s="4" t="str">
        <f>IFERROR(__xludf.DUMMYFUNCTION("""COMPUTED_VALUE"""),"Waves of globalization and digitalization: Amplifying or mitigating income inequality in the developing world? (Làn sóng toàn cầu hóa và chuyển đổi số: Làm trầm trọng thêm hay giảm thiểu bất bình đẳng thu nhập ở các nước đang phát triển?)")</f>
        <v>Waves of globalization and digitalization: Amplifying or mitigating income inequality in the developing world? (Làn sóng toàn cầu hóa và chuyển đổi số: Làm trầm trọng thêm hay giảm thiểu bất bình đẳng thu nhập ở các nước đang phát triển?)</v>
      </c>
      <c r="D100" s="4" t="str">
        <f>IFERROR(__xludf.DUMMYFUNCTION("""COMPUTED_VALUE"""),"Lữ Phụng Minh Như")</f>
        <v>Lữ Phụng Minh Như</v>
      </c>
      <c r="E100" s="4" t="str">
        <f>IFERROR(__xludf.DUMMYFUNCTION("""COMPUTED_VALUE"""),"Phân hiệu Trường Đại học Ngoại thương tại TP. Hồ Chí Minh")</f>
        <v>Phân hiệu Trường Đại học Ngoại thương tại TP. Hồ Chí Minh</v>
      </c>
      <c r="F100" s="4" t="str">
        <f>IFERROR(__xludf.DUMMYFUNCTION("""COMPUTED_VALUE"""),"KHXH2026-099.png")</f>
        <v>KHXH2026-099.png</v>
      </c>
    </row>
    <row r="101">
      <c r="A101" s="4" t="str">
        <f>IFERROR(__xludf.DUMMYFUNCTION("""COMPUTED_VALUE"""),"KHXH2026-100")</f>
        <v>KHXH2026-100</v>
      </c>
      <c r="B101" s="4" t="str">
        <f>IFERROR(__xludf.DUMMYFUNCTION("""COMPUTED_VALUE"""),"Khoa học xã hội")</f>
        <v>Khoa học xã hội</v>
      </c>
      <c r="C101" s="4" t="str">
        <f>IFERROR(__xludf.DUMMYFUNCTION("""COMPUTED_VALUE"""),"Bảo vệ người lao động trước quấy rối quyền lực tại nơi làm việc: Nghiên cứu pháp luật Nhật Bản và gợi mở cho Việt Nam")</f>
        <v>Bảo vệ người lao động trước quấy rối quyền lực tại nơi làm việc: Nghiên cứu pháp luật Nhật Bản và gợi mở cho Việt Nam</v>
      </c>
      <c r="D101" s="4" t="str">
        <f>IFERROR(__xludf.DUMMYFUNCTION("""COMPUTED_VALUE"""),"Lê Thủy Tiên; Dương Thiên My; Vũ Lê Bảo Châu; Trương Trần Thu Minh")</f>
        <v>Lê Thủy Tiên; Dương Thiên My; Vũ Lê Bảo Châu; Trương Trần Thu Minh</v>
      </c>
      <c r="E101" s="4" t="str">
        <f>IFERROR(__xludf.DUMMYFUNCTION("""COMPUTED_VALUE"""),"Trường Đại học Luật TP. Hồ Chí Minh")</f>
        <v>Trường Đại học Luật TP. Hồ Chí Minh</v>
      </c>
      <c r="F101" s="4" t="str">
        <f>IFERROR(__xludf.DUMMYFUNCTION("""COMPUTED_VALUE"""),"KHXH2026-100.png")</f>
        <v>KHXH2026-100.png</v>
      </c>
    </row>
    <row r="102">
      <c r="A102" s="4" t="str">
        <f>IFERROR(__xludf.DUMMYFUNCTION("""COMPUTED_VALUE"""),"KHXH2026-101")</f>
        <v>KHXH2026-101</v>
      </c>
      <c r="B102" s="4" t="str">
        <f>IFERROR(__xludf.DUMMYFUNCTION("""COMPUTED_VALUE"""),"Khoa học xã hội")</f>
        <v>Khoa học xã hội</v>
      </c>
      <c r="C102" s="4" t="str">
        <f>IFERROR(__xludf.DUMMYFUNCTION("""COMPUTED_VALUE"""),"NHẬN THỨC VỀ HOẠT ĐỘNG ESG ẢNH HƯỞNG ĐẾN HÀNH VI CÔNG DÂN TỔ CHỨC CỦA NHÂN VIÊN TRONG DOANH NGHIỆP VỪA VÀ NHỎ")</f>
        <v>NHẬN THỨC VỀ HOẠT ĐỘNG ESG ẢNH HƯỞNG ĐẾN HÀNH VI CÔNG DÂN TỔ CHỨC CỦA NHÂN VIÊN TRONG DOANH NGHIỆP VỪA VÀ NHỎ</v>
      </c>
      <c r="D102" s="4" t="str">
        <f>IFERROR(__xludf.DUMMYFUNCTION("""COMPUTED_VALUE"""),"Nguyễn Thị Thanh Huyền; Đồng Thị Thúy; Nguyễn Thị Hải Linh")</f>
        <v>Nguyễn Thị Thanh Huyền; Đồng Thị Thúy; Nguyễn Thị Hải Linh</v>
      </c>
      <c r="E102" s="4" t="str">
        <f>IFERROR(__xludf.DUMMYFUNCTION("""COMPUTED_VALUE"""),"Học viện Ngân hàng")</f>
        <v>Học viện Ngân hàng</v>
      </c>
      <c r="F102" s="4" t="str">
        <f>IFERROR(__xludf.DUMMYFUNCTION("""COMPUTED_VALUE"""),"KHXH2026-101.png")</f>
        <v>KHXH2026-101.png</v>
      </c>
    </row>
    <row r="103">
      <c r="A103" s="4" t="str">
        <f>IFERROR(__xludf.DUMMYFUNCTION("""COMPUTED_VALUE"""),"KHXH2026-102")</f>
        <v>KHXH2026-102</v>
      </c>
      <c r="B103" s="4" t="str">
        <f>IFERROR(__xludf.DUMMYFUNCTION("""COMPUTED_VALUE"""),"Khoa học xã hội")</f>
        <v>Khoa học xã hội</v>
      </c>
      <c r="C103" s="4" t="str">
        <f>IFERROR(__xludf.DUMMYFUNCTION("""COMPUTED_VALUE"""),"A comparative study of Gen Y and Gen Z purchase intentions toward beverages with recyclable packaging in Ho Chi Minh City and implications for EPR (Nghiên cứu so sánh về nhân tố ảnh hưởng ý định mua hàng của thế hệ Y và thế hệ Z đối với đồ uống có bao bì "&amp;"tái chế tại Thành phố Hồ Chí Minh và những hàm ý đối với Trách nhiệm mở rộng của nhà sản xuất (EPR))")</f>
        <v>A comparative study of Gen Y and Gen Z purchase intentions toward beverages with recyclable packaging in Ho Chi Minh City and implications for EPR (Nghiên cứu so sánh về nhân tố ảnh hưởng ý định mua hàng của thế hệ Y và thế hệ Z đối với đồ uống có bao bì tái chế tại Thành phố Hồ Chí Minh và những hàm ý đối với Trách nhiệm mở rộng của nhà sản xuất (EPR))</v>
      </c>
      <c r="D103" s="4" t="str">
        <f>IFERROR(__xludf.DUMMYFUNCTION("""COMPUTED_VALUE"""),"Nguyễn Vũ Quỳnh Như; Nguyễn Đình Thoại; Nguyễn Quốc Bảo; Nguyễn Vương Hoàng Nguyên; Nguyễn Trần Trúc Doanh")</f>
        <v>Nguyễn Vũ Quỳnh Như; Nguyễn Đình Thoại; Nguyễn Quốc Bảo; Nguyễn Vương Hoàng Nguyên; Nguyễn Trần Trúc Doanh</v>
      </c>
      <c r="E103" s="4" t="str">
        <f>IFERROR(__xludf.DUMMYFUNCTION("""COMPUTED_VALUE"""),"Phân hiệu Trường Đại học Ngoại thương tại TP. Hồ Chí Minh")</f>
        <v>Phân hiệu Trường Đại học Ngoại thương tại TP. Hồ Chí Minh</v>
      </c>
      <c r="F103" s="4" t="str">
        <f>IFERROR(__xludf.DUMMYFUNCTION("""COMPUTED_VALUE"""),"KHXH2026-102.png")</f>
        <v>KHXH2026-102.png</v>
      </c>
    </row>
    <row r="104">
      <c r="A104" s="4" t="str">
        <f>IFERROR(__xludf.DUMMYFUNCTION("""COMPUTED_VALUE"""),"KHXH2026-103")</f>
        <v>KHXH2026-103</v>
      </c>
      <c r="B104" s="4" t="str">
        <f>IFERROR(__xludf.DUMMYFUNCTION("""COMPUTED_VALUE"""),"Khoa học xã hội")</f>
        <v>Khoa học xã hội</v>
      </c>
      <c r="C104" s="4" t="str">
        <f>IFERROR(__xludf.DUMMYFUNCTION("""COMPUTED_VALUE"""),"Ảnh hưởng của chất lượng kiểm toán đến quản trị lợi nhuận tại các doanh nghiệp niêm yết ở Việt Nam")</f>
        <v>Ảnh hưởng của chất lượng kiểm toán đến quản trị lợi nhuận tại các doanh nghiệp niêm yết ở Việt Nam</v>
      </c>
      <c r="D104" s="4" t="str">
        <f>IFERROR(__xludf.DUMMYFUNCTION("""COMPUTED_VALUE"""),"Nguyễn Ngọc Thảo Vy; Nguyễn Doanh Danh; Trần Thị Minh Anh; Trần Ngọc Khánh Quỳnh; Cam Nguyễn Phúc Duyên")</f>
        <v>Nguyễn Ngọc Thảo Vy; Nguyễn Doanh Danh; Trần Thị Minh Anh; Trần Ngọc Khánh Quỳnh; Cam Nguyễn Phúc Duyên</v>
      </c>
      <c r="E104" s="4" t="str">
        <f>IFERROR(__xludf.DUMMYFUNCTION("""COMPUTED_VALUE"""),"Phân hiệu Trường Đại học Ngoại thương tại TP. Hồ Chí Minh")</f>
        <v>Phân hiệu Trường Đại học Ngoại thương tại TP. Hồ Chí Minh</v>
      </c>
      <c r="F104" s="4" t="str">
        <f>IFERROR(__xludf.DUMMYFUNCTION("""COMPUTED_VALUE"""),"KHXH2026-103.png")</f>
        <v>KHXH2026-103.png</v>
      </c>
    </row>
    <row r="105">
      <c r="A105" s="4" t="str">
        <f>IFERROR(__xludf.DUMMYFUNCTION("""COMPUTED_VALUE"""),"KHXH2026-104")</f>
        <v>KHXH2026-104</v>
      </c>
      <c r="B105" s="4" t="str">
        <f>IFERROR(__xludf.DUMMYFUNCTION("""COMPUTED_VALUE"""),"Khoa học xã hội")</f>
        <v>Khoa học xã hội</v>
      </c>
      <c r="C105" s="4" t="str">
        <f>IFERROR(__xludf.DUMMYFUNCTION("""COMPUTED_VALUE"""),"Tác động của nhận thức về sự bất định đến hành vi tiêu dùng phi lý trí của Gen Z tại Thành phố Hồ Chí Minh: Vai trò của nhận thức về giá trị, nhận thức về rủi ro và khả năng tự chủ")</f>
        <v>Tác động của nhận thức về sự bất định đến hành vi tiêu dùng phi lý trí của Gen Z tại Thành phố Hồ Chí Minh: Vai trò của nhận thức về giá trị, nhận thức về rủi ro và khả năng tự chủ</v>
      </c>
      <c r="D105" s="4" t="str">
        <f>IFERROR(__xludf.DUMMYFUNCTION("""COMPUTED_VALUE"""),"Ngô Thị Thúy Ny; Ngô Thị Thảo Nhi; Lê Minh Nhựt; Phạm Gia Khiêm; Trần Thị Thảo Nguyên")</f>
        <v>Ngô Thị Thúy Ny; Ngô Thị Thảo Nhi; Lê Minh Nhựt; Phạm Gia Khiêm; Trần Thị Thảo Nguyên</v>
      </c>
      <c r="E105" s="4" t="str">
        <f>IFERROR(__xludf.DUMMYFUNCTION("""COMPUTED_VALUE"""),"Phân hiệu Trường Đại học Ngoại thương tại TP. Hồ Chí Minh")</f>
        <v>Phân hiệu Trường Đại học Ngoại thương tại TP. Hồ Chí Minh</v>
      </c>
      <c r="F105" s="4" t="str">
        <f>IFERROR(__xludf.DUMMYFUNCTION("""COMPUTED_VALUE"""),"KHXH2026-104.png")</f>
        <v>KHXH2026-104.png</v>
      </c>
    </row>
    <row r="106">
      <c r="A106" s="4" t="str">
        <f>IFERROR(__xludf.DUMMYFUNCTION("""COMPUTED_VALUE"""),"KHXH2026-105")</f>
        <v>KHXH2026-105</v>
      </c>
      <c r="B106" s="4" t="str">
        <f>IFERROR(__xludf.DUMMYFUNCTION("""COMPUTED_VALUE"""),"Khoa học xã hội")</f>
        <v>Khoa học xã hội</v>
      </c>
      <c r="C106" s="4" t="str">
        <f>IFERROR(__xludf.DUMMYFUNCTION("""COMPUTED_VALUE"""),"The Effect of Green Supply Chain Management Practices on Export Competitiveness in Vietnam's Textile and Garment Industry: The Mediating Role of Environmental Collaboration")</f>
        <v>The Effect of Green Supply Chain Management Practices on Export Competitiveness in Vietnam's Textile and Garment Industry: The Mediating Role of Environmental Collaboration</v>
      </c>
      <c r="D106" s="4" t="str">
        <f>IFERROR(__xludf.DUMMYFUNCTION("""COMPUTED_VALUE"""),"Nguyễn Trần Phương Trúc; Lê Mẫn; Phạm Hồng Thy; Võ Huỳnh Gia Nghi")</f>
        <v>Nguyễn Trần Phương Trúc; Lê Mẫn; Phạm Hồng Thy; Võ Huỳnh Gia Nghi</v>
      </c>
      <c r="E106" s="4" t="str">
        <f>IFERROR(__xludf.DUMMYFUNCTION("""COMPUTED_VALUE"""),"Phân hiệu Trường Đại học Ngoại thương tại TP. Hồ Chí Minh")</f>
        <v>Phân hiệu Trường Đại học Ngoại thương tại TP. Hồ Chí Minh</v>
      </c>
      <c r="F106" s="4" t="str">
        <f>IFERROR(__xludf.DUMMYFUNCTION("""COMPUTED_VALUE"""),"KHXH2026-105.png")</f>
        <v>KHXH2026-105.png</v>
      </c>
    </row>
    <row r="107">
      <c r="A107" s="4" t="str">
        <f>IFERROR(__xludf.DUMMYFUNCTION("""COMPUTED_VALUE"""),"KHXH2026-106")</f>
        <v>KHXH2026-106</v>
      </c>
      <c r="B107" s="4" t="str">
        <f>IFERROR(__xludf.DUMMYFUNCTION("""COMPUTED_VALUE"""),"Khoa học xã hội")</f>
        <v>Khoa học xã hội</v>
      </c>
      <c r="C107" s="4" t="str">
        <f>IFERROR(__xludf.DUMMYFUNCTION("""COMPUTED_VALUE"""),"Nghiên cứu tác động của giọng điệu lạc quan đến ý kiến kiểm toán dưới ảnh hưởng điều tiết của nhiệm kỳ kiểm toán: Bằng chứng thực nghiệm tại Việt Nam")</f>
        <v>Nghiên cứu tác động của giọng điệu lạc quan đến ý kiến kiểm toán dưới ảnh hưởng điều tiết của nhiệm kỳ kiểm toán: Bằng chứng thực nghiệm tại Việt Nam</v>
      </c>
      <c r="D107" s="4" t="str">
        <f>IFERROR(__xludf.DUMMYFUNCTION("""COMPUTED_VALUE"""),"Lê Minh Nguyệt; Phan Thị Phương Diễm; Phạm Yến Vi; Nguyễn Thị Mỹ Tâm")</f>
        <v>Lê Minh Nguyệt; Phan Thị Phương Diễm; Phạm Yến Vi; Nguyễn Thị Mỹ Tâm</v>
      </c>
      <c r="E107" s="4" t="str">
        <f>IFERROR(__xludf.DUMMYFUNCTION("""COMPUTED_VALUE"""),"Học viện Ngân hàng")</f>
        <v>Học viện Ngân hàng</v>
      </c>
      <c r="F107" s="4" t="str">
        <f>IFERROR(__xludf.DUMMYFUNCTION("""COMPUTED_VALUE"""),"KHXH2026-106.png")</f>
        <v>KHXH2026-106.png</v>
      </c>
    </row>
    <row r="108">
      <c r="A108" s="4" t="str">
        <f>IFERROR(__xludf.DUMMYFUNCTION("""COMPUTED_VALUE"""),"KHXH2026-107")</f>
        <v>KHXH2026-107</v>
      </c>
      <c r="B108" s="4" t="str">
        <f>IFERROR(__xludf.DUMMYFUNCTION("""COMPUTED_VALUE"""),"Khoa học xã hội")</f>
        <v>Khoa học xã hội</v>
      </c>
      <c r="C108" s="4" t="str">
        <f>IFERROR(__xludf.DUMMYFUNCTION("""COMPUTED_VALUE"""),"Tác động của đổi mới sáng tạo và tham gia chuỗi giá trị toàn cầu tới phi toàn cầu hóa: Bằng chứng từ các quốc gia trên thế giới và hàm ý cho Việt Nam")</f>
        <v>Tác động của đổi mới sáng tạo và tham gia chuỗi giá trị toàn cầu tới phi toàn cầu hóa: Bằng chứng từ các quốc gia trên thế giới và hàm ý cho Việt Nam</v>
      </c>
      <c r="D108" s="4" t="str">
        <f>IFERROR(__xludf.DUMMYFUNCTION("""COMPUTED_VALUE"""),"Nguyễn Mỹ Duyên; Nguyễn Thị Mai Phương; Nguyễn Thị Oanh; Nguyễn Thị Thu Nga; Nguyễn Minh Anh")</f>
        <v>Nguyễn Mỹ Duyên; Nguyễn Thị Mai Phương; Nguyễn Thị Oanh; Nguyễn Thị Thu Nga; Nguyễn Minh Anh</v>
      </c>
      <c r="E108" s="4" t="str">
        <f>IFERROR(__xludf.DUMMYFUNCTION("""COMPUTED_VALUE"""),"Học viện Ngân hàng")</f>
        <v>Học viện Ngân hàng</v>
      </c>
      <c r="F108" s="4" t="str">
        <f>IFERROR(__xludf.DUMMYFUNCTION("""COMPUTED_VALUE"""),"KHXH2026-107.png")</f>
        <v>KHXH2026-107.png</v>
      </c>
    </row>
    <row r="109">
      <c r="A109" s="4" t="str">
        <f>IFERROR(__xludf.DUMMYFUNCTION("""COMPUTED_VALUE"""),"KHXH2026-108")</f>
        <v>KHXH2026-108</v>
      </c>
      <c r="B109" s="4" t="str">
        <f>IFERROR(__xludf.DUMMYFUNCTION("""COMPUTED_VALUE"""),"Khoa học xã hội")</f>
        <v>Khoa học xã hội</v>
      </c>
      <c r="C109" s="4" t="str">
        <f>IFERROR(__xludf.DUMMYFUNCTION("""COMPUTED_VALUE"""),"Chủ nghĩa cá nhân cực đoan và ảo tưởng tự do trên không gian mạng của sinh viên trong kỷ nguyên số hiện nay")</f>
        <v>Chủ nghĩa cá nhân cực đoan và ảo tưởng tự do trên không gian mạng của sinh viên trong kỷ nguyên số hiện nay</v>
      </c>
      <c r="D109" s="4" t="str">
        <f>IFERROR(__xludf.DUMMYFUNCTION("""COMPUTED_VALUE"""),"Nguyễn Trung Kiên; Đàm Hoàng Vy; Bùi Cẩm Đào; Nguyễn Phương Trang; Đậu Lê Minh Hạnh")</f>
        <v>Nguyễn Trung Kiên; Đàm Hoàng Vy; Bùi Cẩm Đào; Nguyễn Phương Trang; Đậu Lê Minh Hạnh</v>
      </c>
      <c r="E109" s="4" t="str">
        <f>IFERROR(__xludf.DUMMYFUNCTION("""COMPUTED_VALUE"""),"Học viện Ngân hàng")</f>
        <v>Học viện Ngân hàng</v>
      </c>
      <c r="F109" s="4" t="str">
        <f>IFERROR(__xludf.DUMMYFUNCTION("""COMPUTED_VALUE"""),"KHXH2026-108.png")</f>
        <v>KHXH2026-108.png</v>
      </c>
    </row>
    <row r="110">
      <c r="A110" s="4" t="str">
        <f>IFERROR(__xludf.DUMMYFUNCTION("""COMPUTED_VALUE"""),"KHXH2026-109")</f>
        <v>KHXH2026-109</v>
      </c>
      <c r="B110" s="4" t="str">
        <f>IFERROR(__xludf.DUMMYFUNCTION("""COMPUTED_VALUE"""),"Khoa học xã hội")</f>
        <v>Khoa học xã hội</v>
      </c>
      <c r="C110" s="4" t="str">
        <f>IFERROR(__xludf.DUMMYFUNCTION("""COMPUTED_VALUE"""),"THE IMPACT OF DIGITAL TRANSFORMATION ON FEMALE EMPLOYMENT IN COMMERCIAL BANKS ACROSS 10 ASEAN COUNTRIES")</f>
        <v>THE IMPACT OF DIGITAL TRANSFORMATION ON FEMALE EMPLOYMENT IN COMMERCIAL BANKS ACROSS 10 ASEAN COUNTRIES</v>
      </c>
      <c r="D110" s="4" t="str">
        <f>IFERROR(__xludf.DUMMYFUNCTION("""COMPUTED_VALUE"""),"Nguyễn Thảo Trang; Nguyễn Phan Trung Nghĩa; Nguyễn Quang Mạnh; Vũ Khánh Linh; Lã Thị Thu Trang")</f>
        <v>Nguyễn Thảo Trang; Nguyễn Phan Trung Nghĩa; Nguyễn Quang Mạnh; Vũ Khánh Linh; Lã Thị Thu Trang</v>
      </c>
      <c r="E110" s="4" t="str">
        <f>IFERROR(__xludf.DUMMYFUNCTION("""COMPUTED_VALUE"""),"Học viện Ngân hàng")</f>
        <v>Học viện Ngân hàng</v>
      </c>
      <c r="F110" s="4" t="str">
        <f>IFERROR(__xludf.DUMMYFUNCTION("""COMPUTED_VALUE"""),"KHXH2026-109.png")</f>
        <v>KHXH2026-109.png</v>
      </c>
    </row>
    <row r="111">
      <c r="A111" s="4" t="str">
        <f>IFERROR(__xludf.DUMMYFUNCTION("""COMPUTED_VALUE"""),"KHXH2026-110")</f>
        <v>KHXH2026-110</v>
      </c>
      <c r="B111" s="4" t="str">
        <f>IFERROR(__xludf.DUMMYFUNCTION("""COMPUTED_VALUE"""),"Khoa học xã hội")</f>
        <v>Khoa học xã hội</v>
      </c>
      <c r="C111" s="4" t="str">
        <f>IFERROR(__xludf.DUMMYFUNCTION("""COMPUTED_VALUE"""),"Nhận thức của sinh viên khoa Trung tại một trường đại học ở Việt Nam về thực trạng và tác động của việc dùng ChatGPT trong kỹ năng viết.")</f>
        <v>Nhận thức của sinh viên khoa Trung tại một trường đại học ở Việt Nam về thực trạng và tác động của việc dùng ChatGPT trong kỹ năng viết.</v>
      </c>
      <c r="D111" s="4" t="str">
        <f>IFERROR(__xludf.DUMMYFUNCTION("""COMPUTED_VALUE"""),"Trần Thái Tuấn; Trần Tuấn An")</f>
        <v>Trần Thái Tuấn; Trần Tuấn An</v>
      </c>
      <c r="E111" s="4" t="str">
        <f>IFERROR(__xludf.DUMMYFUNCTION("""COMPUTED_VALUE"""),"Trường Đại học Ngoại ngữ, ĐHQG Hà Nội")</f>
        <v>Trường Đại học Ngoại ngữ, ĐHQG Hà Nội</v>
      </c>
      <c r="F111" s="4" t="str">
        <f>IFERROR(__xludf.DUMMYFUNCTION("""COMPUTED_VALUE"""),"KHXH2026-110.png")</f>
        <v>KHXH2026-110.png</v>
      </c>
    </row>
    <row r="112">
      <c r="A112" s="4" t="str">
        <f>IFERROR(__xludf.DUMMYFUNCTION("""COMPUTED_VALUE"""),"KHXH2026-111")</f>
        <v>KHXH2026-111</v>
      </c>
      <c r="B112" s="4" t="str">
        <f>IFERROR(__xludf.DUMMYFUNCTION("""COMPUTED_VALUE"""),"Khoa học xã hội")</f>
        <v>Khoa học xã hội</v>
      </c>
      <c r="C112" s="4" t="str">
        <f>IFERROR(__xludf.DUMMYFUNCTION("""COMPUTED_VALUE"""),"SÁNG KIẾN VÀNH ĐAI VÀ CON ĐƯỜNG THÚC ĐẨY HAY LÀM SAI LỆCH CHUYỂN DỊCH CƠ CẤU? BẰNG CHỨNG THỨC NGHIỆM ĐA QUỐC GIA")</f>
        <v>SÁNG KIẾN VÀNH ĐAI VÀ CON ĐƯỜNG THÚC ĐẨY HAY LÀM SAI LỆCH CHUYỂN DỊCH CƠ CẤU? BẰNG CHỨNG THỨC NGHIỆM ĐA QUỐC GIA</v>
      </c>
      <c r="D112" s="4" t="str">
        <f>IFERROR(__xludf.DUMMYFUNCTION("""COMPUTED_VALUE"""),"Cam Nguyễn Phúc Duyên; Nguyễn Ngọc Bảo An")</f>
        <v>Cam Nguyễn Phúc Duyên; Nguyễn Ngọc Bảo An</v>
      </c>
      <c r="E112" s="4" t="str">
        <f>IFERROR(__xludf.DUMMYFUNCTION("""COMPUTED_VALUE"""),"Phân hiệu Trường Đại học Ngoại thương tại TP. Hồ Chí Minh")</f>
        <v>Phân hiệu Trường Đại học Ngoại thương tại TP. Hồ Chí Minh</v>
      </c>
      <c r="F112" s="4" t="str">
        <f>IFERROR(__xludf.DUMMYFUNCTION("""COMPUTED_VALUE"""),"KHXH2026-111.png")</f>
        <v>KHXH2026-111.png</v>
      </c>
    </row>
    <row r="113">
      <c r="A113" s="4" t="str">
        <f>IFERROR(__xludf.DUMMYFUNCTION("""COMPUTED_VALUE"""),"KHXH2026-112")</f>
        <v>KHXH2026-112</v>
      </c>
      <c r="B113" s="4" t="str">
        <f>IFERROR(__xludf.DUMMYFUNCTION("""COMPUTED_VALUE"""),"Khoa học xã hội")</f>
        <v>Khoa học xã hội</v>
      </c>
      <c r="C113" s="4" t="str">
        <f>IFERROR(__xludf.DUMMYFUNCTION("""COMPUTED_VALUE"""),"Customer perception of Green Marketing and Sustainable Suppy Chain practices: Impacts on GenZ's Customer Intention in Fashion Industry in Ho Chi Minh city")</f>
        <v>Customer perception of Green Marketing and Sustainable Suppy Chain practices: Impacts on GenZ's Customer Intention in Fashion Industry in Ho Chi Minh city</v>
      </c>
      <c r="D113" s="4" t="str">
        <f>IFERROR(__xludf.DUMMYFUNCTION("""COMPUTED_VALUE"""),"Trần Nhật Diễm; Bùi Ngọc Hoa; Hồ Nguyên Quỳnh; Lâm Quỳnh Nhi; Đoàn Ngọc Thảo Vy")</f>
        <v>Trần Nhật Diễm; Bùi Ngọc Hoa; Hồ Nguyên Quỳnh; Lâm Quỳnh Nhi; Đoàn Ngọc Thảo Vy</v>
      </c>
      <c r="E113" s="4" t="str">
        <f>IFERROR(__xludf.DUMMYFUNCTION("""COMPUTED_VALUE"""),"Phân hiệu Trường Đại học Ngoại thương tại TP. Hồ Chí Minh")</f>
        <v>Phân hiệu Trường Đại học Ngoại thương tại TP. Hồ Chí Minh</v>
      </c>
      <c r="F113" s="4" t="str">
        <f>IFERROR(__xludf.DUMMYFUNCTION("""COMPUTED_VALUE"""),"KHXH2026-112.png")</f>
        <v>KHXH2026-112.png</v>
      </c>
    </row>
    <row r="114">
      <c r="A114" s="4" t="str">
        <f>IFERROR(__xludf.DUMMYFUNCTION("""COMPUTED_VALUE"""),"KHXH2026-113")</f>
        <v>KHXH2026-113</v>
      </c>
      <c r="B114" s="4" t="str">
        <f>IFERROR(__xludf.DUMMYFUNCTION("""COMPUTED_VALUE"""),"Khoa học xã hội")</f>
        <v>Khoa học xã hội</v>
      </c>
      <c r="C114" s="4" t="str">
        <f>IFERROR(__xludf.DUMMYFUNCTION("""COMPUTED_VALUE"""),"PHÁT HUY GIÁ TRỊ LÀNG NGHỀ LÀM NƯỚC MẮM TRUYỀN THỐNG PHÚ QUỐC GẮN VỚI SINH KẾ CỘNG ĐỒNG: XÂY DỰNG MÔ HÌNH DU LỊCH TRẢI NGHIỆM BỀN VỮNG")</f>
        <v>PHÁT HUY GIÁ TRỊ LÀNG NGHỀ LÀM NƯỚC MẮM TRUYỀN THỐNG PHÚ QUỐC GẮN VỚI SINH KẾ CỘNG ĐỒNG: XÂY DỰNG MÔ HÌNH DU LỊCH TRẢI NGHIỆM BỀN VỮNG</v>
      </c>
      <c r="D114" s="4" t="str">
        <f>IFERROR(__xludf.DUMMYFUNCTION("""COMPUTED_VALUE"""),"Nguyễn Thế Phát; Phạm Hoài Anh; Trần Thị Thảo Quyên; Nguyễn Ngọc Hà My; Võ Trọng Quốc Huy")</f>
        <v>Nguyễn Thế Phát; Phạm Hoài Anh; Trần Thị Thảo Quyên; Nguyễn Ngọc Hà My; Võ Trọng Quốc Huy</v>
      </c>
      <c r="E114" s="4" t="str">
        <f>IFERROR(__xludf.DUMMYFUNCTION("""COMPUTED_VALUE"""),"Trường Đại học Ngân hàng TP. Hồ Chí Minh")</f>
        <v>Trường Đại học Ngân hàng TP. Hồ Chí Minh</v>
      </c>
      <c r="F114" s="4" t="str">
        <f>IFERROR(__xludf.DUMMYFUNCTION("""COMPUTED_VALUE"""),"KHXH2026-113.png")</f>
        <v>KHXH2026-113.png</v>
      </c>
    </row>
    <row r="115">
      <c r="A115" s="4" t="str">
        <f>IFERROR(__xludf.DUMMYFUNCTION("""COMPUTED_VALUE"""),"KHXH2026-114")</f>
        <v>KHXH2026-114</v>
      </c>
      <c r="B115" s="4" t="str">
        <f>IFERROR(__xludf.DUMMYFUNCTION("""COMPUTED_VALUE"""),"Khoa học xã hội")</f>
        <v>Khoa học xã hội</v>
      </c>
      <c r="C115" s="4" t="str">
        <f>IFERROR(__xludf.DUMMYFUNCTION("""COMPUTED_VALUE"""),"Ảnh hưởng của công nghệ thực tế ảo đến trải nghiệm du lịch và ý định hành vi của khách du lịch: Vai trò điều tiết của việc tìm kiếm sự mới lạ")</f>
        <v>Ảnh hưởng của công nghệ thực tế ảo đến trải nghiệm du lịch và ý định hành vi của khách du lịch: Vai trò điều tiết của việc tìm kiếm sự mới lạ</v>
      </c>
      <c r="D115" s="4" t="str">
        <f>IFERROR(__xludf.DUMMYFUNCTION("""COMPUTED_VALUE"""),"Nguyễn Bá Đạt; Phan Thị Khánh Huyền; Phan Đặng Khánh Linh; Nguyễn Tuấn Anh; Trần Thị Phương Linh")</f>
        <v>Nguyễn Bá Đạt; Phan Thị Khánh Huyền; Phan Đặng Khánh Linh; Nguyễn Tuấn Anh; Trần Thị Phương Linh</v>
      </c>
      <c r="E115" s="4" t="str">
        <f>IFERROR(__xludf.DUMMYFUNCTION("""COMPUTED_VALUE"""),"Trường Đại học Thương mại")</f>
        <v>Trường Đại học Thương mại</v>
      </c>
      <c r="F115" s="4" t="str">
        <f>IFERROR(__xludf.DUMMYFUNCTION("""COMPUTED_VALUE"""),"KHXH2026-114.png")</f>
        <v>KHXH2026-114.png</v>
      </c>
    </row>
    <row r="116">
      <c r="A116" s="4" t="str">
        <f>IFERROR(__xludf.DUMMYFUNCTION("""COMPUTED_VALUE"""),"KHXH2026-115")</f>
        <v>KHXH2026-115</v>
      </c>
      <c r="B116" s="4" t="str">
        <f>IFERROR(__xludf.DUMMYFUNCTION("""COMPUTED_VALUE"""),"Khoa học xã hội")</f>
        <v>Khoa học xã hội</v>
      </c>
      <c r="C116" s="4" t="str">
        <f>IFERROR(__xludf.DUMMYFUNCTION("""COMPUTED_VALUE"""),"Hành vi tìm việc của thế hệ Gen Z trên nền tảng Threads tại Việt Nam: Các yếu tố ảnh hưởng và vai trò của ý định ở lại tổ chức")</f>
        <v>Hành vi tìm việc của thế hệ Gen Z trên nền tảng Threads tại Việt Nam: Các yếu tố ảnh hưởng và vai trò của ý định ở lại tổ chức</v>
      </c>
      <c r="D116" s="4" t="str">
        <f>IFERROR(__xludf.DUMMYFUNCTION("""COMPUTED_VALUE"""),"Lê Thị Thảo")</f>
        <v>Lê Thị Thảo</v>
      </c>
      <c r="E116" s="4" t="str">
        <f>IFERROR(__xludf.DUMMYFUNCTION("""COMPUTED_VALUE"""),"Đại học Kinh tế Quốc dân")</f>
        <v>Đại học Kinh tế Quốc dân</v>
      </c>
      <c r="F116" s="4" t="str">
        <f>IFERROR(__xludf.DUMMYFUNCTION("""COMPUTED_VALUE"""),"KHXH2026-115.png")</f>
        <v>KHXH2026-115.png</v>
      </c>
    </row>
    <row r="117">
      <c r="A117" s="4" t="str">
        <f>IFERROR(__xludf.DUMMYFUNCTION("""COMPUTED_VALUE"""),"KHXH2026-116")</f>
        <v>KHXH2026-116</v>
      </c>
      <c r="B117" s="4" t="str">
        <f>IFERROR(__xludf.DUMMYFUNCTION("""COMPUTED_VALUE"""),"Khoa học xã hội")</f>
        <v>Khoa học xã hội</v>
      </c>
      <c r="C117" s="4" t="str">
        <f>IFERROR(__xludf.DUMMYFUNCTION("""COMPUTED_VALUE"""),"THE IMPACT OF LANGUAGE LEARNERS' PERFECTIONISM ON PROACTIVE PERSONALITY IN HIGHER EDUCATION")</f>
        <v>THE IMPACT OF LANGUAGE LEARNERS' PERFECTIONISM ON PROACTIVE PERSONALITY IN HIGHER EDUCATION</v>
      </c>
      <c r="D117" s="4" t="str">
        <f>IFERROR(__xludf.DUMMYFUNCTION("""COMPUTED_VALUE"""),"Phan Thị Anh Thư; Lê Hà Minh Anh")</f>
        <v>Phan Thị Anh Thư; Lê Hà Minh Anh</v>
      </c>
      <c r="E117" s="4" t="str">
        <f>IFERROR(__xludf.DUMMYFUNCTION("""COMPUTED_VALUE"""),"Trường Đại học Hoa Sen")</f>
        <v>Trường Đại học Hoa Sen</v>
      </c>
      <c r="F117" s="4" t="str">
        <f>IFERROR(__xludf.DUMMYFUNCTION("""COMPUTED_VALUE"""),"KHXH2026-116.png")</f>
        <v>KHXH2026-116.png</v>
      </c>
    </row>
    <row r="118">
      <c r="A118" s="4" t="str">
        <f>IFERROR(__xludf.DUMMYFUNCTION("""COMPUTED_VALUE"""),"KHXH2026-117")</f>
        <v>KHXH2026-117</v>
      </c>
      <c r="B118" s="4" t="str">
        <f>IFERROR(__xludf.DUMMYFUNCTION("""COMPUTED_VALUE"""),"Khoa học xã hội")</f>
        <v>Khoa học xã hội</v>
      </c>
      <c r="C118" s="4" t="str">
        <f>IFERROR(__xludf.DUMMYFUNCTION("""COMPUTED_VALUE"""),"Nghiên cứu chuyển dịch cụm từ miêu tả cảnh sắc thiên nhiên trong bản tin du lịch Việt Nam sang tiếng Trung")</f>
        <v>Nghiên cứu chuyển dịch cụm từ miêu tả cảnh sắc thiên nhiên trong bản tin du lịch Việt Nam sang tiếng Trung</v>
      </c>
      <c r="D118" s="4" t="str">
        <f>IFERROR(__xludf.DUMMYFUNCTION("""COMPUTED_VALUE"""),"Nguyễn Ánh Tuyết; Nguyễn Phương Quỳnh; Lê Thị Thanh Nhàn")</f>
        <v>Nguyễn Ánh Tuyết; Nguyễn Phương Quỳnh; Lê Thị Thanh Nhàn</v>
      </c>
      <c r="E118" s="4" t="str">
        <f>IFERROR(__xludf.DUMMYFUNCTION("""COMPUTED_VALUE"""),"Trường Đại học Mở Hà Nội")</f>
        <v>Trường Đại học Mở Hà Nội</v>
      </c>
      <c r="F118" s="4" t="str">
        <f>IFERROR(__xludf.DUMMYFUNCTION("""COMPUTED_VALUE"""),"KHXH2026-117.png")</f>
        <v>KHXH2026-117.png</v>
      </c>
    </row>
    <row r="119">
      <c r="A119" s="4" t="str">
        <f>IFERROR(__xludf.DUMMYFUNCTION("""COMPUTED_VALUE"""),"KHXH2026-118")</f>
        <v>KHXH2026-118</v>
      </c>
      <c r="B119" s="4" t="str">
        <f>IFERROR(__xludf.DUMMYFUNCTION("""COMPUTED_VALUE"""),"Khoa học xã hội")</f>
        <v>Khoa học xã hội</v>
      </c>
      <c r="C119" s="4" t="str">
        <f>IFERROR(__xludf.DUMMYFUNCTION("""COMPUTED_VALUE"""),"Bước đầu tìm hiểu về ảnh hưởng của ngôn ngữ mạng Tiếng Trung Quốc đến việc học từ vựng của sinh viên năm thứ nhất ngành Ngôn ngữ Trung Quốc, Trường Đại học Mở Hà Nội")</f>
        <v>Bước đầu tìm hiểu về ảnh hưởng của ngôn ngữ mạng Tiếng Trung Quốc đến việc học từ vựng của sinh viên năm thứ nhất ngành Ngôn ngữ Trung Quốc, Trường Đại học Mở Hà Nội</v>
      </c>
      <c r="D119" s="4" t="str">
        <f>IFERROR(__xludf.DUMMYFUNCTION("""COMPUTED_VALUE"""),"Bùi Ngọc Huy; Nguyễn Hữu Huy; Đỗ Thị Ly")</f>
        <v>Bùi Ngọc Huy; Nguyễn Hữu Huy; Đỗ Thị Ly</v>
      </c>
      <c r="E119" s="4" t="str">
        <f>IFERROR(__xludf.DUMMYFUNCTION("""COMPUTED_VALUE"""),"Trường Đại học Mở Hà Nội")</f>
        <v>Trường Đại học Mở Hà Nội</v>
      </c>
      <c r="F119" s="4" t="str">
        <f>IFERROR(__xludf.DUMMYFUNCTION("""COMPUTED_VALUE"""),"KHXH2026-118.png")</f>
        <v>KHXH2026-118.png</v>
      </c>
    </row>
    <row r="120">
      <c r="A120" s="4" t="str">
        <f>IFERROR(__xludf.DUMMYFUNCTION("""COMPUTED_VALUE"""),"KHXH2026-119")</f>
        <v>KHXH2026-119</v>
      </c>
      <c r="B120" s="4" t="str">
        <f>IFERROR(__xludf.DUMMYFUNCTION("""COMPUTED_VALUE"""),"Khoa học xã hội")</f>
        <v>Khoa học xã hội</v>
      </c>
      <c r="C120" s="4" t="str">
        <f>IFERROR(__xludf.DUMMYFUNCTION("""COMPUTED_VALUE"""),"Facebook users' condolence strategies: a comparative study of English and Vietnamese responses to the death of Heads of State")</f>
        <v>Facebook users' condolence strategies: a comparative study of English and Vietnamese responses to the death of Heads of State</v>
      </c>
      <c r="D120" s="4" t="str">
        <f>IFERROR(__xludf.DUMMYFUNCTION("""COMPUTED_VALUE"""),"Lê Thị Thùy Dung; Nguyễn Tuấn Minh")</f>
        <v>Lê Thị Thùy Dung; Nguyễn Tuấn Minh</v>
      </c>
      <c r="E120" s="4" t="str">
        <f>IFERROR(__xludf.DUMMYFUNCTION("""COMPUTED_VALUE"""),"Trường Đại học Mở Hà Nội")</f>
        <v>Trường Đại học Mở Hà Nội</v>
      </c>
      <c r="F120" s="4" t="str">
        <f>IFERROR(__xludf.DUMMYFUNCTION("""COMPUTED_VALUE"""),"KHXH2026-119.png")</f>
        <v>KHXH2026-119.png</v>
      </c>
    </row>
    <row r="121">
      <c r="A121" s="4" t="str">
        <f>IFERROR(__xludf.DUMMYFUNCTION("""COMPUTED_VALUE"""),"KHXH2026-120")</f>
        <v>KHXH2026-120</v>
      </c>
      <c r="B121" s="4" t="str">
        <f>IFERROR(__xludf.DUMMYFUNCTION("""COMPUTED_VALUE"""),"Khoa học xã hội")</f>
        <v>Khoa học xã hội</v>
      </c>
      <c r="C121" s="4" t="str">
        <f>IFERROR(__xludf.DUMMYFUNCTION("""COMPUTED_VALUE"""),"The Impact of Chat GPT on the Translation Skill Development of Third-Year Students of English at Hanoi Open University")</f>
        <v>The Impact of Chat GPT on the Translation Skill Development of Third-Year Students of English at Hanoi Open University</v>
      </c>
      <c r="D121" s="4" t="str">
        <f>IFERROR(__xludf.DUMMYFUNCTION("""COMPUTED_VALUE"""),"Lê Thị Hồng Minh; Nguyễn Thủy Tiên")</f>
        <v>Lê Thị Hồng Minh; Nguyễn Thủy Tiên</v>
      </c>
      <c r="E121" s="4" t="str">
        <f>IFERROR(__xludf.DUMMYFUNCTION("""COMPUTED_VALUE"""),"Trường Đại học Mở Hà Nội")</f>
        <v>Trường Đại học Mở Hà Nội</v>
      </c>
      <c r="F121" s="4" t="str">
        <f>IFERROR(__xludf.DUMMYFUNCTION("""COMPUTED_VALUE"""),"KHXH2026-120.png")</f>
        <v>KHXH2026-120.png</v>
      </c>
    </row>
    <row r="122">
      <c r="A122" s="4" t="str">
        <f>IFERROR(__xludf.DUMMYFUNCTION("""COMPUTED_VALUE"""),"KHXH2026-121")</f>
        <v>KHXH2026-121</v>
      </c>
      <c r="B122" s="4" t="str">
        <f>IFERROR(__xludf.DUMMYFUNCTION("""COMPUTED_VALUE"""),"Khoa học xã hội")</f>
        <v>Khoa học xã hội</v>
      </c>
      <c r="C122" s="4" t="str">
        <f>IFERROR(__xludf.DUMMYFUNCTION("""COMPUTED_VALUE"""),"Nghiên cứu hệ thống từ ngữ trong tác phẩm của Nguyễn Ngọc Tư từ góc nhìn ngôn ngữ học sinh thái.")</f>
        <v>Nghiên cứu hệ thống từ ngữ trong tác phẩm của Nguyễn Ngọc Tư từ góc nhìn ngôn ngữ học sinh thái.</v>
      </c>
      <c r="D122" s="4" t="str">
        <f>IFERROR(__xludf.DUMMYFUNCTION("""COMPUTED_VALUE"""),"Nguyễn Thị Minh Phương")</f>
        <v>Nguyễn Thị Minh Phương</v>
      </c>
      <c r="E122" s="4" t="str">
        <f>IFERROR(__xludf.DUMMYFUNCTION("""COMPUTED_VALUE"""),"Trường Đại học Sư phạm Hà Nội 2")</f>
        <v>Trường Đại học Sư phạm Hà Nội 2</v>
      </c>
      <c r="F122" s="4" t="str">
        <f>IFERROR(__xludf.DUMMYFUNCTION("""COMPUTED_VALUE"""),"KHXH2026-121.png")</f>
        <v>KHXH2026-121.png</v>
      </c>
    </row>
    <row r="123">
      <c r="A123" s="4" t="str">
        <f>IFERROR(__xludf.DUMMYFUNCTION("""COMPUTED_VALUE"""),"KHXH2026-122")</f>
        <v>KHXH2026-122</v>
      </c>
      <c r="B123" s="4" t="str">
        <f>IFERROR(__xludf.DUMMYFUNCTION("""COMPUTED_VALUE"""),"Khoa học xã hội")</f>
        <v>Khoa học xã hội</v>
      </c>
      <c r="C123" s="4" t="str">
        <f>IFERROR(__xludf.DUMMYFUNCTION("""COMPUTED_VALUE"""),"Những khó khăn trong việc phát triển ý tưởng khi nói tiếng Anh của sinh viên năm nhất ngành Ngôn ngữ Anh tại Đại học Phenikaa và các biện pháp khắc phục")</f>
        <v>Những khó khăn trong việc phát triển ý tưởng khi nói tiếng Anh của sinh viên năm nhất ngành Ngôn ngữ Anh tại Đại học Phenikaa và các biện pháp khắc phục</v>
      </c>
      <c r="D123" s="4" t="str">
        <f>IFERROR(__xludf.DUMMYFUNCTION("""COMPUTED_VALUE"""),"Đỗ Thị Ngọc Như; Phạm Mai Hương; Lê Phương Linh")</f>
        <v>Đỗ Thị Ngọc Như; Phạm Mai Hương; Lê Phương Linh</v>
      </c>
      <c r="E123" s="4" t="str">
        <f>IFERROR(__xludf.DUMMYFUNCTION("""COMPUTED_VALUE"""),"Đại học Phenikaa")</f>
        <v>Đại học Phenikaa</v>
      </c>
      <c r="F123" s="4" t="str">
        <f>IFERROR(__xludf.DUMMYFUNCTION("""COMPUTED_VALUE"""),"KHXH2026-122.png")</f>
        <v>KHXH2026-122.png</v>
      </c>
    </row>
    <row r="124">
      <c r="A124" s="4" t="str">
        <f>IFERROR(__xludf.DUMMYFUNCTION("""COMPUTED_VALUE"""),"KHXH2026-123")</f>
        <v>KHXH2026-123</v>
      </c>
      <c r="B124" s="4" t="str">
        <f>IFERROR(__xludf.DUMMYFUNCTION("""COMPUTED_VALUE"""),"Khoa học xã hội")</f>
        <v>Khoa học xã hội</v>
      </c>
      <c r="C124" s="4" t="str">
        <f>IFERROR(__xludf.DUMMYFUNCTION("""COMPUTED_VALUE"""),"Nhận thức của sinh viên về Grammarly như một công cụ hỗ trợ viết trong tiếng Anh học thuật")</f>
        <v>Nhận thức của sinh viên về Grammarly như một công cụ hỗ trợ viết trong tiếng Anh học thuật</v>
      </c>
      <c r="D124" s="4" t="str">
        <f>IFERROR(__xludf.DUMMYFUNCTION("""COMPUTED_VALUE"""),"Phạm Nguyễn Yến Nhi; Dương Thùy Trâm; Phạm Huyền Trang")</f>
        <v>Phạm Nguyễn Yến Nhi; Dương Thùy Trâm; Phạm Huyền Trang</v>
      </c>
      <c r="E124" s="4" t="str">
        <f>IFERROR(__xludf.DUMMYFUNCTION("""COMPUTED_VALUE"""),"Đại học Phenikaa")</f>
        <v>Đại học Phenikaa</v>
      </c>
      <c r="F124" s="4" t="str">
        <f>IFERROR(__xludf.DUMMYFUNCTION("""COMPUTED_VALUE"""),"KHXH2026-123.png")</f>
        <v>KHXH2026-123.png</v>
      </c>
    </row>
    <row r="125">
      <c r="A125" s="4" t="str">
        <f>IFERROR(__xludf.DUMMYFUNCTION("""COMPUTED_VALUE"""),"KHXH2026-124")</f>
        <v>KHXH2026-124</v>
      </c>
      <c r="B125" s="4" t="str">
        <f>IFERROR(__xludf.DUMMYFUNCTION("""COMPUTED_VALUE"""),"Khoa học xã hội")</f>
        <v>Khoa học xã hội</v>
      </c>
      <c r="C125" s="4" t="str">
        <f>IFERROR(__xludf.DUMMYFUNCTION("""COMPUTED_VALUE"""),"Strategic Uses of Silence in Interaction: A Critical Discourse Analysis")</f>
        <v>Strategic Uses of Silence in Interaction: A Critical Discourse Analysis</v>
      </c>
      <c r="D125" s="4" t="str">
        <f>IFERROR(__xludf.DUMMYFUNCTION("""COMPUTED_VALUE"""),"Nguyễn Minh Quân; Đào Thị Lan Anh")</f>
        <v>Nguyễn Minh Quân; Đào Thị Lan Anh</v>
      </c>
      <c r="E125" s="4" t="str">
        <f>IFERROR(__xludf.DUMMYFUNCTION("""COMPUTED_VALUE"""),"Trường Quốc tế, ĐHQG Hà Nội")</f>
        <v>Trường Quốc tế, ĐHQG Hà Nội</v>
      </c>
      <c r="F125" s="4" t="str">
        <f>IFERROR(__xludf.DUMMYFUNCTION("""COMPUTED_VALUE"""),"KHXH2026-124.png")</f>
        <v>KHXH2026-124.png</v>
      </c>
    </row>
    <row r="126">
      <c r="A126" s="4" t="str">
        <f>IFERROR(__xludf.DUMMYFUNCTION("""COMPUTED_VALUE"""),"KHXH2026-125")</f>
        <v>KHXH2026-125</v>
      </c>
      <c r="B126" s="4" t="str">
        <f>IFERROR(__xludf.DUMMYFUNCTION("""COMPUTED_VALUE"""),"Khoa học xã hội")</f>
        <v>Khoa học xã hội</v>
      </c>
      <c r="C126" s="4" t="str">
        <f>IFERROR(__xludf.DUMMYFUNCTION("""COMPUTED_VALUE"""),"Tư duy “nỗ lực cực hạn” trong giáo dục Hàn Quốc và kinh nghiệm cho Việt Nam")</f>
        <v>Tư duy “nỗ lực cực hạn” trong giáo dục Hàn Quốc và kinh nghiệm cho Việt Nam</v>
      </c>
      <c r="D126" s="4" t="str">
        <f>IFERROR(__xludf.DUMMYFUNCTION("""COMPUTED_VALUE"""),"Võ Phương Thùy")</f>
        <v>Võ Phương Thùy</v>
      </c>
      <c r="E126" s="4" t="str">
        <f>IFERROR(__xludf.DUMMYFUNCTION("""COMPUTED_VALUE"""),"Trường Đại học Quốc tế Sài Gòn")</f>
        <v>Trường Đại học Quốc tế Sài Gòn</v>
      </c>
      <c r="F126" s="4" t="str">
        <f>IFERROR(__xludf.DUMMYFUNCTION("""COMPUTED_VALUE"""),"KHXH2026-125.png")</f>
        <v>KHXH2026-125.png</v>
      </c>
    </row>
    <row r="127">
      <c r="A127" s="4" t="str">
        <f>IFERROR(__xludf.DUMMYFUNCTION("""COMPUTED_VALUE"""),"KHXH2026-126")</f>
        <v>KHXH2026-126</v>
      </c>
      <c r="B127" s="4" t="str">
        <f>IFERROR(__xludf.DUMMYFUNCTION("""COMPUTED_VALUE"""),"Khoa học xã hội")</f>
        <v>Khoa học xã hội</v>
      </c>
      <c r="C127" s="4" t="str">
        <f>IFERROR(__xludf.DUMMYFUNCTION("""COMPUTED_VALUE"""),"An Analysis of The Use of Metaphors in Taylor Swift’s Song Lyrics from the Album The Tortured Poets Department")</f>
        <v>An Analysis of The Use of Metaphors in Taylor Swift’s Song Lyrics from the Album The Tortured Poets Department</v>
      </c>
      <c r="D127" s="4" t="str">
        <f>IFERROR(__xludf.DUMMYFUNCTION("""COMPUTED_VALUE"""),"Bùi Phạm Ngân Hà; Đoàn Khánh Duy")</f>
        <v>Bùi Phạm Ngân Hà; Đoàn Khánh Duy</v>
      </c>
      <c r="E127" s="4" t="str">
        <f>IFERROR(__xludf.DUMMYFUNCTION("""COMPUTED_VALUE"""),"Trường Đại học Thăng Long")</f>
        <v>Trường Đại học Thăng Long</v>
      </c>
      <c r="F127" s="4" t="str">
        <f>IFERROR(__xludf.DUMMYFUNCTION("""COMPUTED_VALUE"""),"KHXH2026-126.png")</f>
        <v>KHXH2026-126.png</v>
      </c>
    </row>
    <row r="128">
      <c r="A128" s="4" t="str">
        <f>IFERROR(__xludf.DUMMYFUNCTION("""COMPUTED_VALUE"""),"KHXH2026-127")</f>
        <v>KHXH2026-127</v>
      </c>
      <c r="B128" s="4" t="str">
        <f>IFERROR(__xludf.DUMMYFUNCTION("""COMPUTED_VALUE"""),"Khoa học xã hội")</f>
        <v>Khoa học xã hội</v>
      </c>
      <c r="C128" s="4" t="str">
        <f>IFERROR(__xludf.DUMMYFUNCTION("""COMPUTED_VALUE"""),"Integrating art-based learning in English language instruction for underprivileged children: A case study at a community center in Ho Chi Minh City")</f>
        <v>Integrating art-based learning in English language instruction for underprivileged children: A case study at a community center in Ho Chi Minh City</v>
      </c>
      <c r="D128" s="4" t="str">
        <f>IFERROR(__xludf.DUMMYFUNCTION("""COMPUTED_VALUE"""),"Hồ Tường Vy; Phạm Ngọc Thuỳ Nhi; Trần Quốc Anh")</f>
        <v>Hồ Tường Vy; Phạm Ngọc Thuỳ Nhi; Trần Quốc Anh</v>
      </c>
      <c r="E128" s="4" t="str">
        <f>IFERROR(__xludf.DUMMYFUNCTION("""COMPUTED_VALUE"""),"Trường Đại học Kinh tế - Tài chính TP. Hồ Chí Minh")</f>
        <v>Trường Đại học Kinh tế - Tài chính TP. Hồ Chí Minh</v>
      </c>
      <c r="F128" s="4" t="str">
        <f>IFERROR(__xludf.DUMMYFUNCTION("""COMPUTED_VALUE"""),"KHXH2026-127.png")</f>
        <v>KHXH2026-127.png</v>
      </c>
    </row>
    <row r="129">
      <c r="A129" s="4" t="str">
        <f>IFERROR(__xludf.DUMMYFUNCTION("""COMPUTED_VALUE"""),"KHXH2026-128")</f>
        <v>KHXH2026-128</v>
      </c>
      <c r="B129" s="4" t="str">
        <f>IFERROR(__xludf.DUMMYFUNCTION("""COMPUTED_VALUE"""),"Khoa học xã hội")</f>
        <v>Khoa học xã hội</v>
      </c>
      <c r="C129" s="4" t="str">
        <f>IFERROR(__xludf.DUMMYFUNCTION("""COMPUTED_VALUE"""),"Integrating ecological literacy for sustainable development in higher education: a mixed-methods study on EFL students' competence and lecturers' perspectives")</f>
        <v>Integrating ecological literacy for sustainable development in higher education: a mixed-methods study on EFL students' competence and lecturers' perspectives</v>
      </c>
      <c r="D129" s="4" t="str">
        <f>IFERROR(__xludf.DUMMYFUNCTION("""COMPUTED_VALUE"""),"Trương Trúc Quỳnh; Đặng Thị Thanh Trúc; Phan Ngọc Trân")</f>
        <v>Trương Trúc Quỳnh; Đặng Thị Thanh Trúc; Phan Ngọc Trân</v>
      </c>
      <c r="E129" s="4" t="str">
        <f>IFERROR(__xludf.DUMMYFUNCTION("""COMPUTED_VALUE"""),"Trường Đại học Kinh tế - Tài chính TP. Hồ Chí Minh")</f>
        <v>Trường Đại học Kinh tế - Tài chính TP. Hồ Chí Minh</v>
      </c>
      <c r="F129" s="4" t="str">
        <f>IFERROR(__xludf.DUMMYFUNCTION("""COMPUTED_VALUE"""),"KHXH2026-128.png")</f>
        <v>KHXH2026-128.png</v>
      </c>
    </row>
    <row r="130">
      <c r="A130" s="4" t="str">
        <f>IFERROR(__xludf.DUMMYFUNCTION("""COMPUTED_VALUE"""),"KHXH2026-129")</f>
        <v>KHXH2026-129</v>
      </c>
      <c r="B130" s="4" t="str">
        <f>IFERROR(__xludf.DUMMYFUNCTION("""COMPUTED_VALUE"""),"Khoa học xã hội")</f>
        <v>Khoa học xã hội</v>
      </c>
      <c r="C130" s="4" t="str">
        <f>IFERROR(__xludf.DUMMYFUNCTION("""COMPUTED_VALUE"""),"KHUNG NGỮ NGHĨA LIÊN QUAN ĐẾN VỊ TỪ NÓI NĂNG TIẾNG VIỆT, TIẾNG NHẬT (Trường hợp một số vị từ phổ biến)")</f>
        <v>KHUNG NGỮ NGHĨA LIÊN QUAN ĐẾN VỊ TỪ NÓI NĂNG TIẾNG VIỆT, TIẾNG NHẬT (Trường hợp một số vị từ phổ biến)</v>
      </c>
      <c r="D130" s="4" t="str">
        <f>IFERROR(__xludf.DUMMYFUNCTION("""COMPUTED_VALUE"""),"Dương Thùy Anh; Nguyễn Đặng Phương Thanh; Hoàng Ngọc Nguyễn Minh Khuê; Huỳnh Hãi Đăng")</f>
        <v>Dương Thùy Anh; Nguyễn Đặng Phương Thanh; Hoàng Ngọc Nguyễn Minh Khuê; Huỳnh Hãi Đăng</v>
      </c>
      <c r="E130" s="4" t="str">
        <f>IFERROR(__xludf.DUMMYFUNCTION("""COMPUTED_VALUE"""),"Trường Đại học Mở TP. Hồ Chí Minh")</f>
        <v>Trường Đại học Mở TP. Hồ Chí Minh</v>
      </c>
      <c r="F130" s="4" t="str">
        <f>IFERROR(__xludf.DUMMYFUNCTION("""COMPUTED_VALUE"""),"KHXH2026-129.png")</f>
        <v>KHXH2026-129.png</v>
      </c>
    </row>
    <row r="131">
      <c r="A131" s="4" t="str">
        <f>IFERROR(__xludf.DUMMYFUNCTION("""COMPUTED_VALUE"""),"KHXH2026-130")</f>
        <v>KHXH2026-130</v>
      </c>
      <c r="B131" s="4" t="str">
        <f>IFERROR(__xludf.DUMMYFUNCTION("""COMPUTED_VALUE"""),"Khoa học xã hội")</f>
        <v>Khoa học xã hội</v>
      </c>
      <c r="C131" s="4" t="str">
        <f>IFERROR(__xludf.DUMMYFUNCTION("""COMPUTED_VALUE"""),"Chuyển dịch đơn chiều kết cấu tồn tại Nhật - Việt và Nhật - Anh trong một số tác phẩm văn học Nhật Bản")</f>
        <v>Chuyển dịch đơn chiều kết cấu tồn tại Nhật - Việt và Nhật - Anh trong một số tác phẩm văn học Nhật Bản</v>
      </c>
      <c r="D131" s="4" t="str">
        <f>IFERROR(__xludf.DUMMYFUNCTION("""COMPUTED_VALUE"""),"Nguyễn Lê Khánh Ly; Huỳnh Bạch Phát Đạt; Lưu Gia Bảo; Nguyễn Anh Nhi")</f>
        <v>Nguyễn Lê Khánh Ly; Huỳnh Bạch Phát Đạt; Lưu Gia Bảo; Nguyễn Anh Nhi</v>
      </c>
      <c r="E131" s="4" t="str">
        <f>IFERROR(__xludf.DUMMYFUNCTION("""COMPUTED_VALUE"""),"Trường Đại học Mở TP. Hồ Chí Minh")</f>
        <v>Trường Đại học Mở TP. Hồ Chí Minh</v>
      </c>
      <c r="F131" s="4" t="str">
        <f>IFERROR(__xludf.DUMMYFUNCTION("""COMPUTED_VALUE"""),"KHXH2026-130.png")</f>
        <v>KHXH2026-130.png</v>
      </c>
    </row>
    <row r="132">
      <c r="A132" s="4" t="str">
        <f>IFERROR(__xludf.DUMMYFUNCTION("""COMPUTED_VALUE"""),"KHXH2026-131")</f>
        <v>KHXH2026-131</v>
      </c>
      <c r="B132" s="4" t="str">
        <f>IFERROR(__xludf.DUMMYFUNCTION("""COMPUTED_VALUE"""),"Khoa học xã hội")</f>
        <v>Khoa học xã hội</v>
      </c>
      <c r="C132" s="4" t="str">
        <f>IFERROR(__xludf.DUMMYFUNCTION("""COMPUTED_VALUE"""),"Patterns and Experiences: Multi-Clause Sentences in Academic Writing by English-majored Freshmen")</f>
        <v>Patterns and Experiences: Multi-Clause Sentences in Academic Writing by English-majored Freshmen</v>
      </c>
      <c r="D132" s="4" t="str">
        <f>IFERROR(__xludf.DUMMYFUNCTION("""COMPUTED_VALUE"""),"Trần Bảo Trân; Phan Lê Hà Vy")</f>
        <v>Trần Bảo Trân; Phan Lê Hà Vy</v>
      </c>
      <c r="E132" s="4" t="str">
        <f>IFERROR(__xludf.DUMMYFUNCTION("""COMPUTED_VALUE"""),"Trường Đại học Mở TP. Hồ Chí Minh")</f>
        <v>Trường Đại học Mở TP. Hồ Chí Minh</v>
      </c>
      <c r="F132" s="4" t="str">
        <f>IFERROR(__xludf.DUMMYFUNCTION("""COMPUTED_VALUE"""),"KHXH2026-131.png")</f>
        <v>KHXH2026-131.png</v>
      </c>
    </row>
    <row r="133">
      <c r="A133" s="4" t="str">
        <f>IFERROR(__xludf.DUMMYFUNCTION("""COMPUTED_VALUE"""),"KHXH2026-132")</f>
        <v>KHXH2026-132</v>
      </c>
      <c r="B133" s="4" t="str">
        <f>IFERROR(__xludf.DUMMYFUNCTION("""COMPUTED_VALUE"""),"Khoa học xã hội")</f>
        <v>Khoa học xã hội</v>
      </c>
      <c r="C133" s="4" t="str">
        <f>IFERROR(__xludf.DUMMYFUNCTION("""COMPUTED_VALUE"""),"KHẢO SÁT THỰC TRẠNG TỰ NHẬN THỨC CỦA SINH VIÊN NGÀNH NGÔN NGỮ TRUNG QUỐC TRONG VIỆC HỌC PHÁT ÂM THÔNG QUA MẠNG XÃ HỘI")</f>
        <v>KHẢO SÁT THỰC TRẠNG TỰ NHẬN THỨC CỦA SINH VIÊN NGÀNH NGÔN NGỮ TRUNG QUỐC TRONG VIỆC HỌC PHÁT ÂM THÔNG QUA MẠNG XÃ HỘI</v>
      </c>
      <c r="D133" s="4" t="str">
        <f>IFERROR(__xludf.DUMMYFUNCTION("""COMPUTED_VALUE"""),"Trần Thị Tuyết Anh; Đỗ Thị Bích Thật; Nguyễn Nhật Lam")</f>
        <v>Trần Thị Tuyết Anh; Đỗ Thị Bích Thật; Nguyễn Nhật Lam</v>
      </c>
      <c r="E133" s="4" t="str">
        <f>IFERROR(__xludf.DUMMYFUNCTION("""COMPUTED_VALUE"""),"Trường Đại học Văn Hiến")</f>
        <v>Trường Đại học Văn Hiến</v>
      </c>
      <c r="F133" s="4" t="str">
        <f>IFERROR(__xludf.DUMMYFUNCTION("""COMPUTED_VALUE"""),"KHXH2026-132.png")</f>
        <v>KHXH2026-132.png</v>
      </c>
    </row>
    <row r="134">
      <c r="A134" s="4" t="str">
        <f>IFERROR(__xludf.DUMMYFUNCTION("""COMPUTED_VALUE"""),"KHXH2026-133")</f>
        <v>KHXH2026-133</v>
      </c>
      <c r="B134" s="4" t="str">
        <f>IFERROR(__xludf.DUMMYFUNCTION("""COMPUTED_VALUE"""),"Khoa học xã hội")</f>
        <v>Khoa học xã hội</v>
      </c>
      <c r="C134" s="4" t="str">
        <f>IFERROR(__xludf.DUMMYFUNCTION("""COMPUTED_VALUE"""),"Dự đoán ý định của học sinh Việt Nam trong việc sử dụng ứng dụng học từ vựng: Phân tích hồi quy tuyến tính (Predicting Vietnamese Students' Intention to Use Mobile Game-Bas ed Vocabulary Learning Applications: A Multiple Regression Study)")</f>
        <v>Dự đoán ý định của học sinh Việt Nam trong việc sử dụng ứng dụng học từ vựng: Phân tích hồi quy tuyến tính (Predicting Vietnamese Students' Intention to Use Mobile Game-Bas ed Vocabulary Learning Applications: A Multiple Regression Study)</v>
      </c>
      <c r="D134" s="4" t="str">
        <f>IFERROR(__xludf.DUMMYFUNCTION("""COMPUTED_VALUE"""),"Huỳnh Minh Thư")</f>
        <v>Huỳnh Minh Thư</v>
      </c>
      <c r="E134" s="4" t="str">
        <f>IFERROR(__xludf.DUMMYFUNCTION("""COMPUTED_VALUE"""),"Trường Đại học Mở TP. Hồ Chí Minh")</f>
        <v>Trường Đại học Mở TP. Hồ Chí Minh</v>
      </c>
      <c r="F134" s="4" t="str">
        <f>IFERROR(__xludf.DUMMYFUNCTION("""COMPUTED_VALUE"""),"KHXH2026-133.png")</f>
        <v>KHXH2026-133.png</v>
      </c>
    </row>
    <row r="135">
      <c r="A135" s="4" t="str">
        <f>IFERROR(__xludf.DUMMYFUNCTION("""COMPUTED_VALUE"""),"KHXH2026-134")</f>
        <v>KHXH2026-134</v>
      </c>
      <c r="B135" s="4" t="str">
        <f>IFERROR(__xludf.DUMMYFUNCTION("""COMPUTED_VALUE"""),"Khoa học xã hội")</f>
        <v>Khoa học xã hội</v>
      </c>
      <c r="C135" s="4" t="str">
        <f>IFERROR(__xludf.DUMMYFUNCTION("""COMPUTED_VALUE"""),"KHẢO SÁT TÌNH TRẠNG SỬ DỤNG CHATGPT TRONG HOẠT ĐỘNG DỊCH THUẬT TIẾNG TRUNG QUỐC")</f>
        <v>KHẢO SÁT TÌNH TRẠNG SỬ DỤNG CHATGPT TRONG HOẠT ĐỘNG DỊCH THUẬT TIẾNG TRUNG QUỐC</v>
      </c>
      <c r="D135" s="4" t="str">
        <f>IFERROR(__xludf.DUMMYFUNCTION("""COMPUTED_VALUE"""),"Huỳnh Thị Nhẫn; Nguyễn Thị Mỹ Hân; Trần Mỹ Phượng; Nguyễn Hoàng Ánh")</f>
        <v>Huỳnh Thị Nhẫn; Nguyễn Thị Mỹ Hân; Trần Mỹ Phượng; Nguyễn Hoàng Ánh</v>
      </c>
      <c r="E135" s="4" t="str">
        <f>IFERROR(__xludf.DUMMYFUNCTION("""COMPUTED_VALUE"""),"Trường Đại học Văn Hiến")</f>
        <v>Trường Đại học Văn Hiến</v>
      </c>
      <c r="F135" s="4" t="str">
        <f>IFERROR(__xludf.DUMMYFUNCTION("""COMPUTED_VALUE"""),"KHXH2026-134.png")</f>
        <v>KHXH2026-134.png</v>
      </c>
    </row>
    <row r="136">
      <c r="A136" s="4" t="str">
        <f>IFERROR(__xludf.DUMMYFUNCTION("""COMPUTED_VALUE"""),"KHXH2026-135")</f>
        <v>KHXH2026-135</v>
      </c>
      <c r="B136" s="4" t="str">
        <f>IFERROR(__xludf.DUMMYFUNCTION("""COMPUTED_VALUE"""),"Khoa học xã hội")</f>
        <v>Khoa học xã hội</v>
      </c>
      <c r="C136" s="4" t="str">
        <f>IFERROR(__xludf.DUMMYFUNCTION("""COMPUTED_VALUE"""),"KHÓ KHĂN VÀ GIẢI PHÁP TRONG ĐỌC HIỂU TÀI LIỆU DƯỢC KHOA BẰNG TIẾNG ANH CHUYÊN NGÀNH CỦA SINH VIÊN NGÀNH DƯỢC")</f>
        <v>KHÓ KHĂN VÀ GIẢI PHÁP TRONG ĐỌC HIỂU TÀI LIỆU DƯỢC KHOA BẰNG TIẾNG ANH CHUYÊN NGÀNH CỦA SINH VIÊN NGÀNH DƯỢC</v>
      </c>
      <c r="D136" s="4" t="str">
        <f>IFERROR(__xludf.DUMMYFUNCTION("""COMPUTED_VALUE"""),"Nguyễn Thị Trà My; Nguyễn Đoàn Bảo Ngọc; Phan Nguyễn Trãi")</f>
        <v>Nguyễn Thị Trà My; Nguyễn Đoàn Bảo Ngọc; Phan Nguyễn Trãi</v>
      </c>
      <c r="E136" s="4" t="str">
        <f>IFERROR(__xludf.DUMMYFUNCTION("""COMPUTED_VALUE"""),"Trường Đại học Công nghệ Miền Đông")</f>
        <v>Trường Đại học Công nghệ Miền Đông</v>
      </c>
      <c r="F136" s="4" t="str">
        <f>IFERROR(__xludf.DUMMYFUNCTION("""COMPUTED_VALUE"""),"KHXH2026-135.png")</f>
        <v>KHXH2026-135.png</v>
      </c>
    </row>
    <row r="137">
      <c r="A137" s="4" t="str">
        <f>IFERROR(__xludf.DUMMYFUNCTION("""COMPUTED_VALUE"""),"KHXH2026-136")</f>
        <v>KHXH2026-136</v>
      </c>
      <c r="B137" s="4" t="str">
        <f>IFERROR(__xludf.DUMMYFUNCTION("""COMPUTED_VALUE"""),"Khoa học xã hội")</f>
        <v>Khoa học xã hội</v>
      </c>
      <c r="C137" s="4" t="str">
        <f>IFERROR(__xludf.DUMMYFUNCTION("""COMPUTED_VALUE"""),"Khảo sát về ảnh hưởng của hai phụ âm /ʈ /và /c/ trong tiếng Việt của sinh viên Trường Đại học Văn Hiến sống ở khu vực Đồng Bằng Sông Cửu Long lên phát âm của hai phụ âm /t∫/ và /dʒ/ trong tiếng Anh")</f>
        <v>Khảo sát về ảnh hưởng của hai phụ âm /ʈ /và /c/ trong tiếng Việt của sinh viên Trường Đại học Văn Hiến sống ở khu vực Đồng Bằng Sông Cửu Long lên phát âm của hai phụ âm /t∫/ và /dʒ/ trong tiếng Anh</v>
      </c>
      <c r="D137" s="4" t="str">
        <f>IFERROR(__xludf.DUMMYFUNCTION("""COMPUTED_VALUE"""),"Nguyễn Đại Nguyên; Huỳnh Anh Thư; Phan Nguyễn Minh Thư; Huỳnh Ngọc Kiều My; Triệu Thị Yến Nhi")</f>
        <v>Nguyễn Đại Nguyên; Huỳnh Anh Thư; Phan Nguyễn Minh Thư; Huỳnh Ngọc Kiều My; Triệu Thị Yến Nhi</v>
      </c>
      <c r="E137" s="4" t="str">
        <f>IFERROR(__xludf.DUMMYFUNCTION("""COMPUTED_VALUE"""),"Trường Đại học Văn Hiến")</f>
        <v>Trường Đại học Văn Hiến</v>
      </c>
      <c r="F137" s="4" t="str">
        <f>IFERROR(__xludf.DUMMYFUNCTION("""COMPUTED_VALUE"""),"KHXH2026-136.png")</f>
        <v>KHXH2026-136.png</v>
      </c>
    </row>
    <row r="138">
      <c r="A138" s="4" t="str">
        <f>IFERROR(__xludf.DUMMYFUNCTION("""COMPUTED_VALUE"""),"KHXH2026-137")</f>
        <v>KHXH2026-137</v>
      </c>
      <c r="B138" s="4" t="str">
        <f>IFERROR(__xludf.DUMMYFUNCTION("""COMPUTED_VALUE"""),"Khoa học xã hội")</f>
        <v>Khoa học xã hội</v>
      </c>
      <c r="C138" s="4" t="str">
        <f>IFERROR(__xludf.DUMMYFUNCTION("""COMPUTED_VALUE"""),"KHẢO SÁT NHU CẦU HỌC TIẾNG TRUNG VÀ NHU CẦU TÌM HIỂU CƠ HỘI HỌC TẬP TẠI TRUNG QUỐC CỦA SINH VIÊN KHÔNG CHUYÊN Ở THÀNH PHỐ HỒ CHÍ MINH")</f>
        <v>KHẢO SÁT NHU CẦU HỌC TIẾNG TRUNG VÀ NHU CẦU TÌM HIỂU CƠ HỘI HỌC TẬP TẠI TRUNG QUỐC CỦA SINH VIÊN KHÔNG CHUYÊN Ở THÀNH PHỐ HỒ CHÍ MINH</v>
      </c>
      <c r="D138" s="4" t="str">
        <f>IFERROR(__xludf.DUMMYFUNCTION("""COMPUTED_VALUE"""),"Chế Thị Trà Mi; Nguyễn La Diễm Quỳnh")</f>
        <v>Chế Thị Trà Mi; Nguyễn La Diễm Quỳnh</v>
      </c>
      <c r="E138" s="4" t="str">
        <f>IFERROR(__xludf.DUMMYFUNCTION("""COMPUTED_VALUE"""),"Trường Đại học Văn Hiến")</f>
        <v>Trường Đại học Văn Hiến</v>
      </c>
      <c r="F138" s="4" t="str">
        <f>IFERROR(__xludf.DUMMYFUNCTION("""COMPUTED_VALUE"""),"KHXH2026-137.png")</f>
        <v>KHXH2026-137.png</v>
      </c>
    </row>
    <row r="139">
      <c r="A139" s="4" t="str">
        <f>IFERROR(__xludf.DUMMYFUNCTION("""COMPUTED_VALUE"""),"KHXH2026-138")</f>
        <v>KHXH2026-138</v>
      </c>
      <c r="B139" s="4" t="str">
        <f>IFERROR(__xludf.DUMMYFUNCTION("""COMPUTED_VALUE"""),"Khoa học xã hội")</f>
        <v>Khoa học xã hội</v>
      </c>
      <c r="C139" s="4" t="str">
        <f>IFERROR(__xludf.DUMMYFUNCTION("""COMPUTED_VALUE"""),"Ảnh hưởng của Kỹ thuật Viết Prompt đối với Hiệu suất làm bài IELTS Writing Task 2 của sinh viên chuyên ngành tiếng Anh tại Trường Đại Học Văn Hiến")</f>
        <v>Ảnh hưởng của Kỹ thuật Viết Prompt đối với Hiệu suất làm bài IELTS Writing Task 2 của sinh viên chuyên ngành tiếng Anh tại Trường Đại Học Văn Hiến</v>
      </c>
      <c r="D139" s="4" t="str">
        <f>IFERROR(__xludf.DUMMYFUNCTION("""COMPUTED_VALUE"""),"Bành Thị Mỹ Ngọc")</f>
        <v>Bành Thị Mỹ Ngọc</v>
      </c>
      <c r="E139" s="4" t="str">
        <f>IFERROR(__xludf.DUMMYFUNCTION("""COMPUTED_VALUE"""),"Trường Đại học Văn Hiến")</f>
        <v>Trường Đại học Văn Hiến</v>
      </c>
      <c r="F139" s="4" t="str">
        <f>IFERROR(__xludf.DUMMYFUNCTION("""COMPUTED_VALUE"""),"KHXH2026-138.png")</f>
        <v>KHXH2026-138.png</v>
      </c>
    </row>
    <row r="140">
      <c r="A140" s="4" t="str">
        <f>IFERROR(__xludf.DUMMYFUNCTION("""COMPUTED_VALUE"""),"KHXH2026-139")</f>
        <v>KHXH2026-139</v>
      </c>
      <c r="B140" s="4" t="str">
        <f>IFERROR(__xludf.DUMMYFUNCTION("""COMPUTED_VALUE"""),"Khoa học xã hội")</f>
        <v>Khoa học xã hội</v>
      </c>
      <c r="C140" s="4" t="str">
        <f>IFERROR(__xludf.DUMMYFUNCTION("""COMPUTED_VALUE"""),"Ứng dụng trí tuệ nhân tạo (AI) trong việc học tập kỹ năng viết Tiếng Trung")</f>
        <v>Ứng dụng trí tuệ nhân tạo (AI) trong việc học tập kỹ năng viết Tiếng Trung</v>
      </c>
      <c r="D140" s="4" t="str">
        <f>IFERROR(__xludf.DUMMYFUNCTION("""COMPUTED_VALUE"""),"Lê Đào Việt Hân")</f>
        <v>Lê Đào Việt Hân</v>
      </c>
      <c r="E140" s="4" t="str">
        <f>IFERROR(__xludf.DUMMYFUNCTION("""COMPUTED_VALUE"""),"Trường Đại học Văn Hiến")</f>
        <v>Trường Đại học Văn Hiến</v>
      </c>
      <c r="F140" s="4" t="str">
        <f>IFERROR(__xludf.DUMMYFUNCTION("""COMPUTED_VALUE"""),"KHXH2026-139.png")</f>
        <v>KHXH2026-139.png</v>
      </c>
    </row>
    <row r="141">
      <c r="A141" s="4" t="str">
        <f>IFERROR(__xludf.DUMMYFUNCTION("""COMPUTED_VALUE"""),"KHXH2026-140")</f>
        <v>KHXH2026-140</v>
      </c>
      <c r="B141" s="4" t="str">
        <f>IFERROR(__xludf.DUMMYFUNCTION("""COMPUTED_VALUE"""),"Khoa học xã hội")</f>
        <v>Khoa học xã hội</v>
      </c>
      <c r="C141" s="4" t="str">
        <f>IFERROR(__xludf.DUMMYFUNCTION("""COMPUTED_VALUE"""),"Nghiên cứu sự tiếp nhận văn hóa Trung Quốc của sinh viên ngành ngôn ngữ Trung Quốc thông qua nền tản tiktok và các sản phẩm phim ảnh")</f>
        <v>Nghiên cứu sự tiếp nhận văn hóa Trung Quốc của sinh viên ngành ngôn ngữ Trung Quốc thông qua nền tản tiktok và các sản phẩm phim ảnh</v>
      </c>
      <c r="D141" s="4" t="str">
        <f>IFERROR(__xludf.DUMMYFUNCTION("""COMPUTED_VALUE"""),"Chung Thanh Hoài")</f>
        <v>Chung Thanh Hoài</v>
      </c>
      <c r="E141" s="4" t="str">
        <f>IFERROR(__xludf.DUMMYFUNCTION("""COMPUTED_VALUE"""),"Trường Đại học Văn Hiến")</f>
        <v>Trường Đại học Văn Hiến</v>
      </c>
      <c r="F141" s="4" t="str">
        <f>IFERROR(__xludf.DUMMYFUNCTION("""COMPUTED_VALUE"""),"KHXH2026-140.png")</f>
        <v>KHXH2026-140.png</v>
      </c>
    </row>
    <row r="142">
      <c r="A142" s="4" t="str">
        <f>IFERROR(__xludf.DUMMYFUNCTION("""COMPUTED_VALUE"""),"KHXH2026-141")</f>
        <v>KHXH2026-141</v>
      </c>
      <c r="B142" s="4" t="str">
        <f>IFERROR(__xludf.DUMMYFUNCTION("""COMPUTED_VALUE"""),"Khoa học xã hội")</f>
        <v>Khoa học xã hội</v>
      </c>
      <c r="C142" s="4" t="str">
        <f>IFERROR(__xludf.DUMMYFUNCTION("""COMPUTED_VALUE"""),"DIỄN NGÔN VỀ TÍN NGƯỠNG THỜ MẪU TRÊN KHÔNG GIAN MẠNG TỪ GÓC NHÌN NGÔN NGỮ HỌC VĂN HÓA")</f>
        <v>DIỄN NGÔN VỀ TÍN NGƯỠNG THỜ MẪU TRÊN KHÔNG GIAN MẠNG TỪ GÓC NHÌN NGÔN NGỮ HỌC VĂN HÓA</v>
      </c>
      <c r="D142" s="4" t="str">
        <f>IFERROR(__xludf.DUMMYFUNCTION("""COMPUTED_VALUE"""),"Phùng Quang Vinh; Nguyễn Văn Thạch; Nguyễn Thị Khánh Ly; Nguyễn Hồ Mỹ Đức; Nguyễn Ngọc Trân")</f>
        <v>Phùng Quang Vinh; Nguyễn Văn Thạch; Nguyễn Thị Khánh Ly; Nguyễn Hồ Mỹ Đức; Nguyễn Ngọc Trân</v>
      </c>
      <c r="E142" s="4" t="str">
        <f>IFERROR(__xludf.DUMMYFUNCTION("""COMPUTED_VALUE"""),"Trường Đại học Sài Gòn")</f>
        <v>Trường Đại học Sài Gòn</v>
      </c>
      <c r="F142" s="4" t="str">
        <f>IFERROR(__xludf.DUMMYFUNCTION("""COMPUTED_VALUE"""),"KHXH2026-141.png")</f>
        <v>KHXH2026-141.png</v>
      </c>
    </row>
    <row r="143">
      <c r="A143" s="4" t="str">
        <f>IFERROR(__xludf.DUMMYFUNCTION("""COMPUTED_VALUE"""),"KHXH2026-142")</f>
        <v>KHXH2026-142</v>
      </c>
      <c r="B143" s="4" t="str">
        <f>IFERROR(__xludf.DUMMYFUNCTION("""COMPUTED_VALUE"""),"Khoa học xã hội")</f>
        <v>Khoa học xã hội</v>
      </c>
      <c r="C143" s="4" t="str">
        <f>IFERROR(__xludf.DUMMYFUNCTION("""COMPUTED_VALUE"""),"Thái độ của sinh viên một số trường đại học tại Thành phố Hồ Chí Minh đối với việc sử dụng tiếng Việt trên mạng xã hội của giới trẻ hiện nay")</f>
        <v>Thái độ của sinh viên một số trường đại học tại Thành phố Hồ Chí Minh đối với việc sử dụng tiếng Việt trên mạng xã hội của giới trẻ hiện nay</v>
      </c>
      <c r="D143" s="4" t="str">
        <f>IFERROR(__xludf.DUMMYFUNCTION("""COMPUTED_VALUE"""),"Lương Lê Minh Thư; Nguyễn Minh Ngọc; Trần Triệu Vy; Phạm Ngọc Yến; Nguyễn Thị Hoàng Hà")</f>
        <v>Lương Lê Minh Thư; Nguyễn Minh Ngọc; Trần Triệu Vy; Phạm Ngọc Yến; Nguyễn Thị Hoàng Hà</v>
      </c>
      <c r="E143" s="4" t="str">
        <f>IFERROR(__xludf.DUMMYFUNCTION("""COMPUTED_VALUE"""),"Trường Đại học Khoa học xã hội và Nhân văn, ĐHQG-HCM")</f>
        <v>Trường Đại học Khoa học xã hội và Nhân văn, ĐHQG-HCM</v>
      </c>
      <c r="F143" s="4" t="str">
        <f>IFERROR(__xludf.DUMMYFUNCTION("""COMPUTED_VALUE"""),"KHXH2026-142.png")</f>
        <v>KHXH2026-142.png</v>
      </c>
    </row>
    <row r="144">
      <c r="A144" s="4" t="str">
        <f>IFERROR(__xludf.DUMMYFUNCTION("""COMPUTED_VALUE"""),"KHXH2026-143")</f>
        <v>KHXH2026-143</v>
      </c>
      <c r="B144" s="4" t="str">
        <f>IFERROR(__xludf.DUMMYFUNCTION("""COMPUTED_VALUE"""),"Khoa học xã hội")</f>
        <v>Khoa học xã hội</v>
      </c>
      <c r="C144" s="4" t="str">
        <f>IFERROR(__xludf.DUMMYFUNCTION("""COMPUTED_VALUE"""),"Exploring English-Majored Sophomore Students’ Coping Strategies for Managing Impromptu Speaking Anxiety at HUFLIT")</f>
        <v>Exploring English-Majored Sophomore Students’ Coping Strategies for Managing Impromptu Speaking Anxiety at HUFLIT</v>
      </c>
      <c r="D144" s="4" t="str">
        <f>IFERROR(__xludf.DUMMYFUNCTION("""COMPUTED_VALUE"""),"Nguyễn Thị Huỳnh Anh")</f>
        <v>Nguyễn Thị Huỳnh Anh</v>
      </c>
      <c r="E144" s="4" t="str">
        <f>IFERROR(__xludf.DUMMYFUNCTION("""COMPUTED_VALUE"""),"Trường Đại học Ngoại ngữ - Tin học TP. Hồ Chí Minh")</f>
        <v>Trường Đại học Ngoại ngữ - Tin học TP. Hồ Chí Minh</v>
      </c>
      <c r="F144" s="4" t="str">
        <f>IFERROR(__xludf.DUMMYFUNCTION("""COMPUTED_VALUE"""),"KHXH2026-143.png")</f>
        <v>KHXH2026-143.png</v>
      </c>
    </row>
    <row r="145">
      <c r="A145" s="4" t="str">
        <f>IFERROR(__xludf.DUMMYFUNCTION("""COMPUTED_VALUE"""),"KHXH2026-144")</f>
        <v>KHXH2026-144</v>
      </c>
      <c r="B145" s="4" t="str">
        <f>IFERROR(__xludf.DUMMYFUNCTION("""COMPUTED_VALUE"""),"Khoa học xã hội")</f>
        <v>Khoa học xã hội</v>
      </c>
      <c r="C145" s="4" t="str">
        <f>IFERROR(__xludf.DUMMYFUNCTION("""COMPUTED_VALUE"""),"The Impacts of English Information Literacy on University Students' Ability to Detect Misinformation in Digital Media: Evidence from Vietnam")</f>
        <v>The Impacts of English Information Literacy on University Students' Ability to Detect Misinformation in Digital Media: Evidence from Vietnam</v>
      </c>
      <c r="D145" s="4" t="str">
        <f>IFERROR(__xludf.DUMMYFUNCTION("""COMPUTED_VALUE"""),"Tiêu Triệu Vy; Lê Thị Nhật Vy")</f>
        <v>Tiêu Triệu Vy; Lê Thị Nhật Vy</v>
      </c>
      <c r="E145" s="4" t="str">
        <f>IFERROR(__xludf.DUMMYFUNCTION("""COMPUTED_VALUE"""),"Trường Đại học Ngoại ngữ - Tin học TP. Hồ Chí Minh")</f>
        <v>Trường Đại học Ngoại ngữ - Tin học TP. Hồ Chí Minh</v>
      </c>
      <c r="F145" s="4" t="str">
        <f>IFERROR(__xludf.DUMMYFUNCTION("""COMPUTED_VALUE"""),"KHXH2026-144.png")</f>
        <v>KHXH2026-144.png</v>
      </c>
    </row>
    <row r="146">
      <c r="A146" s="4" t="str">
        <f>IFERROR(__xludf.DUMMYFUNCTION("""COMPUTED_VALUE"""),"KHXH2026-145")</f>
        <v>KHXH2026-145</v>
      </c>
      <c r="B146" s="4" t="str">
        <f>IFERROR(__xludf.DUMMYFUNCTION("""COMPUTED_VALUE"""),"Khoa học xã hội")</f>
        <v>Khoa học xã hội</v>
      </c>
      <c r="C146" s="4" t="str">
        <f>IFERROR(__xludf.DUMMYFUNCTION("""COMPUTED_VALUE"""),"MỐI TƯƠNG QUAN GIỮA THÁI ĐỘ CỦA SINH VIÊN CHUYÊN NGÀNH NGÔN NGỮ ANH VỚI SỰ TỰ NGUYỆN THAM GIA HOẠT ĐỘNG ĐÓNG VAI TRONG GIỜ HỌC")</f>
        <v>MỐI TƯƠNG QUAN GIỮA THÁI ĐỘ CỦA SINH VIÊN CHUYÊN NGÀNH NGÔN NGỮ ANH VỚI SỰ TỰ NGUYỆN THAM GIA HOẠT ĐỘNG ĐÓNG VAI TRONG GIỜ HỌC</v>
      </c>
      <c r="D146" s="4" t="str">
        <f>IFERROR(__xludf.DUMMYFUNCTION("""COMPUTED_VALUE"""),"Nguyễn Thùy Phương; Huỳnh Như Ngọc")</f>
        <v>Nguyễn Thùy Phương; Huỳnh Như Ngọc</v>
      </c>
      <c r="E146" s="4" t="str">
        <f>IFERROR(__xludf.DUMMYFUNCTION("""COMPUTED_VALUE"""),"Trường Đại học Sài Gòn")</f>
        <v>Trường Đại học Sài Gòn</v>
      </c>
      <c r="F146" s="4" t="str">
        <f>IFERROR(__xludf.DUMMYFUNCTION("""COMPUTED_VALUE"""),"KHXH2026-145.png")</f>
        <v>KHXH2026-145.png</v>
      </c>
    </row>
    <row r="147">
      <c r="A147" s="4" t="str">
        <f>IFERROR(__xludf.DUMMYFUNCTION("""COMPUTED_VALUE"""),"KHXH2026-146")</f>
        <v>KHXH2026-146</v>
      </c>
      <c r="B147" s="4" t="str">
        <f>IFERROR(__xludf.DUMMYFUNCTION("""COMPUTED_VALUE"""),"Khoa học xã hội")</f>
        <v>Khoa học xã hội</v>
      </c>
      <c r="C147" s="4" t="str">
        <f>IFERROR(__xludf.DUMMYFUNCTION("""COMPUTED_VALUE"""),"Nghiên cứu ảnh hưởng của lo âu trong giao tiếp tiếng Trung đến hiệu quả giao tiếp của sinh viên năm 1 và năm 2 ngành Ngôn Ngữ Trung Quốc")</f>
        <v>Nghiên cứu ảnh hưởng của lo âu trong giao tiếp tiếng Trung đến hiệu quả giao tiếp của sinh viên năm 1 và năm 2 ngành Ngôn Ngữ Trung Quốc</v>
      </c>
      <c r="D147" s="4" t="str">
        <f>IFERROR(__xludf.DUMMYFUNCTION("""COMPUTED_VALUE"""),"Vũ Phương Như")</f>
        <v>Vũ Phương Như</v>
      </c>
      <c r="E147" s="4" t="str">
        <f>IFERROR(__xludf.DUMMYFUNCTION("""COMPUTED_VALUE"""),"Trường Đại học Thủ Dầu Một")</f>
        <v>Trường Đại học Thủ Dầu Một</v>
      </c>
      <c r="F147" s="4" t="str">
        <f>IFERROR(__xludf.DUMMYFUNCTION("""COMPUTED_VALUE"""),"KHXH2026-146.png")</f>
        <v>KHXH2026-146.png</v>
      </c>
    </row>
    <row r="148">
      <c r="A148" s="4" t="str">
        <f>IFERROR(__xludf.DUMMYFUNCTION("""COMPUTED_VALUE"""),"KHXH2026-147")</f>
        <v>KHXH2026-147</v>
      </c>
      <c r="B148" s="4" t="str">
        <f>IFERROR(__xludf.DUMMYFUNCTION("""COMPUTED_VALUE"""),"Khoa học xã hội")</f>
        <v>Khoa học xã hội</v>
      </c>
      <c r="C148" s="4" t="str">
        <f>IFERROR(__xludf.DUMMYFUNCTION("""COMPUTED_VALUE"""),"Xây dựng và ứng dụng “Cây từ vựng Hán Việt HSK 3.0” cho sinh viên năm 2 ngành Ngôn Ngữ Trung Quốc")</f>
        <v>Xây dựng và ứng dụng “Cây từ vựng Hán Việt HSK 3.0” cho sinh viên năm 2 ngành Ngôn Ngữ Trung Quốc</v>
      </c>
      <c r="D148" s="4" t="str">
        <f>IFERROR(__xludf.DUMMYFUNCTION("""COMPUTED_VALUE"""),"Nguyễn Thị Cẩm Bình")</f>
        <v>Nguyễn Thị Cẩm Bình</v>
      </c>
      <c r="E148" s="4" t="str">
        <f>IFERROR(__xludf.DUMMYFUNCTION("""COMPUTED_VALUE"""),"Trường Đại học Thủ Dầu Một")</f>
        <v>Trường Đại học Thủ Dầu Một</v>
      </c>
      <c r="F148" s="4" t="str">
        <f>IFERROR(__xludf.DUMMYFUNCTION("""COMPUTED_VALUE"""),"KHXH2026-147.png")</f>
        <v>KHXH2026-147.png</v>
      </c>
    </row>
    <row r="149">
      <c r="A149" s="4" t="str">
        <f>IFERROR(__xludf.DUMMYFUNCTION("""COMPUTED_VALUE"""),"KHXH2026-148")</f>
        <v>KHXH2026-148</v>
      </c>
      <c r="B149" s="4" t="str">
        <f>IFERROR(__xludf.DUMMYFUNCTION("""COMPUTED_VALUE"""),"Khoa học xã hội")</f>
        <v>Khoa học xã hội</v>
      </c>
      <c r="C149" s="4" t="str">
        <f>IFERROR(__xludf.DUMMYFUNCTION("""COMPUTED_VALUE"""),"Exploring University Students' Perceptions of Research-Based Learning Activities on Vocabulary Acquisition: A Mixed-Methods Study")</f>
        <v>Exploring University Students' Perceptions of Research-Based Learning Activities on Vocabulary Acquisition: A Mixed-Methods Study</v>
      </c>
      <c r="D149" s="4" t="str">
        <f>IFERROR(__xludf.DUMMYFUNCTION("""COMPUTED_VALUE"""),"Phạm Quỳnh Như; Trần Đăng Huy")</f>
        <v>Phạm Quỳnh Như; Trần Đăng Huy</v>
      </c>
      <c r="E149" s="4" t="str">
        <f>IFERROR(__xludf.DUMMYFUNCTION("""COMPUTED_VALUE"""),"Trường Đại học FPT")</f>
        <v>Trường Đại học FPT</v>
      </c>
      <c r="F149" s="4" t="str">
        <f>IFERROR(__xludf.DUMMYFUNCTION("""COMPUTED_VALUE"""),"KHXH2026-148.png")</f>
        <v>KHXH2026-148.png</v>
      </c>
    </row>
    <row r="150">
      <c r="A150" s="4" t="str">
        <f>IFERROR(__xludf.DUMMYFUNCTION("""COMPUTED_VALUE"""),"KHXH2026-149")</f>
        <v>KHXH2026-149</v>
      </c>
      <c r="B150" s="4" t="str">
        <f>IFERROR(__xludf.DUMMYFUNCTION("""COMPUTED_VALUE"""),"Khoa học xã hội")</f>
        <v>Khoa học xã hội</v>
      </c>
      <c r="C150" s="4" t="str">
        <f>IFERROR(__xludf.DUMMYFUNCTION("""COMPUTED_VALUE"""),"Phân tích yếu tố văn hóa Nga ảnh hưởng đến quá trình thụ đắc từ vựng của sinh viên Khoa Tiếng Nga")</f>
        <v>Phân tích yếu tố văn hóa Nga ảnh hưởng đến quá trình thụ đắc từ vựng của sinh viên Khoa Tiếng Nga</v>
      </c>
      <c r="D150" s="4" t="str">
        <f>IFERROR(__xludf.DUMMYFUNCTION("""COMPUTED_VALUE"""),"Đào Thị Ngọc Hân; Nguyễn Hoàng Ánh Thy; Huỳnh Bảo Trân")</f>
        <v>Đào Thị Ngọc Hân; Nguyễn Hoàng Ánh Thy; Huỳnh Bảo Trân</v>
      </c>
      <c r="E150" s="4" t="str">
        <f>IFERROR(__xludf.DUMMYFUNCTION("""COMPUTED_VALUE"""),"Trường Đại học Sư phạm TP. Hồ Chí Minh")</f>
        <v>Trường Đại học Sư phạm TP. Hồ Chí Minh</v>
      </c>
      <c r="F150" s="4" t="str">
        <f>IFERROR(__xludf.DUMMYFUNCTION("""COMPUTED_VALUE"""),"KHXH2026-149.png")</f>
        <v>KHXH2026-149.png</v>
      </c>
    </row>
    <row r="151">
      <c r="A151" s="4" t="str">
        <f>IFERROR(__xludf.DUMMYFUNCTION("""COMPUTED_VALUE"""),"KHXH2026-150")</f>
        <v>KHXH2026-150</v>
      </c>
      <c r="B151" s="4" t="str">
        <f>IFERROR(__xludf.DUMMYFUNCTION("""COMPUTED_VALUE"""),"Khoa học xã hội")</f>
        <v>Khoa học xã hội</v>
      </c>
      <c r="C151" s="4" t="str">
        <f>IFERROR(__xludf.DUMMYFUNCTION("""COMPUTED_VALUE"""),"So sánh chất lượng dịch Hàn-Việt của các công cụ trí tuệ nhân tạo theo thể loại văn bản: Trường hợp Google Dịch và ChatGPT")</f>
        <v>So sánh chất lượng dịch Hàn-Việt của các công cụ trí tuệ nhân tạo theo thể loại văn bản: Trường hợp Google Dịch và ChatGPT</v>
      </c>
      <c r="D151" s="4" t="str">
        <f>IFERROR(__xludf.DUMMYFUNCTION("""COMPUTED_VALUE"""),"Trần Quốc Hoàng")</f>
        <v>Trần Quốc Hoàng</v>
      </c>
      <c r="E151" s="4" t="str">
        <f>IFERROR(__xludf.DUMMYFUNCTION("""COMPUTED_VALUE"""),"Trường Đại học Hà Nội")</f>
        <v>Trường Đại học Hà Nội</v>
      </c>
      <c r="F151" s="4" t="str">
        <f>IFERROR(__xludf.DUMMYFUNCTION("""COMPUTED_VALUE"""),"KHXH2026-150.png")</f>
        <v>KHXH2026-150.png</v>
      </c>
    </row>
    <row r="152">
      <c r="A152" s="4" t="str">
        <f>IFERROR(__xludf.DUMMYFUNCTION("""COMPUTED_VALUE"""),"KHXH2026-151")</f>
        <v>KHXH2026-151</v>
      </c>
      <c r="B152" s="4" t="str">
        <f>IFERROR(__xludf.DUMMYFUNCTION("""COMPUTED_VALUE"""),"Khoa học xã hội")</f>
        <v>Khoa học xã hội</v>
      </c>
      <c r="C152" s="4" t="str">
        <f>IFERROR(__xludf.DUMMYFUNCTION("""COMPUTED_VALUE"""),"Đối chiếu từ “만나다” trong tiếng Hàn và từ “gặp” trong tiếng Việt bằng phương pháp phân tích quan hệ đồng hiện")</f>
        <v>Đối chiếu từ “만나다” trong tiếng Hàn và từ “gặp” trong tiếng Việt bằng phương pháp phân tích quan hệ đồng hiện</v>
      </c>
      <c r="D152" s="4" t="str">
        <f>IFERROR(__xludf.DUMMYFUNCTION("""COMPUTED_VALUE"""),"Nguyễn Thị Phương Thảo; Vũ Thu Hiền")</f>
        <v>Nguyễn Thị Phương Thảo; Vũ Thu Hiền</v>
      </c>
      <c r="E152" s="4" t="str">
        <f>IFERROR(__xludf.DUMMYFUNCTION("""COMPUTED_VALUE"""),"Trường Đại học Hà Nội")</f>
        <v>Trường Đại học Hà Nội</v>
      </c>
      <c r="F152" s="4" t="str">
        <f>IFERROR(__xludf.DUMMYFUNCTION("""COMPUTED_VALUE"""),"KHXH2026-151.png")</f>
        <v>KHXH2026-151.png</v>
      </c>
    </row>
    <row r="153">
      <c r="A153" s="4" t="str">
        <f>IFERROR(__xludf.DUMMYFUNCTION("""COMPUTED_VALUE"""),"KHXH2026-152")</f>
        <v>KHXH2026-152</v>
      </c>
      <c r="B153" s="4" t="str">
        <f>IFERROR(__xludf.DUMMYFUNCTION("""COMPUTED_VALUE"""),"Khoa học xã hội")</f>
        <v>Khoa học xã hội</v>
      </c>
      <c r="C153" s="4" t="str">
        <f>IFERROR(__xludf.DUMMYFUNCTION("""COMPUTED_VALUE"""),"Đối chiếu chức năng ngữ dụng của “了₂” trong tiếng Hán và các phương thức biểu đạt tương ứng trong Tiếng Việt.")</f>
        <v>Đối chiếu chức năng ngữ dụng của “了₂” trong tiếng Hán và các phương thức biểu đạt tương ứng trong Tiếng Việt.</v>
      </c>
      <c r="D153" s="4" t="str">
        <f>IFERROR(__xludf.DUMMYFUNCTION("""COMPUTED_VALUE"""),"Lê Quốc Anh; Lê Thị Quyên; Trần Quang Anh Vũ; Nguyễn Anh Đức; Nguyễn Nguyệt Ánh")</f>
        <v>Lê Quốc Anh; Lê Thị Quyên; Trần Quang Anh Vũ; Nguyễn Anh Đức; Nguyễn Nguyệt Ánh</v>
      </c>
      <c r="E153" s="4" t="str">
        <f>IFERROR(__xludf.DUMMYFUNCTION("""COMPUTED_VALUE"""),"Trường Đại học Sư phạm Hà Nội 2")</f>
        <v>Trường Đại học Sư phạm Hà Nội 2</v>
      </c>
      <c r="F153" s="4" t="str">
        <f>IFERROR(__xludf.DUMMYFUNCTION("""COMPUTED_VALUE"""),"KHXH2026-152.png")</f>
        <v>KHXH2026-152.png</v>
      </c>
    </row>
    <row r="154">
      <c r="A154" s="4" t="str">
        <f>IFERROR(__xludf.DUMMYFUNCTION("""COMPUTED_VALUE"""),"KHXH2026-153")</f>
        <v>KHXH2026-153</v>
      </c>
      <c r="B154" s="4" t="str">
        <f>IFERROR(__xludf.DUMMYFUNCTION("""COMPUTED_VALUE"""),"Khoa học xã hội")</f>
        <v>Khoa học xã hội</v>
      </c>
      <c r="C154" s="4" t="str">
        <f>IFERROR(__xludf.DUMMYFUNCTION("""COMPUTED_VALUE"""),"Lỗi ngữ pháp của học sinh trung học cơ sở và các đề xuất cải tiến")</f>
        <v>Lỗi ngữ pháp của học sinh trung học cơ sở và các đề xuất cải tiến</v>
      </c>
      <c r="D154" s="4" t="str">
        <f>IFERROR(__xludf.DUMMYFUNCTION("""COMPUTED_VALUE"""),"Phan Kiều Anh Thư; Lê Thị Xuân Mai; Lê Huyền Thương")</f>
        <v>Phan Kiều Anh Thư; Lê Thị Xuân Mai; Lê Huyền Thương</v>
      </c>
      <c r="E154" s="4" t="str">
        <f>IFERROR(__xludf.DUMMYFUNCTION("""COMPUTED_VALUE"""),"Trường Đại học Sư phạm TP. Hồ Chí Minh")</f>
        <v>Trường Đại học Sư phạm TP. Hồ Chí Minh</v>
      </c>
      <c r="F154" s="4" t="str">
        <f>IFERROR(__xludf.DUMMYFUNCTION("""COMPUTED_VALUE"""),"KHXH2026-153.png")</f>
        <v>KHXH2026-153.png</v>
      </c>
    </row>
    <row r="155">
      <c r="A155" s="4" t="str">
        <f>IFERROR(__xludf.DUMMYFUNCTION("""COMPUTED_VALUE"""),"KHXH2026-154")</f>
        <v>KHXH2026-154</v>
      </c>
      <c r="B155" s="4" t="str">
        <f>IFERROR(__xludf.DUMMYFUNCTION("""COMPUTED_VALUE"""),"Khoa học xã hội")</f>
        <v>Khoa học xã hội</v>
      </c>
      <c r="C155" s="4" t="str">
        <f>IFERROR(__xludf.DUMMYFUNCTION("""COMPUTED_VALUE"""),"Biếm hoạ báo chí việt nam từ năm 2020 đến nay dưới góc nhìn ngôn ngữ học")</f>
        <v>Biếm hoạ báo chí việt nam từ năm 2020 đến nay dưới góc nhìn ngôn ngữ học</v>
      </c>
      <c r="D155" s="4" t="str">
        <f>IFERROR(__xludf.DUMMYFUNCTION("""COMPUTED_VALUE"""),"Trần Anh Vũ")</f>
        <v>Trần Anh Vũ</v>
      </c>
      <c r="E155" s="4" t="str">
        <f>IFERROR(__xludf.DUMMYFUNCTION("""COMPUTED_VALUE"""),"Trường Đại học Sư phạm TP. Hồ Chí Minh")</f>
        <v>Trường Đại học Sư phạm TP. Hồ Chí Minh</v>
      </c>
      <c r="F155" s="4" t="str">
        <f>IFERROR(__xludf.DUMMYFUNCTION("""COMPUTED_VALUE"""),"KHXH2026-154.png")</f>
        <v>KHXH2026-154.png</v>
      </c>
    </row>
    <row r="156">
      <c r="A156" s="4" t="str">
        <f>IFERROR(__xludf.DUMMYFUNCTION("""COMPUTED_VALUE"""),"KHXH2026-155")</f>
        <v>KHXH2026-155</v>
      </c>
      <c r="B156" s="4" t="str">
        <f>IFERROR(__xludf.DUMMYFUNCTION("""COMPUTED_VALUE"""),"Khoa học xã hội")</f>
        <v>Khoa học xã hội</v>
      </c>
      <c r="C156" s="4" t="str">
        <f>IFERROR(__xludf.DUMMYFUNCTION("""COMPUTED_VALUE"""),"Phân tích Hồ sơ ẩn người học EFL dựa trên khả năng sử dụng Cụm từ vựng trong viết học thuật tiếng Anh")</f>
        <v>Phân tích Hồ sơ ẩn người học EFL dựa trên khả năng sử dụng Cụm từ vựng trong viết học thuật tiếng Anh</v>
      </c>
      <c r="D156" s="4" t="str">
        <f>IFERROR(__xludf.DUMMYFUNCTION("""COMPUTED_VALUE"""),"Nguyễn Thị Thanh Nga; Nguyễn Gia Khánh; Mai Hoàng Minh Hiếu")</f>
        <v>Nguyễn Thị Thanh Nga; Nguyễn Gia Khánh; Mai Hoàng Minh Hiếu</v>
      </c>
      <c r="E156" s="4" t="str">
        <f>IFERROR(__xludf.DUMMYFUNCTION("""COMPUTED_VALUE"""),"Trường Đại học Sư phạm TP. Hồ Chí Minh")</f>
        <v>Trường Đại học Sư phạm TP. Hồ Chí Minh</v>
      </c>
      <c r="F156" s="4" t="str">
        <f>IFERROR(__xludf.DUMMYFUNCTION("""COMPUTED_VALUE"""),"KHXH2026-155.png")</f>
        <v>KHXH2026-155.png</v>
      </c>
    </row>
    <row r="157">
      <c r="A157" s="4" t="str">
        <f>IFERROR(__xludf.DUMMYFUNCTION("""COMPUTED_VALUE"""),"KHXH2026-156")</f>
        <v>KHXH2026-156</v>
      </c>
      <c r="B157" s="4" t="str">
        <f>IFERROR(__xludf.DUMMYFUNCTION("""COMPUTED_VALUE"""),"Khoa học xã hội")</f>
        <v>Khoa học xã hội</v>
      </c>
      <c r="C157" s="4" t="str">
        <f>IFERROR(__xludf.DUMMYFUNCTION("""COMPUTED_VALUE"""),"Giải mã hình tượng nữ giới: Nghiên cứu Phân tích Diễn ngôn Phê phán Đa phương thức các quảng cáo NIVEA Việt Nam trên YouTube giai đoạn 2013-2026")</f>
        <v>Giải mã hình tượng nữ giới: Nghiên cứu Phân tích Diễn ngôn Phê phán Đa phương thức các quảng cáo NIVEA Việt Nam trên YouTube giai đoạn 2013-2026</v>
      </c>
      <c r="D157" s="4" t="str">
        <f>IFERROR(__xludf.DUMMYFUNCTION("""COMPUTED_VALUE"""),"Trần Đức Vũ")</f>
        <v>Trần Đức Vũ</v>
      </c>
      <c r="E157" s="4" t="str">
        <f>IFERROR(__xludf.DUMMYFUNCTION("""COMPUTED_VALUE"""),"Trường Đại học Ngoại ngữ, ĐHQG Hà Nội")</f>
        <v>Trường Đại học Ngoại ngữ, ĐHQG Hà Nội</v>
      </c>
      <c r="F157" s="4" t="str">
        <f>IFERROR(__xludf.DUMMYFUNCTION("""COMPUTED_VALUE"""),"KHXH2026-156.png")</f>
        <v>KHXH2026-156.png</v>
      </c>
    </row>
    <row r="158">
      <c r="A158" s="4" t="str">
        <f>IFERROR(__xludf.DUMMYFUNCTION("""COMPUTED_VALUE"""),"KHXH2026-157")</f>
        <v>KHXH2026-157</v>
      </c>
      <c r="B158" s="4" t="str">
        <f>IFERROR(__xludf.DUMMYFUNCTION("""COMPUTED_VALUE"""),"Khoa học xã hội")</f>
        <v>Khoa học xã hội</v>
      </c>
      <c r="C158" s="4" t="str">
        <f>IFERROR(__xludf.DUMMYFUNCTION("""COMPUTED_VALUE"""),"Kiểm chứng phương án giảng dạy tiểu từ chỉ nguyên nhân ‘-에’ và ‘-(으)로’ cho sinh viên Việt Nam học tiếng Hàn: Từ phân tích cách sử dụng đến thực nghiệm ứng dụng sư phạm")</f>
        <v>Kiểm chứng phương án giảng dạy tiểu từ chỉ nguyên nhân ‘-에’ và ‘-(으)로’ cho sinh viên Việt Nam học tiếng Hàn: Từ phân tích cách sử dụng đến thực nghiệm ứng dụng sư phạm</v>
      </c>
      <c r="D158" s="4" t="str">
        <f>IFERROR(__xludf.DUMMYFUNCTION("""COMPUTED_VALUE"""),"Nguyễn Thị Thảo Uyên")</f>
        <v>Nguyễn Thị Thảo Uyên</v>
      </c>
      <c r="E158" s="4" t="str">
        <f>IFERROR(__xludf.DUMMYFUNCTION("""COMPUTED_VALUE"""),"Trường Đại học Ngoại ngữ, ĐHQG Hà Nội")</f>
        <v>Trường Đại học Ngoại ngữ, ĐHQG Hà Nội</v>
      </c>
      <c r="F158" s="4" t="str">
        <f>IFERROR(__xludf.DUMMYFUNCTION("""COMPUTED_VALUE"""),"KHXH2026-157.png")</f>
        <v>KHXH2026-157.png</v>
      </c>
    </row>
    <row r="159">
      <c r="A159" s="4" t="str">
        <f>IFERROR(__xludf.DUMMYFUNCTION("""COMPUTED_VALUE"""),"KHXH2026-158")</f>
        <v>KHXH2026-158</v>
      </c>
      <c r="B159" s="4" t="str">
        <f>IFERROR(__xludf.DUMMYFUNCTION("""COMPUTED_VALUE"""),"Khoa học xã hội")</f>
        <v>Khoa học xã hội</v>
      </c>
      <c r="C159" s="4" t="str">
        <f>IFERROR(__xludf.DUMMYFUNCTION("""COMPUTED_VALUE"""),"Nghiên cứu đánh giá chất lượng bản dịch truyện ngắn Nhật ký người điên của Lỗ Tấn từ góc độ dịch thuật truyền thống và công nghệ AI.")</f>
        <v>Nghiên cứu đánh giá chất lượng bản dịch truyện ngắn Nhật ký người điên của Lỗ Tấn từ góc độ dịch thuật truyền thống và công nghệ AI.</v>
      </c>
      <c r="D159" s="4" t="str">
        <f>IFERROR(__xludf.DUMMYFUNCTION("""COMPUTED_VALUE"""),"Trần Vũ Khánh Linh; Nguyễn Tiến Hưng; Ngô Hoàng Mai; Nguyễn Thị Lan Phương; Cao Thảo Vân")</f>
        <v>Trần Vũ Khánh Linh; Nguyễn Tiến Hưng; Ngô Hoàng Mai; Nguyễn Thị Lan Phương; Cao Thảo Vân</v>
      </c>
      <c r="E159" s="4" t="str">
        <f>IFERROR(__xludf.DUMMYFUNCTION("""COMPUTED_VALUE"""),"Trường Đại học Ngoại ngữ, ĐHQG Hà Nội")</f>
        <v>Trường Đại học Ngoại ngữ, ĐHQG Hà Nội</v>
      </c>
      <c r="F159" s="4" t="str">
        <f>IFERROR(__xludf.DUMMYFUNCTION("""COMPUTED_VALUE"""),"KHXH2026-158.png")</f>
        <v>KHXH2026-158.png</v>
      </c>
    </row>
    <row r="160">
      <c r="A160" s="4" t="str">
        <f>IFERROR(__xludf.DUMMYFUNCTION("""COMPUTED_VALUE"""),"KHXH2026-159")</f>
        <v>KHXH2026-159</v>
      </c>
      <c r="B160" s="4" t="str">
        <f>IFERROR(__xludf.DUMMYFUNCTION("""COMPUTED_VALUE"""),"Khoa học xã hội")</f>
        <v>Khoa học xã hội</v>
      </c>
      <c r="C160" s="4" t="str">
        <f>IFERROR(__xludf.DUMMYFUNCTION("""COMPUTED_VALUE"""),"QUYỀN NGÔN NGỮ TRONG VĂN BẢN PHÁP LUẬT NHẬT BẢN")</f>
        <v>QUYỀN NGÔN NGỮ TRONG VĂN BẢN PHÁP LUẬT NHẬT BẢN</v>
      </c>
      <c r="D160" s="4" t="str">
        <f>IFERROR(__xludf.DUMMYFUNCTION("""COMPUTED_VALUE"""),"Vũ Ngọc Lê Uyên; Nguyễn Ngọc Cẩm Tú; Nguyễn Ngọc Như Ý; Mai Quốc Khánh")</f>
        <v>Vũ Ngọc Lê Uyên; Nguyễn Ngọc Cẩm Tú; Nguyễn Ngọc Như Ý; Mai Quốc Khánh</v>
      </c>
      <c r="E160" s="4" t="str">
        <f>IFERROR(__xludf.DUMMYFUNCTION("""COMPUTED_VALUE"""),"Trường Đại học Luật TP. Hồ Chí Minh")</f>
        <v>Trường Đại học Luật TP. Hồ Chí Minh</v>
      </c>
      <c r="F160" s="4" t="str">
        <f>IFERROR(__xludf.DUMMYFUNCTION("""COMPUTED_VALUE"""),"KHXH2026-159.png")</f>
        <v>KHXH2026-159.png</v>
      </c>
    </row>
    <row r="161">
      <c r="A161" s="4" t="str">
        <f>IFERROR(__xludf.DUMMYFUNCTION("""COMPUTED_VALUE"""),"KHXH2026-160")</f>
        <v>KHXH2026-160</v>
      </c>
      <c r="B161" s="4" t="str">
        <f>IFERROR(__xludf.DUMMYFUNCTION("""COMPUTED_VALUE"""),"Khoa học xã hội")</f>
        <v>Khoa học xã hội</v>
      </c>
      <c r="C161" s="4" t="str">
        <f>IFERROR(__xludf.DUMMYFUNCTION("""COMPUTED_VALUE"""),"Phân tích chiến lược ngôn ngữ trong quảng cáo mỹ phẩm NIVEA bằng tiếng Anh và tiếng Việt cho nữ giới trên YouTube: Một góc nhìn ngôn ngữ học phê phán và văn hoá")</f>
        <v>Phân tích chiến lược ngôn ngữ trong quảng cáo mỹ phẩm NIVEA bằng tiếng Anh và tiếng Việt cho nữ giới trên YouTube: Một góc nhìn ngôn ngữ học phê phán và văn hoá</v>
      </c>
      <c r="D161" s="4" t="str">
        <f>IFERROR(__xludf.DUMMYFUNCTION("""COMPUTED_VALUE"""),"Trần Đức Vũ; Nguyễn Hương Ly")</f>
        <v>Trần Đức Vũ; Nguyễn Hương Ly</v>
      </c>
      <c r="E161" s="4" t="str">
        <f>IFERROR(__xludf.DUMMYFUNCTION("""COMPUTED_VALUE"""),"Trường Đại học Ngoại ngữ, ĐHQG Hà Nội")</f>
        <v>Trường Đại học Ngoại ngữ, ĐHQG Hà Nội</v>
      </c>
      <c r="F161" s="4" t="str">
        <f>IFERROR(__xludf.DUMMYFUNCTION("""COMPUTED_VALUE"""),"KHXH2026-160.png")</f>
        <v>KHXH2026-160.png</v>
      </c>
    </row>
    <row r="162">
      <c r="A162" s="4" t="str">
        <f>IFERROR(__xludf.DUMMYFUNCTION("""COMPUTED_VALUE"""),"KHXH2026-161")</f>
        <v>KHXH2026-161</v>
      </c>
      <c r="B162" s="4" t="str">
        <f>IFERROR(__xludf.DUMMYFUNCTION("""COMPUTED_VALUE"""),"Khoa học xã hội")</f>
        <v>Khoa học xã hội</v>
      </c>
      <c r="C162" s="4" t="str">
        <f>IFERROR(__xludf.DUMMYFUNCTION("""COMPUTED_VALUE"""),"Phân tích so sánh chất lượng dịch thuật từ xưng hô Trường hợp tác phẩm ""Tiếu Ngạo Giang Hồ"" qua bản dịch của Hàn Giang Nhạn và Chat GPT-5.3")</f>
        <v>Phân tích so sánh chất lượng dịch thuật từ xưng hô Trường hợp tác phẩm "Tiếu Ngạo Giang Hồ" qua bản dịch của Hàn Giang Nhạn và Chat GPT-5.3</v>
      </c>
      <c r="D162" s="4" t="str">
        <f>IFERROR(__xludf.DUMMYFUNCTION("""COMPUTED_VALUE"""),"Nguyễn Hà Phương; Tạ Thị Ngọc Lê; Phạm Thu Vân; Nguyễn Phương Thảo; Nguyễn Quỳnh Anh")</f>
        <v>Nguyễn Hà Phương; Tạ Thị Ngọc Lê; Phạm Thu Vân; Nguyễn Phương Thảo; Nguyễn Quỳnh Anh</v>
      </c>
      <c r="E162" s="4" t="str">
        <f>IFERROR(__xludf.DUMMYFUNCTION("""COMPUTED_VALUE"""),"Trường Đại học Ngoại ngữ, ĐHQG Hà Nội")</f>
        <v>Trường Đại học Ngoại ngữ, ĐHQG Hà Nội</v>
      </c>
      <c r="F162" s="4" t="str">
        <f>IFERROR(__xludf.DUMMYFUNCTION("""COMPUTED_VALUE"""),"KHXH2026-161.png")</f>
        <v>KHXH2026-161.png</v>
      </c>
    </row>
    <row r="163">
      <c r="A163" s="4" t="str">
        <f>IFERROR(__xludf.DUMMYFUNCTION("""COMPUTED_VALUE"""),"KHXH2026-162")</f>
        <v>KHXH2026-162</v>
      </c>
      <c r="B163" s="4" t="str">
        <f>IFERROR(__xludf.DUMMYFUNCTION("""COMPUTED_VALUE"""),"Khoa học xã hội")</f>
        <v>Khoa học xã hội</v>
      </c>
      <c r="C163" s="4" t="str">
        <f>IFERROR(__xludf.DUMMYFUNCTION("""COMPUTED_VALUE"""),"Thụ đắc tiếng Trung qua các tình huống giao tiếp đời sống: Đánh giá hiệu quả đối với sinh viên ngành tiếng Trung")</f>
        <v>Thụ đắc tiếng Trung qua các tình huống giao tiếp đời sống: Đánh giá hiệu quả đối với sinh viên ngành tiếng Trung</v>
      </c>
      <c r="D163" s="4" t="str">
        <f>IFERROR(__xludf.DUMMYFUNCTION("""COMPUTED_VALUE"""),"Bùi Nguyễn Quỳnh Hương; Đan Lê Ngọc Anh; Huỳnh Thư Kỳ; Phạm Văn Lụa; Lư Hỷ Nhi")</f>
        <v>Bùi Nguyễn Quỳnh Hương; Đan Lê Ngọc Anh; Huỳnh Thư Kỳ; Phạm Văn Lụa; Lư Hỷ Nhi</v>
      </c>
      <c r="E163" s="4" t="str">
        <f>IFERROR(__xludf.DUMMYFUNCTION("""COMPUTED_VALUE"""),"Trường Đại học Sư phạm TP. Hồ Chí Minh")</f>
        <v>Trường Đại học Sư phạm TP. Hồ Chí Minh</v>
      </c>
      <c r="F163" s="4" t="str">
        <f>IFERROR(__xludf.DUMMYFUNCTION("""COMPUTED_VALUE"""),"KHXH2026-162.png")</f>
        <v>KHXH2026-162.png</v>
      </c>
    </row>
    <row r="164">
      <c r="A164" s="4" t="str">
        <f>IFERROR(__xludf.DUMMYFUNCTION("""COMPUTED_VALUE"""),"KHXH2026-163")</f>
        <v>KHXH2026-163</v>
      </c>
      <c r="B164" s="4" t="str">
        <f>IFERROR(__xludf.DUMMYFUNCTION("""COMPUTED_VALUE"""),"Khoa học xã hội")</f>
        <v>Khoa học xã hội</v>
      </c>
      <c r="C164" s="4" t="str">
        <f>IFERROR(__xludf.DUMMYFUNCTION("""COMPUTED_VALUE"""),"Xây dựng bộ học liệu phát triển ngôn ngữ cho trẻ chậm nói và ứng dụng trên thiết bị di động")</f>
        <v>Xây dựng bộ học liệu phát triển ngôn ngữ cho trẻ chậm nói và ứng dụng trên thiết bị di động</v>
      </c>
      <c r="D164" s="4" t="str">
        <f>IFERROR(__xludf.DUMMYFUNCTION("""COMPUTED_VALUE"""),"Nguyễn Thị Xuân; Hà Nguyễn Thảo Vy; Đặng Thị Tố Uyên")</f>
        <v>Nguyễn Thị Xuân; Hà Nguyễn Thảo Vy; Đặng Thị Tố Uyên</v>
      </c>
      <c r="E164" s="4" t="str">
        <f>IFERROR(__xludf.DUMMYFUNCTION("""COMPUTED_VALUE"""),"Trường Đại học Công nghiệp Hà Nội")</f>
        <v>Trường Đại học Công nghiệp Hà Nội</v>
      </c>
      <c r="F164" s="4" t="str">
        <f>IFERROR(__xludf.DUMMYFUNCTION("""COMPUTED_VALUE"""),"KHXH2026-163.png")</f>
        <v>KHXH2026-163.png</v>
      </c>
    </row>
    <row r="165">
      <c r="A165" s="4" t="str">
        <f>IFERROR(__xludf.DUMMYFUNCTION("""COMPUTED_VALUE"""),"KHXH2026-164")</f>
        <v>KHXH2026-164</v>
      </c>
      <c r="B165" s="4" t="str">
        <f>IFERROR(__xludf.DUMMYFUNCTION("""COMPUTED_VALUE"""),"Khoa học xã hội")</f>
        <v>Khoa học xã hội</v>
      </c>
      <c r="C165" s="4" t="str">
        <f>IFERROR(__xludf.DUMMYFUNCTION("""COMPUTED_VALUE"""),"Kiến tạo ý thức chủ quyền biển đảo qua ẩn dụ ý niệm trong sách giáo khoa Tiếng Việt và Ngữ văn (1976 - nay): Phân tích khối ngữ liệu và ứng dụng thiết kế trò chơi giáo dục SEASEA")</f>
        <v>Kiến tạo ý thức chủ quyền biển đảo qua ẩn dụ ý niệm trong sách giáo khoa Tiếng Việt và Ngữ văn (1976 - nay): Phân tích khối ngữ liệu và ứng dụng thiết kế trò chơi giáo dục SEASEA</v>
      </c>
      <c r="D165" s="4" t="str">
        <f>IFERROR(__xludf.DUMMYFUNCTION("""COMPUTED_VALUE"""),"Lê Nguyễn Mai Phương; Trương Hà Phú; Tòng Bảo Quân")</f>
        <v>Lê Nguyễn Mai Phương; Trương Hà Phú; Tòng Bảo Quân</v>
      </c>
      <c r="E165" s="4" t="str">
        <f>IFERROR(__xludf.DUMMYFUNCTION("""COMPUTED_VALUE"""),"Trường Đại học Sư phạm Hà Nội")</f>
        <v>Trường Đại học Sư phạm Hà Nội</v>
      </c>
      <c r="F165" s="4" t="str">
        <f>IFERROR(__xludf.DUMMYFUNCTION("""COMPUTED_VALUE"""),"KHXH2026-164.png")</f>
        <v>KHXH2026-164.png</v>
      </c>
    </row>
    <row r="166">
      <c r="A166" s="4" t="str">
        <f>IFERROR(__xludf.DUMMYFUNCTION("""COMPUTED_VALUE"""),"KHXH2026-165")</f>
        <v>KHXH2026-165</v>
      </c>
      <c r="B166" s="4" t="str">
        <f>IFERROR(__xludf.DUMMYFUNCTION("""COMPUTED_VALUE"""),"Khoa học xã hội")</f>
        <v>Khoa học xã hội</v>
      </c>
      <c r="C166" s="4" t="str">
        <f>IFERROR(__xludf.DUMMYFUNCTION("""COMPUTED_VALUE"""),"BIG TECH’S RECALIBRATIONS IN MILITARY AI: A PROCESS-TRACING STUDY OF U.S. PUBLIC–PRIVATE PARTNERSHIPS IN THE PERIOD OF 2017-2025")</f>
        <v>BIG TECH’S RECALIBRATIONS IN MILITARY AI: A PROCESS-TRACING STUDY OF U.S. PUBLIC–PRIVATE PARTNERSHIPS IN THE PERIOD OF 2017-2025</v>
      </c>
      <c r="D166" s="4" t="str">
        <f>IFERROR(__xludf.DUMMYFUNCTION("""COMPUTED_VALUE"""),"Lương Hoàng Dương; Nguyễn Thị Linh Nga")</f>
        <v>Lương Hoàng Dương; Nguyễn Thị Linh Nga</v>
      </c>
      <c r="E166" s="4" t="str">
        <f>IFERROR(__xludf.DUMMYFUNCTION("""COMPUTED_VALUE"""),"Học viện Ngoại giao")</f>
        <v>Học viện Ngoại giao</v>
      </c>
      <c r="F166" s="4" t="str">
        <f>IFERROR(__xludf.DUMMYFUNCTION("""COMPUTED_VALUE"""),"KHXH2026-165.png")</f>
        <v>KHXH2026-165.png</v>
      </c>
    </row>
    <row r="167">
      <c r="A167" s="4" t="str">
        <f>IFERROR(__xludf.DUMMYFUNCTION("""COMPUTED_VALUE"""),"KHXH2026-166")</f>
        <v>KHXH2026-166</v>
      </c>
      <c r="B167" s="4" t="str">
        <f>IFERROR(__xludf.DUMMYFUNCTION("""COMPUTED_VALUE"""),"Khoa học xã hội")</f>
        <v>Khoa học xã hội</v>
      </c>
      <c r="C167" s="4" t="str">
        <f>IFERROR(__xludf.DUMMYFUNCTION("""COMPUTED_VALUE"""),"YẾU TỐ ĐẤT HIẾM TRONG CẠNH TRANH CHIẾN LƯỢC CỦA TRUNG QUỐC VỚI MỸ (2018 - 2025): RỦI RO ĐỊA CHÍNH TRỊ VÀ HÀM Ý CHÍNH SÁCH ĐỐI VỚI VIỆT NAM")</f>
        <v>YẾU TỐ ĐẤT HIẾM TRONG CẠNH TRANH CHIẾN LƯỢC CỦA TRUNG QUỐC VỚI MỸ (2018 - 2025): RỦI RO ĐỊA CHÍNH TRỊ VÀ HÀM Ý CHÍNH SÁCH ĐỐI VỚI VIỆT NAM</v>
      </c>
      <c r="D167" s="4" t="str">
        <f>IFERROR(__xludf.DUMMYFUNCTION("""COMPUTED_VALUE"""),"Nguyễn Ngọc An")</f>
        <v>Nguyễn Ngọc An</v>
      </c>
      <c r="E167" s="4" t="str">
        <f>IFERROR(__xludf.DUMMYFUNCTION("""COMPUTED_VALUE"""),"Học viện Ngoại giao")</f>
        <v>Học viện Ngoại giao</v>
      </c>
      <c r="F167" s="4" t="str">
        <f>IFERROR(__xludf.DUMMYFUNCTION("""COMPUTED_VALUE"""),"KHXH2026-166.png")</f>
        <v>KHXH2026-166.png</v>
      </c>
    </row>
    <row r="168">
      <c r="A168" s="4" t="str">
        <f>IFERROR(__xludf.DUMMYFUNCTION("""COMPUTED_VALUE"""),"KHXH2026-167")</f>
        <v>KHXH2026-167</v>
      </c>
      <c r="B168" s="4" t="str">
        <f>IFERROR(__xludf.DUMMYFUNCTION("""COMPUTED_VALUE"""),"Khoa học xã hội")</f>
        <v>Khoa học xã hội</v>
      </c>
      <c r="C168" s="4" t="str">
        <f>IFERROR(__xludf.DUMMYFUNCTION("""COMPUTED_VALUE"""),"KHAI THÁC THỜI CƠ TRONG CHÍNH SÁCH ĐỐI NGOẠI VIỆT NAM THỜI KỲ ĐỔI MỚI: GÓC NHÌN TỪ MỐI QUAN HỆ CẤU TRÚC–CHỦ THỂ")</f>
        <v>KHAI THÁC THỜI CƠ TRONG CHÍNH SÁCH ĐỐI NGOẠI VIỆT NAM THỜI KỲ ĐỔI MỚI: GÓC NHÌN TỪ MỐI QUAN HỆ CẤU TRÚC–CHỦ THỂ</v>
      </c>
      <c r="D168" s="4" t="str">
        <f>IFERROR(__xludf.DUMMYFUNCTION("""COMPUTED_VALUE"""),"Lê Chí Nam; Nguyễn Minh Nhuận")</f>
        <v>Lê Chí Nam; Nguyễn Minh Nhuận</v>
      </c>
      <c r="E168" s="4" t="str">
        <f>IFERROR(__xludf.DUMMYFUNCTION("""COMPUTED_VALUE"""),"Học viện Ngoại giao")</f>
        <v>Học viện Ngoại giao</v>
      </c>
      <c r="F168" s="4" t="str">
        <f>IFERROR(__xludf.DUMMYFUNCTION("""COMPUTED_VALUE"""),"KHXH2026-167.png")</f>
        <v>KHXH2026-167.png</v>
      </c>
    </row>
    <row r="169">
      <c r="A169" s="4" t="str">
        <f>IFERROR(__xludf.DUMMYFUNCTION("""COMPUTED_VALUE"""),"KHXH2026-168")</f>
        <v>KHXH2026-168</v>
      </c>
      <c r="B169" s="4" t="str">
        <f>IFERROR(__xludf.DUMMYFUNCTION("""COMPUTED_VALUE"""),"Khoa học xã hội")</f>
        <v>Khoa học xã hội</v>
      </c>
      <c r="C169" s="4" t="str">
        <f>IFERROR(__xludf.DUMMYFUNCTION("""COMPUTED_VALUE"""),"TÁC ĐỘNG CỦA CPTPP ĐẾN THƯƠNG MẠI ĐIỆN TỬ XUYÊN BIÊN GIỚI TẠI VIỆT NAM: NGHIÊN CỨU TRƯỜNG HỢP SÀN THƯƠNG MẠI ĐIỆN TỬ SHOPEE (TỪ 2019 ĐẾN NAY)")</f>
        <v>TÁC ĐỘNG CỦA CPTPP ĐẾN THƯƠNG MẠI ĐIỆN TỬ XUYÊN BIÊN GIỚI TẠI VIỆT NAM: NGHIÊN CỨU TRƯỜNG HỢP SÀN THƯƠNG MẠI ĐIỆN TỬ SHOPEE (TỪ 2019 ĐẾN NAY)</v>
      </c>
      <c r="D169" s="4" t="str">
        <f>IFERROR(__xludf.DUMMYFUNCTION("""COMPUTED_VALUE"""),"Lê Thị Mỹ Trinh")</f>
        <v>Lê Thị Mỹ Trinh</v>
      </c>
      <c r="E169" s="4" t="str">
        <f>IFERROR(__xludf.DUMMYFUNCTION("""COMPUTED_VALUE"""),"Trường Đại học Nguyễn Tất Thành")</f>
        <v>Trường Đại học Nguyễn Tất Thành</v>
      </c>
      <c r="F169" s="4" t="str">
        <f>IFERROR(__xludf.DUMMYFUNCTION("""COMPUTED_VALUE"""),"KHXH2026-168.png")</f>
        <v>KHXH2026-168.png</v>
      </c>
    </row>
    <row r="170">
      <c r="A170" s="4" t="str">
        <f>IFERROR(__xludf.DUMMYFUNCTION("""COMPUTED_VALUE"""),"KHXH2026-169")</f>
        <v>KHXH2026-169</v>
      </c>
      <c r="B170" s="4" t="str">
        <f>IFERROR(__xludf.DUMMYFUNCTION("""COMPUTED_VALUE"""),"Khoa học xã hội")</f>
        <v>Khoa học xã hội</v>
      </c>
      <c r="C170" s="4" t="str">
        <f>IFERROR(__xludf.DUMMYFUNCTION("""COMPUTED_VALUE"""),"Ứng dụng trí tuệ nhân tạo trong viết luận của sinh viên trường đại học: Nghiên cứu trường hợp sinh viên ngành Quan hệ quốc tế và hàm ý đối với đạo đức học thuật và đánh giá giảng viên")</f>
        <v>Ứng dụng trí tuệ nhân tạo trong viết luận của sinh viên trường đại học: Nghiên cứu trường hợp sinh viên ngành Quan hệ quốc tế và hàm ý đối với đạo đức học thuật và đánh giá giảng viên</v>
      </c>
      <c r="D170" s="4" t="str">
        <f>IFERROR(__xludf.DUMMYFUNCTION("""COMPUTED_VALUE"""),"Huỳnh Kim Ngân; Phạm Tú Anh; Khưu Thị Nhã Trúc; Trần Nguyễn Minh Thy")</f>
        <v>Huỳnh Kim Ngân; Phạm Tú Anh; Khưu Thị Nhã Trúc; Trần Nguyễn Minh Thy</v>
      </c>
      <c r="E170" s="4" t="str">
        <f>IFERROR(__xludf.DUMMYFUNCTION("""COMPUTED_VALUE"""),"Trường Đại học Kinh tế - Tài chính TP. Hồ Chí Minh")</f>
        <v>Trường Đại học Kinh tế - Tài chính TP. Hồ Chí Minh</v>
      </c>
      <c r="F170" s="4" t="str">
        <f>IFERROR(__xludf.DUMMYFUNCTION("""COMPUTED_VALUE"""),"KHXH2026-169.png")</f>
        <v>KHXH2026-169.png</v>
      </c>
    </row>
    <row r="171">
      <c r="A171" s="4" t="str">
        <f>IFERROR(__xludf.DUMMYFUNCTION("""COMPUTED_VALUE"""),"KHXH2026-170")</f>
        <v>KHXH2026-170</v>
      </c>
      <c r="B171" s="4" t="str">
        <f>IFERROR(__xludf.DUMMYFUNCTION("""COMPUTED_VALUE"""),"Khoa học xã hội")</f>
        <v>Khoa học xã hội</v>
      </c>
      <c r="C171" s="4" t="str">
        <f>IFERROR(__xludf.DUMMYFUNCTION("""COMPUTED_VALUE"""),"Ngoại giao chuyên biệt Hàn Quốc với Tiểu vùng sông Mekong (2017-2025)")</f>
        <v>Ngoại giao chuyên biệt Hàn Quốc với Tiểu vùng sông Mekong (2017-2025)</v>
      </c>
      <c r="D171" s="4" t="str">
        <f>IFERROR(__xludf.DUMMYFUNCTION("""COMPUTED_VALUE"""),"Nguyễn Trần Hoài Đông; Phan Thùy Linh; Lê Thị Quỳnh An")</f>
        <v>Nguyễn Trần Hoài Đông; Phan Thùy Linh; Lê Thị Quỳnh An</v>
      </c>
      <c r="E171" s="4" t="str">
        <f>IFERROR(__xludf.DUMMYFUNCTION("""COMPUTED_VALUE"""),"Trường Đại học Sư phạm, Đại học Đà Nẵng")</f>
        <v>Trường Đại học Sư phạm, Đại học Đà Nẵng</v>
      </c>
      <c r="F171" s="4" t="str">
        <f>IFERROR(__xludf.DUMMYFUNCTION("""COMPUTED_VALUE"""),"KHXH2026-170.png")</f>
        <v>KHXH2026-170.png</v>
      </c>
    </row>
    <row r="172">
      <c r="A172" s="4" t="str">
        <f>IFERROR(__xludf.DUMMYFUNCTION("""COMPUTED_VALUE"""),"KHXH2026-171")</f>
        <v>KHXH2026-171</v>
      </c>
      <c r="B172" s="4" t="str">
        <f>IFERROR(__xludf.DUMMYFUNCTION("""COMPUTED_VALUE"""),"Khoa học xã hội")</f>
        <v>Khoa học xã hội</v>
      </c>
      <c r="C172" s="4" t="str">
        <f>IFERROR(__xludf.DUMMYFUNCTION("""COMPUTED_VALUE"""),"HỢP TÁC QUỐC PHÒNG - AN NINH CỦA AUSTRALIA ĐỐI VỚI MỘT SỐ QUỐC GIA ĐÔNG NAM Á GIAI ĐOẠN 2015 – 2022")</f>
        <v>HỢP TÁC QUỐC PHÒNG - AN NINH CỦA AUSTRALIA ĐỐI VỚI MỘT SỐ QUỐC GIA ĐÔNG NAM Á GIAI ĐOẠN 2015 – 2022</v>
      </c>
      <c r="D172" s="4" t="str">
        <f>IFERROR(__xludf.DUMMYFUNCTION("""COMPUTED_VALUE"""),"Phạm Quốc Trung")</f>
        <v>Phạm Quốc Trung</v>
      </c>
      <c r="E172" s="4" t="str">
        <f>IFERROR(__xludf.DUMMYFUNCTION("""COMPUTED_VALUE"""),"Trường Đại học Sư phạm, Đại học Huế")</f>
        <v>Trường Đại học Sư phạm, Đại học Huế</v>
      </c>
      <c r="F172" s="4" t="str">
        <f>IFERROR(__xludf.DUMMYFUNCTION("""COMPUTED_VALUE"""),"KHXH2026-171.png")</f>
        <v>KHXH2026-171.png</v>
      </c>
    </row>
    <row r="173">
      <c r="A173" s="4" t="str">
        <f>IFERROR(__xludf.DUMMYFUNCTION("""COMPUTED_VALUE"""),"KHXH2026-172")</f>
        <v>KHXH2026-172</v>
      </c>
      <c r="B173" s="4" t="str">
        <f>IFERROR(__xludf.DUMMYFUNCTION("""COMPUTED_VALUE"""),"Khoa học xã hội")</f>
        <v>Khoa học xã hội</v>
      </c>
      <c r="C173" s="4" t="str">
        <f>IFERROR(__xludf.DUMMYFUNCTION("""COMPUTED_VALUE"""),"Thực tiễn triển khai hoạt động gìn giữ hòa bình và ngoại giao phòng ngừa của Việt Nam (2016 - 2025)")</f>
        <v>Thực tiễn triển khai hoạt động gìn giữ hòa bình và ngoại giao phòng ngừa của Việt Nam (2016 - 2025)</v>
      </c>
      <c r="D173" s="4" t="str">
        <f>IFERROR(__xludf.DUMMYFUNCTION("""COMPUTED_VALUE"""),"Ngô Thị Thúy Quỳnh; Trần Ngọc Như Ý")</f>
        <v>Ngô Thị Thúy Quỳnh; Trần Ngọc Như Ý</v>
      </c>
      <c r="E173" s="4" t="str">
        <f>IFERROR(__xludf.DUMMYFUNCTION("""COMPUTED_VALUE"""),"Trường Đại học Ngoại ngữ - Tin học TP. Hồ Chí Minh")</f>
        <v>Trường Đại học Ngoại ngữ - Tin học TP. Hồ Chí Minh</v>
      </c>
      <c r="F173" s="4" t="str">
        <f>IFERROR(__xludf.DUMMYFUNCTION("""COMPUTED_VALUE"""),"KHXH2026-172.png")</f>
        <v>KHXH2026-172.png</v>
      </c>
    </row>
    <row r="174">
      <c r="A174" s="4" t="str">
        <f>IFERROR(__xludf.DUMMYFUNCTION("""COMPUTED_VALUE"""),"KHXH2026-173")</f>
        <v>KHXH2026-173</v>
      </c>
      <c r="B174" s="4" t="str">
        <f>IFERROR(__xludf.DUMMYFUNCTION("""COMPUTED_VALUE"""),"Khoa học xã hội")</f>
        <v>Khoa học xã hội</v>
      </c>
      <c r="C174" s="4" t="str">
        <f>IFERROR(__xludf.DUMMYFUNCTION("""COMPUTED_VALUE"""),"Phân tích sự chuyển dịch tư duy đối ngoại Việt Nam: Từ vai trò “tiên phong” (Đại hội XIII) sang nhiệm vụ “trọng yếu, thường xuyên” (Đại hội XIV)")</f>
        <v>Phân tích sự chuyển dịch tư duy đối ngoại Việt Nam: Từ vai trò “tiên phong” (Đại hội XIII) sang nhiệm vụ “trọng yếu, thường xuyên” (Đại hội XIV)</v>
      </c>
      <c r="D174" s="4" t="str">
        <f>IFERROR(__xludf.DUMMYFUNCTION("""COMPUTED_VALUE"""),"Trịnh Vũ Như Quỳnh; Đặng Bội Doanh; Nguyễn Thị Bình Minh")</f>
        <v>Trịnh Vũ Như Quỳnh; Đặng Bội Doanh; Nguyễn Thị Bình Minh</v>
      </c>
      <c r="E174" s="4" t="str">
        <f>IFERROR(__xludf.DUMMYFUNCTION("""COMPUTED_VALUE"""),"Trường Đại học Ngoại ngữ - Tin học TP. Hồ Chí Minh")</f>
        <v>Trường Đại học Ngoại ngữ - Tin học TP. Hồ Chí Minh</v>
      </c>
      <c r="F174" s="4" t="str">
        <f>IFERROR(__xludf.DUMMYFUNCTION("""COMPUTED_VALUE"""),"KHXH2026-173.png")</f>
        <v>KHXH2026-173.png</v>
      </c>
    </row>
    <row r="175">
      <c r="A175" s="4" t="str">
        <f>IFERROR(__xludf.DUMMYFUNCTION("""COMPUTED_VALUE"""),"KHXH2026-174")</f>
        <v>KHXH2026-174</v>
      </c>
      <c r="B175" s="4" t="str">
        <f>IFERROR(__xludf.DUMMYFUNCTION("""COMPUTED_VALUE"""),"Khoa học xã hội")</f>
        <v>Khoa học xã hội</v>
      </c>
      <c r="C175" s="4" t="str">
        <f>IFERROR(__xludf.DUMMYFUNCTION("""COMPUTED_VALUE"""),"Vai trò của công giáo đối với sự ổn định và phát triển đời sống công nhân một số khu công nghiệp có vốn đầu tư nước ngoài ở tỉnh Bình Dương (từ 1997 đến 2024)")</f>
        <v>Vai trò của công giáo đối với sự ổn định và phát triển đời sống công nhân một số khu công nghiệp có vốn đầu tư nước ngoài ở tỉnh Bình Dương (từ 1997 đến 2024)</v>
      </c>
      <c r="D175" s="4" t="str">
        <f>IFERROR(__xludf.DUMMYFUNCTION("""COMPUTED_VALUE"""),"Nông Bá Thệ; Hồ Lê Ngọc Ánh")</f>
        <v>Nông Bá Thệ; Hồ Lê Ngọc Ánh</v>
      </c>
      <c r="E175" s="4" t="str">
        <f>IFERROR(__xludf.DUMMYFUNCTION("""COMPUTED_VALUE"""),"Trường Đại học Thủ Dầu Một")</f>
        <v>Trường Đại học Thủ Dầu Một</v>
      </c>
      <c r="F175" s="4" t="str">
        <f>IFERROR(__xludf.DUMMYFUNCTION("""COMPUTED_VALUE"""),"KHXH2026-174.png")</f>
        <v>KHXH2026-174.png</v>
      </c>
    </row>
    <row r="176">
      <c r="A176" s="4" t="str">
        <f>IFERROR(__xludf.DUMMYFUNCTION("""COMPUTED_VALUE"""),"KHXH2026-175")</f>
        <v>KHXH2026-175</v>
      </c>
      <c r="B176" s="4" t="str">
        <f>IFERROR(__xludf.DUMMYFUNCTION("""COMPUTED_VALUE"""),"Khoa học xã hội")</f>
        <v>Khoa học xã hội</v>
      </c>
      <c r="C176" s="4" t="str">
        <f>IFERROR(__xludf.DUMMYFUNCTION("""COMPUTED_VALUE"""),"NHÂN TỐ TRUNG QUỐC TRONG XUNG ĐỘT LIÊN BANG NGA – UCRAINA (2014 – 2025)")</f>
        <v>NHÂN TỐ TRUNG QUỐC TRONG XUNG ĐỘT LIÊN BANG NGA – UCRAINA (2014 – 2025)</v>
      </c>
      <c r="D176" s="4" t="str">
        <f>IFERROR(__xludf.DUMMYFUNCTION("""COMPUTED_VALUE"""),"Trần Thị Thùy Duyên")</f>
        <v>Trần Thị Thùy Duyên</v>
      </c>
      <c r="E176" s="4" t="str">
        <f>IFERROR(__xludf.DUMMYFUNCTION("""COMPUTED_VALUE"""),"Trường Đại học Sài Gòn")</f>
        <v>Trường Đại học Sài Gòn</v>
      </c>
      <c r="F176" s="4" t="str">
        <f>IFERROR(__xludf.DUMMYFUNCTION("""COMPUTED_VALUE"""),"KHXH2026-175.png")</f>
        <v>KHXH2026-175.png</v>
      </c>
    </row>
    <row r="177">
      <c r="A177" s="4" t="str">
        <f>IFERROR(__xludf.DUMMYFUNCTION("""COMPUTED_VALUE"""),"KHXH2026-176")</f>
        <v>KHXH2026-176</v>
      </c>
      <c r="B177" s="4" t="str">
        <f>IFERROR(__xludf.DUMMYFUNCTION("""COMPUTED_VALUE"""),"Khoa học xã hội")</f>
        <v>Khoa học xã hội</v>
      </c>
      <c r="C177" s="4" t="str">
        <f>IFERROR(__xludf.DUMMYFUNCTION("""COMPUTED_VALUE"""),"Quan hệ Hàn Quốc – ASEAN giai đoạn 2017-2025")</f>
        <v>Quan hệ Hàn Quốc – ASEAN giai đoạn 2017-2025</v>
      </c>
      <c r="D177" s="4" t="str">
        <f>IFERROR(__xludf.DUMMYFUNCTION("""COMPUTED_VALUE"""),"Nguyễn Khánh Như")</f>
        <v>Nguyễn Khánh Như</v>
      </c>
      <c r="E177" s="4" t="str">
        <f>IFERROR(__xludf.DUMMYFUNCTION("""COMPUTED_VALUE"""),"Trường Đại học Sư phạm TP. Hồ Chí Minh")</f>
        <v>Trường Đại học Sư phạm TP. Hồ Chí Minh</v>
      </c>
      <c r="F177" s="4" t="str">
        <f>IFERROR(__xludf.DUMMYFUNCTION("""COMPUTED_VALUE"""),"KHXH2026-176.png")</f>
        <v>KHXH2026-176.png</v>
      </c>
    </row>
    <row r="178">
      <c r="A178" s="4" t="str">
        <f>IFERROR(__xludf.DUMMYFUNCTION("""COMPUTED_VALUE"""),"KHXH2026-177")</f>
        <v>KHXH2026-177</v>
      </c>
      <c r="B178" s="4" t="str">
        <f>IFERROR(__xludf.DUMMYFUNCTION("""COMPUTED_VALUE"""),"Khoa học xã hội")</f>
        <v>Khoa học xã hội</v>
      </c>
      <c r="C178" s="4" t="str">
        <f>IFERROR(__xludf.DUMMYFUNCTION("""COMPUTED_VALUE"""),"Vai trò của Chủ nghĩa Mác Lê Nin trong rèn luyện bản lĩnh chính trị cho sinh viên trong bối cảnh phát triển trí tuệ nhân tạo hiện nay")</f>
        <v>Vai trò của Chủ nghĩa Mác Lê Nin trong rèn luyện bản lĩnh chính trị cho sinh viên trong bối cảnh phát triển trí tuệ nhân tạo hiện nay</v>
      </c>
      <c r="D178" s="4" t="str">
        <f>IFERROR(__xludf.DUMMYFUNCTION("""COMPUTED_VALUE"""),"Vũ Ngọc Trà My; Phạm Thị Hà Linh; Lê Trần Trung Sơn")</f>
        <v>Vũ Ngọc Trà My; Phạm Thị Hà Linh; Lê Trần Trung Sơn</v>
      </c>
      <c r="E178" s="4" t="str">
        <f>IFERROR(__xludf.DUMMYFUNCTION("""COMPUTED_VALUE"""),"Trường Đại học Luật Hà Nội")</f>
        <v>Trường Đại học Luật Hà Nội</v>
      </c>
      <c r="F178" s="4" t="str">
        <f>IFERROR(__xludf.DUMMYFUNCTION("""COMPUTED_VALUE"""),"KHXH2026-177.png")</f>
        <v>KHXH2026-177.png</v>
      </c>
    </row>
    <row r="179">
      <c r="A179" s="4" t="str">
        <f>IFERROR(__xludf.DUMMYFUNCTION("""COMPUTED_VALUE"""),"KHXH2026-178")</f>
        <v>KHXH2026-178</v>
      </c>
      <c r="B179" s="4" t="str">
        <f>IFERROR(__xludf.DUMMYFUNCTION("""COMPUTED_VALUE"""),"Khoa học xã hội")</f>
        <v>Khoa học xã hội</v>
      </c>
      <c r="C179" s="4" t="str">
        <f>IFERROR(__xludf.DUMMYFUNCTION("""COMPUTED_VALUE"""),"Ảnh hưởng của các yếu tố tâm lý - xã hội đến tính tích cực độc hại ở học sinh Trung học phổ thông trên địa bàn Tỉnh Phú Thọ")</f>
        <v>Ảnh hưởng của các yếu tố tâm lý - xã hội đến tính tích cực độc hại ở học sinh Trung học phổ thông trên địa bàn Tỉnh Phú Thọ</v>
      </c>
      <c r="D179" s="4" t="str">
        <f>IFERROR(__xludf.DUMMYFUNCTION("""COMPUTED_VALUE"""),"Tạ Linh Ngọc")</f>
        <v>Tạ Linh Ngọc</v>
      </c>
      <c r="E179" s="4" t="str">
        <f>IFERROR(__xludf.DUMMYFUNCTION("""COMPUTED_VALUE"""),"Trường Đại học Sư phạm Hà Nội")</f>
        <v>Trường Đại học Sư phạm Hà Nội</v>
      </c>
      <c r="F179" s="4" t="str">
        <f>IFERROR(__xludf.DUMMYFUNCTION("""COMPUTED_VALUE"""),"KHXH2026-178.png")</f>
        <v>KHXH2026-178.png</v>
      </c>
    </row>
    <row r="180">
      <c r="A180" s="4" t="str">
        <f>IFERROR(__xludf.DUMMYFUNCTION("""COMPUTED_VALUE"""),"KHXH2026-179")</f>
        <v>KHXH2026-179</v>
      </c>
      <c r="B180" s="4" t="str">
        <f>IFERROR(__xludf.DUMMYFUNCTION("""COMPUTED_VALUE"""),"Khoa học xã hội")</f>
        <v>Khoa học xã hội</v>
      </c>
      <c r="C180" s="4" t="str">
        <f>IFERROR(__xludf.DUMMYFUNCTION("""COMPUTED_VALUE"""),"ẢNH HƯỞNG CỦA TRẢI NGHIỆM TUỔI THƠ BẤT LỢI ĐẾN SỰ GẮN BÓ TRONG MỐI QUAN HỆ XÃ HỘI CỦA SINH VIÊN ĐẠI HỌC TRÊN ĐỊA BÀN THÀNH PHỐ HÀ NỘI")</f>
        <v>ẢNH HƯỞNG CỦA TRẢI NGHIỆM TUỔI THƠ BẤT LỢI ĐẾN SỰ GẮN BÓ TRONG MỐI QUAN HỆ XÃ HỘI CỦA SINH VIÊN ĐẠI HỌC TRÊN ĐỊA BÀN THÀNH PHỐ HÀ NỘI</v>
      </c>
      <c r="D180" s="4" t="str">
        <f>IFERROR(__xludf.DUMMYFUNCTION("""COMPUTED_VALUE"""),"Hà Ngọc Linh; Đỗ Quyết Chiến")</f>
        <v>Hà Ngọc Linh; Đỗ Quyết Chiến</v>
      </c>
      <c r="E180" s="4" t="str">
        <f>IFERROR(__xludf.DUMMYFUNCTION("""COMPUTED_VALUE"""),"Học viện Thanh thiếu niên Việt Nam")</f>
        <v>Học viện Thanh thiếu niên Việt Nam</v>
      </c>
      <c r="F180" s="4" t="str">
        <f>IFERROR(__xludf.DUMMYFUNCTION("""COMPUTED_VALUE"""),"KHXH2026-179.png")</f>
        <v>KHXH2026-179.png</v>
      </c>
    </row>
    <row r="181">
      <c r="A181" s="4" t="str">
        <f>IFERROR(__xludf.DUMMYFUNCTION("""COMPUTED_VALUE"""),"KHXH2026-180")</f>
        <v>KHXH2026-180</v>
      </c>
      <c r="B181" s="4" t="str">
        <f>IFERROR(__xludf.DUMMYFUNCTION("""COMPUTED_VALUE"""),"Khoa học xã hội")</f>
        <v>Khoa học xã hội</v>
      </c>
      <c r="C181" s="4" t="str">
        <f>IFERROR(__xludf.DUMMYFUNCTION("""COMPUTED_VALUE"""),"Đánh giá hiệu quả mô hình truyền thông nhằm sàng lọc phát hiện sớm trẻ rối loạn phổ tự kỷ trên địa bàn thành phố Đà Nẵng")</f>
        <v>Đánh giá hiệu quả mô hình truyền thông nhằm sàng lọc phát hiện sớm trẻ rối loạn phổ tự kỷ trên địa bàn thành phố Đà Nẵng</v>
      </c>
      <c r="D181" s="4" t="str">
        <f>IFERROR(__xludf.DUMMYFUNCTION("""COMPUTED_VALUE"""),"Phan Thị Hằng")</f>
        <v>Phan Thị Hằng</v>
      </c>
      <c r="E181" s="4" t="str">
        <f>IFERROR(__xludf.DUMMYFUNCTION("""COMPUTED_VALUE"""),"Trường Đại học Đông Á")</f>
        <v>Trường Đại học Đông Á</v>
      </c>
      <c r="F181" s="4" t="str">
        <f>IFERROR(__xludf.DUMMYFUNCTION("""COMPUTED_VALUE"""),"KHXH2026-180.png")</f>
        <v>KHXH2026-180.png</v>
      </c>
    </row>
    <row r="182">
      <c r="A182" s="4" t="str">
        <f>IFERROR(__xludf.DUMMYFUNCTION("""COMPUTED_VALUE"""),"KHXH2026-181")</f>
        <v>KHXH2026-181</v>
      </c>
      <c r="B182" s="4" t="str">
        <f>IFERROR(__xludf.DUMMYFUNCTION("""COMPUTED_VALUE"""),"Khoa học xã hội")</f>
        <v>Khoa học xã hội</v>
      </c>
      <c r="C182" s="4" t="str">
        <f>IFERROR(__xludf.DUMMYFUNCTION("""COMPUTED_VALUE"""),"Mối liên hệ giữa trải nghiệm bất lợi thời thơ ấu và các đặc điểm nhân cách không thích ứng ở sinh viên: vai trò trung gian của khó khăn trong điều chỉnh cảm xúc")</f>
        <v>Mối liên hệ giữa trải nghiệm bất lợi thời thơ ấu và các đặc điểm nhân cách không thích ứng ở sinh viên: vai trò trung gian của khó khăn trong điều chỉnh cảm xúc</v>
      </c>
      <c r="D182" s="4" t="str">
        <f>IFERROR(__xludf.DUMMYFUNCTION("""COMPUTED_VALUE"""),"Phạm Minh Tú")</f>
        <v>Phạm Minh Tú</v>
      </c>
      <c r="E182" s="4" t="str">
        <f>IFERROR(__xludf.DUMMYFUNCTION("""COMPUTED_VALUE"""),"Trường Đại học Quốc tế Sài Gòn")</f>
        <v>Trường Đại học Quốc tế Sài Gòn</v>
      </c>
      <c r="F182" s="4" t="str">
        <f>IFERROR(__xludf.DUMMYFUNCTION("""COMPUTED_VALUE"""),"KHXH2026-181.png")</f>
        <v>KHXH2026-181.png</v>
      </c>
    </row>
    <row r="183">
      <c r="A183" s="4" t="str">
        <f>IFERROR(__xludf.DUMMYFUNCTION("""COMPUTED_VALUE"""),"KHXH2026-182")</f>
        <v>KHXH2026-182</v>
      </c>
      <c r="B183" s="4" t="str">
        <f>IFERROR(__xludf.DUMMYFUNCTION("""COMPUTED_VALUE"""),"Khoa học xã hội")</f>
        <v>Khoa học xã hội</v>
      </c>
      <c r="C183" s="4" t="str">
        <f>IFERROR(__xludf.DUMMYFUNCTION("""COMPUTED_VALUE"""),"Ảnh hưởng của Chat GPT đến kỹ năng giao tiếp xã hội của sinh viên tại Thành phố Hồ Chí Minh")</f>
        <v>Ảnh hưởng của Chat GPT đến kỹ năng giao tiếp xã hội của sinh viên tại Thành phố Hồ Chí Minh</v>
      </c>
      <c r="D183" s="4" t="str">
        <f>IFERROR(__xludf.DUMMYFUNCTION("""COMPUTED_VALUE"""),"Nguyễn Thị Diễm My; Nguyễn Thị Diễm My; Trương Thị Kim Ngân")</f>
        <v>Nguyễn Thị Diễm My; Nguyễn Thị Diễm My; Trương Thị Kim Ngân</v>
      </c>
      <c r="E183" s="4" t="str">
        <f>IFERROR(__xludf.DUMMYFUNCTION("""COMPUTED_VALUE"""),"Trường Đại học Công nghệ TP. Hồ Chí Minh")</f>
        <v>Trường Đại học Công nghệ TP. Hồ Chí Minh</v>
      </c>
      <c r="F183" s="4" t="str">
        <f>IFERROR(__xludf.DUMMYFUNCTION("""COMPUTED_VALUE"""),"KHXH2026-182.png")</f>
        <v>KHXH2026-182.png</v>
      </c>
    </row>
    <row r="184">
      <c r="A184" s="4" t="str">
        <f>IFERROR(__xludf.DUMMYFUNCTION("""COMPUTED_VALUE"""),"KHXH2026-183")</f>
        <v>KHXH2026-183</v>
      </c>
      <c r="B184" s="4" t="str">
        <f>IFERROR(__xludf.DUMMYFUNCTION("""COMPUTED_VALUE"""),"Khoa học xã hội")</f>
        <v>Khoa học xã hội</v>
      </c>
      <c r="C184" s="4" t="str">
        <f>IFERROR(__xludf.DUMMYFUNCTION("""COMPUTED_VALUE"""),"Mối liên hệ giữa Áp lực đồng trang lứa và Sức bật tâm lý ở sinh viên trên địa bàn Thành phố Hồ Chí Minh")</f>
        <v>Mối liên hệ giữa Áp lực đồng trang lứa và Sức bật tâm lý ở sinh viên trên địa bàn Thành phố Hồ Chí Minh</v>
      </c>
      <c r="D184" s="4" t="str">
        <f>IFERROR(__xludf.DUMMYFUNCTION("""COMPUTED_VALUE"""),"Nguyễn Thiệu Lân; Đỗ Thanh Nhàn; Phan Hồng Yến Nhi; Trịnh Thị Quỳnh Anh; Đỗ Thành Quí")</f>
        <v>Nguyễn Thiệu Lân; Đỗ Thanh Nhàn; Phan Hồng Yến Nhi; Trịnh Thị Quỳnh Anh; Đỗ Thành Quí</v>
      </c>
      <c r="E184" s="4" t="str">
        <f>IFERROR(__xludf.DUMMYFUNCTION("""COMPUTED_VALUE"""),"Trường Đại học Công nghệ TP. Hồ Chí Minh")</f>
        <v>Trường Đại học Công nghệ TP. Hồ Chí Minh</v>
      </c>
      <c r="F184" s="4" t="str">
        <f>IFERROR(__xludf.DUMMYFUNCTION("""COMPUTED_VALUE"""),"KHXH2026-183.png")</f>
        <v>KHXH2026-183.png</v>
      </c>
    </row>
    <row r="185">
      <c r="A185" s="4" t="str">
        <f>IFERROR(__xludf.DUMMYFUNCTION("""COMPUTED_VALUE"""),"KHXH2026-184")</f>
        <v>KHXH2026-184</v>
      </c>
      <c r="B185" s="4" t="str">
        <f>IFERROR(__xludf.DUMMYFUNCTION("""COMPUTED_VALUE"""),"Khoa học xã hội")</f>
        <v>Khoa học xã hội</v>
      </c>
      <c r="C185" s="4" t="str">
        <f>IFERROR(__xludf.DUMMYFUNCTION("""COMPUTED_VALUE"""),"Nhận thức về hành vi giám sát của cha mẹ ở học sinh Trung học Cơ sở trường Nguyễn Bỉnh Khiêm.")</f>
        <v>Nhận thức về hành vi giám sát của cha mẹ ở học sinh Trung học Cơ sở trường Nguyễn Bỉnh Khiêm.</v>
      </c>
      <c r="D185" s="4" t="str">
        <f>IFERROR(__xludf.DUMMYFUNCTION("""COMPUTED_VALUE"""),"Võ Kim Ngân; Nguyễn Thị Thu Nguyệt; Lê Dương Thảo Hương.")</f>
        <v>Võ Kim Ngân; Nguyễn Thị Thu Nguyệt; Lê Dương Thảo Hương.</v>
      </c>
      <c r="E185" s="4" t="str">
        <f>IFERROR(__xludf.DUMMYFUNCTION("""COMPUTED_VALUE"""),"Trường Đại học Sư phạm, Đại học Đà Nẵng")</f>
        <v>Trường Đại học Sư phạm, Đại học Đà Nẵng</v>
      </c>
      <c r="F185" s="4" t="str">
        <f>IFERROR(__xludf.DUMMYFUNCTION("""COMPUTED_VALUE"""),"KHXH2026-184.png")</f>
        <v>KHXH2026-184.png</v>
      </c>
    </row>
    <row r="186">
      <c r="A186" s="4" t="str">
        <f>IFERROR(__xludf.DUMMYFUNCTION("""COMPUTED_VALUE"""),"KHXH2026-185")</f>
        <v>KHXH2026-185</v>
      </c>
      <c r="B186" s="4" t="str">
        <f>IFERROR(__xludf.DUMMYFUNCTION("""COMPUTED_VALUE"""),"Khoa học xã hội")</f>
        <v>Khoa học xã hội</v>
      </c>
      <c r="C186" s="4" t="str">
        <f>IFERROR(__xludf.DUMMYFUNCTION("""COMPUTED_VALUE"""),"ĐÁNH GIÁ NĂNG LỰC TƯ DUY PHẢN BIỆN CỦA SINH VIÊN KHI SỬ DỤNG CHATBOT AI TẠI MỘT SỐ TRƯỜNG ĐẠI HỌC Ở THÀNH PHỐ HỒ CHÍ MINH")</f>
        <v>ĐÁNH GIÁ NĂNG LỰC TƯ DUY PHẢN BIỆN CỦA SINH VIÊN KHI SỬ DỤNG CHATBOT AI TẠI MỘT SỐ TRƯỜNG ĐẠI HỌC Ở THÀNH PHỐ HỒ CHÍ MINH</v>
      </c>
      <c r="D186" s="4" t="str">
        <f>IFERROR(__xludf.DUMMYFUNCTION("""COMPUTED_VALUE"""),"Trần Tây Nam; Hoàng Anh Kiệt; Đinh Ngọc Thúy Hằng")</f>
        <v>Trần Tây Nam; Hoàng Anh Kiệt; Đinh Ngọc Thúy Hằng</v>
      </c>
      <c r="E186" s="4" t="str">
        <f>IFERROR(__xludf.DUMMYFUNCTION("""COMPUTED_VALUE"""),"Trường Đại học Văn Hiến")</f>
        <v>Trường Đại học Văn Hiến</v>
      </c>
      <c r="F186" s="4" t="str">
        <f>IFERROR(__xludf.DUMMYFUNCTION("""COMPUTED_VALUE"""),"KHXH2026-185.png")</f>
        <v>KHXH2026-185.png</v>
      </c>
    </row>
    <row r="187">
      <c r="A187" s="4" t="str">
        <f>IFERROR(__xludf.DUMMYFUNCTION("""COMPUTED_VALUE"""),"KHXH2026-186")</f>
        <v>KHXH2026-186</v>
      </c>
      <c r="B187" s="4" t="str">
        <f>IFERROR(__xludf.DUMMYFUNCTION("""COMPUTED_VALUE"""),"Khoa học xã hội")</f>
        <v>Khoa học xã hội</v>
      </c>
      <c r="C187" s="4" t="str">
        <f>IFERROR(__xludf.DUMMYFUNCTION("""COMPUTED_VALUE"""),"Ảnh hưởng của Thỏa mãn tức thì đến Sức khỏe tâm thần của sinh viên Việt Nam: Vai trò trung gian của Sử dụng mạng xã hội mang tính bù trừ và Khó khăn điều chỉnh cảm xúc")</f>
        <v>Ảnh hưởng của Thỏa mãn tức thì đến Sức khỏe tâm thần của sinh viên Việt Nam: Vai trò trung gian của Sử dụng mạng xã hội mang tính bù trừ và Khó khăn điều chỉnh cảm xúc</v>
      </c>
      <c r="D187" s="4" t="str">
        <f>IFERROR(__xludf.DUMMYFUNCTION("""COMPUTED_VALUE"""),"Nguyễn Thu Thuỷ")</f>
        <v>Nguyễn Thu Thuỷ</v>
      </c>
      <c r="E187" s="4" t="str">
        <f>IFERROR(__xludf.DUMMYFUNCTION("""COMPUTED_VALUE"""),"Đại học Kinh tế Quốc dân")</f>
        <v>Đại học Kinh tế Quốc dân</v>
      </c>
      <c r="F187" s="4" t="str">
        <f>IFERROR(__xludf.DUMMYFUNCTION("""COMPUTED_VALUE"""),"KHXH2026-186.png")</f>
        <v>KHXH2026-186.png</v>
      </c>
    </row>
    <row r="188">
      <c r="A188" s="4" t="str">
        <f>IFERROR(__xludf.DUMMYFUNCTION("""COMPUTED_VALUE"""),"KHXH2026-187")</f>
        <v>KHXH2026-187</v>
      </c>
      <c r="B188" s="4" t="str">
        <f>IFERROR(__xludf.DUMMYFUNCTION("""COMPUTED_VALUE"""),"Khoa học xã hội")</f>
        <v>Khoa học xã hội</v>
      </c>
      <c r="C188" s="4" t="str">
        <f>IFERROR(__xludf.DUMMYFUNCTION("""COMPUTED_VALUE"""),"Nghiên cứu các yếu tố ảnh hưởng đến ý định lựa chọn điều trị ung thư bằng công nghệ xạ trị proton của bệnh nhân tại Việt Nam")</f>
        <v>Nghiên cứu các yếu tố ảnh hưởng đến ý định lựa chọn điều trị ung thư bằng công nghệ xạ trị proton của bệnh nhân tại Việt Nam</v>
      </c>
      <c r="D188" s="4" t="str">
        <f>IFERROR(__xludf.DUMMYFUNCTION("""COMPUTED_VALUE"""),"Hoàng Thu Huyền; Đinh Hoàng Như Quỳnh; Nguyễn Thu Hằng; Hoàng Minh Bảo Ngọc")</f>
        <v>Hoàng Thu Huyền; Đinh Hoàng Như Quỳnh; Nguyễn Thu Hằng; Hoàng Minh Bảo Ngọc</v>
      </c>
      <c r="E188" s="4" t="str">
        <f>IFERROR(__xludf.DUMMYFUNCTION("""COMPUTED_VALUE"""),"Đại học Kinh tế Quốc dân")</f>
        <v>Đại học Kinh tế Quốc dân</v>
      </c>
      <c r="F188" s="4" t="str">
        <f>IFERROR(__xludf.DUMMYFUNCTION("""COMPUTED_VALUE"""),"KHXH2026-187.png")</f>
        <v>KHXH2026-187.png</v>
      </c>
    </row>
    <row r="189">
      <c r="A189" s="4" t="str">
        <f>IFERROR(__xludf.DUMMYFUNCTION("""COMPUTED_VALUE"""),"KHXH2026-188")</f>
        <v>KHXH2026-188</v>
      </c>
      <c r="B189" s="4" t="str">
        <f>IFERROR(__xludf.DUMMYFUNCTION("""COMPUTED_VALUE"""),"Khoa học xã hội")</f>
        <v>Khoa học xã hội</v>
      </c>
      <c r="C189" s="4" t="str">
        <f>IFERROR(__xludf.DUMMYFUNCTION("""COMPUTED_VALUE"""),"Các yếu tố ảnh hưởng đến sự phụ thuộc vào AI và hạnh phúc chủ quan của Gen Z tại Việt Nam: Vai trò điều tiết của sự tự bộc lộ")</f>
        <v>Các yếu tố ảnh hưởng đến sự phụ thuộc vào AI và hạnh phúc chủ quan của Gen Z tại Việt Nam: Vai trò điều tiết của sự tự bộc lộ</v>
      </c>
      <c r="D189" s="4" t="str">
        <f>IFERROR(__xludf.DUMMYFUNCTION("""COMPUTED_VALUE"""),"Lưu Thu Huyền; Lưu Hương Giang; Phùng Hải Anh; Nguyễn Anh Thư")</f>
        <v>Lưu Thu Huyền; Lưu Hương Giang; Phùng Hải Anh; Nguyễn Anh Thư</v>
      </c>
      <c r="E189" s="4" t="str">
        <f>IFERROR(__xludf.DUMMYFUNCTION("""COMPUTED_VALUE"""),"Đại học Kinh tế Quốc dân")</f>
        <v>Đại học Kinh tế Quốc dân</v>
      </c>
      <c r="F189" s="4" t="str">
        <f>IFERROR(__xludf.DUMMYFUNCTION("""COMPUTED_VALUE"""),"KHXH2026-188.png")</f>
        <v>KHXH2026-188.png</v>
      </c>
    </row>
    <row r="190">
      <c r="A190" s="4" t="str">
        <f>IFERROR(__xludf.DUMMYFUNCTION("""COMPUTED_VALUE"""),"KHXH2026-189")</f>
        <v>KHXH2026-189</v>
      </c>
      <c r="B190" s="4" t="str">
        <f>IFERROR(__xludf.DUMMYFUNCTION("""COMPUTED_VALUE"""),"Khoa học xã hội")</f>
        <v>Khoa học xã hội</v>
      </c>
      <c r="C190" s="4" t="str">
        <f>IFERROR(__xludf.DUMMYFUNCTION("""COMPUTED_VALUE"""),"Ảnh hưởng của lo âu về trí tuệ nhân tạo đến hiệu suất công việc của người lao động: Vai trò trung gian của hành vi đổi mới, kiệt quệ cảm xúc và vai trò điều tiết của trao đổi giữa lãnh đạo - nhân viên")</f>
        <v>Ảnh hưởng của lo âu về trí tuệ nhân tạo đến hiệu suất công việc của người lao động: Vai trò trung gian của hành vi đổi mới, kiệt quệ cảm xúc và vai trò điều tiết của trao đổi giữa lãnh đạo - nhân viên</v>
      </c>
      <c r="D190" s="4" t="str">
        <f>IFERROR(__xludf.DUMMYFUNCTION("""COMPUTED_VALUE"""),"Đoàn Thị Yến; Phạm Thị Ngà; Vũ Thị Thùy Dương; Vũ Hồng Anh")</f>
        <v>Đoàn Thị Yến; Phạm Thị Ngà; Vũ Thị Thùy Dương; Vũ Hồng Anh</v>
      </c>
      <c r="E190" s="4" t="str">
        <f>IFERROR(__xludf.DUMMYFUNCTION("""COMPUTED_VALUE"""),"Đại học Kinh tế Quốc dân")</f>
        <v>Đại học Kinh tế Quốc dân</v>
      </c>
      <c r="F190" s="4" t="str">
        <f>IFERROR(__xludf.DUMMYFUNCTION("""COMPUTED_VALUE"""),"KHXH2026-189.png")</f>
        <v>KHXH2026-189.png</v>
      </c>
    </row>
    <row r="191">
      <c r="A191" s="4" t="str">
        <f>IFERROR(__xludf.DUMMYFUNCTION("""COMPUTED_VALUE"""),"KHXH2026-190")</f>
        <v>KHXH2026-190</v>
      </c>
      <c r="B191" s="4" t="str">
        <f>IFERROR(__xludf.DUMMYFUNCTION("""COMPUTED_VALUE"""),"Khoa học xã hội")</f>
        <v>Khoa học xã hội</v>
      </c>
      <c r="C191" s="4" t="str">
        <f>IFERROR(__xludf.DUMMYFUNCTION("""COMPUTED_VALUE"""),"Mối liên hệ giữa phiền muộn giới và sức khỏe tinh thần của sinh viên chuyển giới và phi nhị nguyên giới tại một số trường đại học trên địa bàn thành phố Hà Nội")</f>
        <v>Mối liên hệ giữa phiền muộn giới và sức khỏe tinh thần của sinh viên chuyển giới và phi nhị nguyên giới tại một số trường đại học trên địa bàn thành phố Hà Nội</v>
      </c>
      <c r="D191" s="4" t="str">
        <f>IFERROR(__xludf.DUMMYFUNCTION("""COMPUTED_VALUE"""),"Hoàng Ngọc Linh; Trần Đức Mạnh; Nguyễn Phương Anh; Dương Huệ Lâm")</f>
        <v>Hoàng Ngọc Linh; Trần Đức Mạnh; Nguyễn Phương Anh; Dương Huệ Lâm</v>
      </c>
      <c r="E191" s="4" t="str">
        <f>IFERROR(__xludf.DUMMYFUNCTION("""COMPUTED_VALUE"""),"Học viện Phụ nữ Việt Nam")</f>
        <v>Học viện Phụ nữ Việt Nam</v>
      </c>
      <c r="F191" s="4" t="str">
        <f>IFERROR(__xludf.DUMMYFUNCTION("""COMPUTED_VALUE"""),"KHXH2026-190.png")</f>
        <v>KHXH2026-190.png</v>
      </c>
    </row>
    <row r="192">
      <c r="A192" s="4" t="str">
        <f>IFERROR(__xludf.DUMMYFUNCTION("""COMPUTED_VALUE"""),"KHXH2026-191")</f>
        <v>KHXH2026-191</v>
      </c>
      <c r="B192" s="4" t="str">
        <f>IFERROR(__xludf.DUMMYFUNCTION("""COMPUTED_VALUE"""),"Khoa học xã hội")</f>
        <v>Khoa học xã hội</v>
      </c>
      <c r="C192" s="4" t="str">
        <f>IFERROR(__xludf.DUMMYFUNCTION("""COMPUTED_VALUE"""),"Ảnh hưởng của xu hướng so sánh bản thân trên mạng xã hội đến sự hài lòng trong cuộc sống của sinh viên một số trường đại học tại Thành phố Hồ Chí Minh")</f>
        <v>Ảnh hưởng của xu hướng so sánh bản thân trên mạng xã hội đến sự hài lòng trong cuộc sống của sinh viên một số trường đại học tại Thành phố Hồ Chí Minh</v>
      </c>
      <c r="D192" s="4" t="str">
        <f>IFERROR(__xludf.DUMMYFUNCTION("""COMPUTED_VALUE"""),"Phạm Huỳnh Như Thảo; Nguyễn Đỗ Minh Phúc; Ngô Bảo Hy; Nguyễn Hoàng Phong; Nguyễn Quốc Thống")</f>
        <v>Phạm Huỳnh Như Thảo; Nguyễn Đỗ Minh Phúc; Ngô Bảo Hy; Nguyễn Hoàng Phong; Nguyễn Quốc Thống</v>
      </c>
      <c r="E192" s="4" t="str">
        <f>IFERROR(__xludf.DUMMYFUNCTION("""COMPUTED_VALUE"""),"Trường Đại học Văn Hiến")</f>
        <v>Trường Đại học Văn Hiến</v>
      </c>
      <c r="F192" s="4" t="str">
        <f>IFERROR(__xludf.DUMMYFUNCTION("""COMPUTED_VALUE"""),"KHXH2026-191.png")</f>
        <v>KHXH2026-191.png</v>
      </c>
    </row>
    <row r="193">
      <c r="A193" s="4" t="str">
        <f>IFERROR(__xludf.DUMMYFUNCTION("""COMPUTED_VALUE"""),"KHXH2026-192")</f>
        <v>KHXH2026-192</v>
      </c>
      <c r="B193" s="4" t="str">
        <f>IFERROR(__xludf.DUMMYFUNCTION("""COMPUTED_VALUE"""),"Khoa học xã hội")</f>
        <v>Khoa học xã hội</v>
      </c>
      <c r="C193" s="4" t="str">
        <f>IFERROR(__xludf.DUMMYFUNCTION("""COMPUTED_VALUE"""),"From Ownership to Addiction: An Empirics-First Study of the Unintended Consequences of Cognitive Self-Extension within the Cycle of AI Addiction in Vietnam")</f>
        <v>From Ownership to Addiction: An Empirics-First Study of the Unintended Consequences of Cognitive Self-Extension within the Cycle of AI Addiction in Vietnam</v>
      </c>
      <c r="D193" s="4" t="str">
        <f>IFERROR(__xludf.DUMMYFUNCTION("""COMPUTED_VALUE"""),"Trần Trần Thảo Ngọc; Đào Ngọc Minh Kha; Đào Nguyễn Phương Anh; Lê Ngọc Minh Khánh; Trần Hoàng Bảo Châu")</f>
        <v>Trần Trần Thảo Ngọc; Đào Ngọc Minh Kha; Đào Nguyễn Phương Anh; Lê Ngọc Minh Khánh; Trần Hoàng Bảo Châu</v>
      </c>
      <c r="E193" s="4" t="str">
        <f>IFERROR(__xludf.DUMMYFUNCTION("""COMPUTED_VALUE"""),"Trường Đại học Kinh tế, Đại học Đà Nẵng")</f>
        <v>Trường Đại học Kinh tế, Đại học Đà Nẵng</v>
      </c>
      <c r="F193" s="4" t="str">
        <f>IFERROR(__xludf.DUMMYFUNCTION("""COMPUTED_VALUE"""),"KHXH2026-192.png")</f>
        <v>KHXH2026-192.png</v>
      </c>
    </row>
    <row r="194">
      <c r="A194" s="4" t="str">
        <f>IFERROR(__xludf.DUMMYFUNCTION("""COMPUTED_VALUE"""),"KHXH2026-193")</f>
        <v>KHXH2026-193</v>
      </c>
      <c r="B194" s="4" t="str">
        <f>IFERROR(__xludf.DUMMYFUNCTION("""COMPUTED_VALUE"""),"Khoa học xã hội")</f>
        <v>Khoa học xã hội</v>
      </c>
      <c r="C194" s="4" t="str">
        <f>IFERROR(__xludf.DUMMYFUNCTION("""COMPUTED_VALUE"""),"TỔNG QUAN HỆ THỐNG VỀ CÁC CAN THIỆP HỖ TRỢ SỨC KHỎE TÂM THẦN CHO SINH VIÊN ĐẠI HỌC KHỐI NGÀNH SỨC KHOẺ")</f>
        <v>TỔNG QUAN HỆ THỐNG VỀ CÁC CAN THIỆP HỖ TRỢ SỨC KHỎE TÂM THẦN CHO SINH VIÊN ĐẠI HỌC KHỐI NGÀNH SỨC KHOẺ</v>
      </c>
      <c r="D194" s="4" t="str">
        <f>IFERROR(__xludf.DUMMYFUNCTION("""COMPUTED_VALUE"""),"Đào Duy Hoàng")</f>
        <v>Đào Duy Hoàng</v>
      </c>
      <c r="E194" s="4" t="str">
        <f>IFERROR(__xludf.DUMMYFUNCTION("""COMPUTED_VALUE"""),"Đại học Y Dược TP. Hồ Chí Minh")</f>
        <v>Đại học Y Dược TP. Hồ Chí Minh</v>
      </c>
      <c r="F194" s="4" t="str">
        <f>IFERROR(__xludf.DUMMYFUNCTION("""COMPUTED_VALUE"""),"KHXH2026-193.png")</f>
        <v>KHXH2026-193.png</v>
      </c>
    </row>
    <row r="195">
      <c r="A195" s="4" t="str">
        <f>IFERROR(__xludf.DUMMYFUNCTION("""COMPUTED_VALUE"""),"KHXH2026-194")</f>
        <v>KHXH2026-194</v>
      </c>
      <c r="B195" s="4" t="str">
        <f>IFERROR(__xludf.DUMMYFUNCTION("""COMPUTED_VALUE"""),"Khoa học xã hội")</f>
        <v>Khoa học xã hội</v>
      </c>
      <c r="C195" s="4" t="str">
        <f>IFERROR(__xludf.DUMMYFUNCTION("""COMPUTED_VALUE"""),"TÁC ĐỘNG CỦA VỐN VĂN HÓA VÀ NĂNG LỰC THÍCH NGHI TRONG NỀN KINH TẾ SỐ: BẰNG CHỨNG THỰC NGHIỆM TỪ SINH VIÊN NĂM CUỐI TẠI TP.HCM")</f>
        <v>TÁC ĐỘNG CỦA VỐN VĂN HÓA VÀ NĂNG LỰC THÍCH NGHI TRONG NỀN KINH TẾ SỐ: BẰNG CHỨNG THỰC NGHIỆM TỪ SINH VIÊN NĂM CUỐI TẠI TP.HCM</v>
      </c>
      <c r="D195" s="4" t="str">
        <f>IFERROR(__xludf.DUMMYFUNCTION("""COMPUTED_VALUE"""),"Nguyễn Hồ Ngọc Phúc; Trương Thị Thúy")</f>
        <v>Nguyễn Hồ Ngọc Phúc; Trương Thị Thúy</v>
      </c>
      <c r="E195" s="4" t="str">
        <f>IFERROR(__xludf.DUMMYFUNCTION("""COMPUTED_VALUE"""),"Đại học Kinh tế TP. Hồ Chí Minh")</f>
        <v>Đại học Kinh tế TP. Hồ Chí Minh</v>
      </c>
      <c r="F195" s="4" t="str">
        <f>IFERROR(__xludf.DUMMYFUNCTION("""COMPUTED_VALUE"""),"KHXH2026-194.png")</f>
        <v>KHXH2026-194.png</v>
      </c>
    </row>
    <row r="196">
      <c r="A196" s="4" t="str">
        <f>IFERROR(__xludf.DUMMYFUNCTION("""COMPUTED_VALUE"""),"KHXH2026-195")</f>
        <v>KHXH2026-195</v>
      </c>
      <c r="B196" s="4" t="str">
        <f>IFERROR(__xludf.DUMMYFUNCTION("""COMPUTED_VALUE"""),"Khoa học xã hội")</f>
        <v>Khoa học xã hội</v>
      </c>
      <c r="C196" s="4" t="str">
        <f>IFERROR(__xludf.DUMMYFUNCTION("""COMPUTED_VALUE"""),"EXPLORING UNIVERSITY STUDENTS’ STRATEGIC USE OF ARTIFICIAL INTELLIGENCE FOR SELF-REGULATED LEARNING IN VIETNAM")</f>
        <v>EXPLORING UNIVERSITY STUDENTS’ STRATEGIC USE OF ARTIFICIAL INTELLIGENCE FOR SELF-REGULATED LEARNING IN VIETNAM</v>
      </c>
      <c r="D196" s="4" t="str">
        <f>IFERROR(__xludf.DUMMYFUNCTION("""COMPUTED_VALUE"""),"Nguyễn Quỳnh Như; Văn Ngọc Mai Thy; Đoàn Ngọc Lan Anh")</f>
        <v>Nguyễn Quỳnh Như; Văn Ngọc Mai Thy; Đoàn Ngọc Lan Anh</v>
      </c>
      <c r="E196" s="4" t="str">
        <f>IFERROR(__xludf.DUMMYFUNCTION("""COMPUTED_VALUE"""),"Đại học Kinh tế TP. Hồ Chí Minh")</f>
        <v>Đại học Kinh tế TP. Hồ Chí Minh</v>
      </c>
      <c r="F196" s="4" t="str">
        <f>IFERROR(__xludf.DUMMYFUNCTION("""COMPUTED_VALUE"""),"KHXH2026-195.png")</f>
        <v>KHXH2026-195.png</v>
      </c>
    </row>
    <row r="197">
      <c r="A197" s="4" t="str">
        <f>IFERROR(__xludf.DUMMYFUNCTION("""COMPUTED_VALUE"""),"KHXH2026-196")</f>
        <v>KHXH2026-196</v>
      </c>
      <c r="B197" s="4" t="str">
        <f>IFERROR(__xludf.DUMMYFUNCTION("""COMPUTED_VALUE"""),"Khoa học xã hội")</f>
        <v>Khoa học xã hội</v>
      </c>
      <c r="C197" s="4" t="str">
        <f>IFERROR(__xludf.DUMMYFUNCTION("""COMPUTED_VALUE"""),"Hỗ trợ xã hội ảnh hưởng đến Khả năng thích ứng nghề nghiệp của sinh viên tại Việt Nam: Vai trò trung gian của Sự kết nối bản thân")</f>
        <v>Hỗ trợ xã hội ảnh hưởng đến Khả năng thích ứng nghề nghiệp của sinh viên tại Việt Nam: Vai trò trung gian của Sự kết nối bản thân</v>
      </c>
      <c r="D197" s="4" t="str">
        <f>IFERROR(__xludf.DUMMYFUNCTION("""COMPUTED_VALUE"""),"Đỗ Lê Mỹ Dung")</f>
        <v>Đỗ Lê Mỹ Dung</v>
      </c>
      <c r="E197" s="4" t="str">
        <f>IFERROR(__xludf.DUMMYFUNCTION("""COMPUTED_VALUE"""),"Trường Đại học Văn Lang")</f>
        <v>Trường Đại học Văn Lang</v>
      </c>
      <c r="F197" s="4" t="str">
        <f>IFERROR(__xludf.DUMMYFUNCTION("""COMPUTED_VALUE"""),"KHXH2026-196.png")</f>
        <v>KHXH2026-196.png</v>
      </c>
    </row>
    <row r="198">
      <c r="A198" s="4" t="str">
        <f>IFERROR(__xludf.DUMMYFUNCTION("""COMPUTED_VALUE"""),"KHXH2026-197")</f>
        <v>KHXH2026-197</v>
      </c>
      <c r="B198" s="4" t="str">
        <f>IFERROR(__xludf.DUMMYFUNCTION("""COMPUTED_VALUE"""),"Khoa học xã hội")</f>
        <v>Khoa học xã hội</v>
      </c>
      <c r="C198" s="4" t="str">
        <f>IFERROR(__xludf.DUMMYFUNCTION("""COMPUTED_VALUE"""),"Ảnh hưởng của niềm tin về năng lực học tập đến kiệt sức học tập ở sinh viên Trường đại học Văn Lang")</f>
        <v>Ảnh hưởng của niềm tin về năng lực học tập đến kiệt sức học tập ở sinh viên Trường đại học Văn Lang</v>
      </c>
      <c r="D198" s="4" t="str">
        <f>IFERROR(__xludf.DUMMYFUNCTION("""COMPUTED_VALUE"""),"Võ Thành Luân")</f>
        <v>Võ Thành Luân</v>
      </c>
      <c r="E198" s="4" t="str">
        <f>IFERROR(__xludf.DUMMYFUNCTION("""COMPUTED_VALUE"""),"Trường Đại học Văn Lang")</f>
        <v>Trường Đại học Văn Lang</v>
      </c>
      <c r="F198" s="4" t="str">
        <f>IFERROR(__xludf.DUMMYFUNCTION("""COMPUTED_VALUE"""),"KHXH2026-197.png")</f>
        <v>KHXH2026-197.png</v>
      </c>
    </row>
    <row r="199">
      <c r="A199" s="4" t="str">
        <f>IFERROR(__xludf.DUMMYFUNCTION("""COMPUTED_VALUE"""),"KHXH2026-198")</f>
        <v>KHXH2026-198</v>
      </c>
      <c r="B199" s="4" t="str">
        <f>IFERROR(__xludf.DUMMYFUNCTION("""COMPUTED_VALUE"""),"Khoa học xã hội")</f>
        <v>Khoa học xã hội</v>
      </c>
      <c r="C199" s="4" t="str">
        <f>IFERROR(__xludf.DUMMYFUNCTION("""COMPUTED_VALUE"""),"Sự kết nối tình cảm gia đình ở người cao tuổi: Nghiên cứu trường hợp tại Thành phố Hồ Chí Minh")</f>
        <v>Sự kết nối tình cảm gia đình ở người cao tuổi: Nghiên cứu trường hợp tại Thành phố Hồ Chí Minh</v>
      </c>
      <c r="D199" s="4" t="str">
        <f>IFERROR(__xludf.DUMMYFUNCTION("""COMPUTED_VALUE"""),"Trần Nguyễn Ngọc Nhi; Lê Nguyễn Phương Anh; Ngô Nguyễn Tâm Như; Phan Nguyễn Như Ý")</f>
        <v>Trần Nguyễn Ngọc Nhi; Lê Nguyễn Phương Anh; Ngô Nguyễn Tâm Như; Phan Nguyễn Như Ý</v>
      </c>
      <c r="E199" s="4" t="str">
        <f>IFERROR(__xludf.DUMMYFUNCTION("""COMPUTED_VALUE"""),"Trường Đại học Văn Lang")</f>
        <v>Trường Đại học Văn Lang</v>
      </c>
      <c r="F199" s="4" t="str">
        <f>IFERROR(__xludf.DUMMYFUNCTION("""COMPUTED_VALUE"""),"KHXH2026-198.png")</f>
        <v>KHXH2026-198.png</v>
      </c>
    </row>
    <row r="200">
      <c r="A200" s="4" t="str">
        <f>IFERROR(__xludf.DUMMYFUNCTION("""COMPUTED_VALUE"""),"KHXH2026-199")</f>
        <v>KHXH2026-199</v>
      </c>
      <c r="B200" s="4" t="str">
        <f>IFERROR(__xludf.DUMMYFUNCTION("""COMPUTED_VALUE"""),"Khoa học xã hội")</f>
        <v>Khoa học xã hội</v>
      </c>
      <c r="C200" s="4" t="str">
        <f>IFERROR(__xludf.DUMMYFUNCTION("""COMPUTED_VALUE"""),"Ảnh hưởng của lòng tự trắc ẩn đến khó khăn điều tiết cảm xúc trong mối quan hệ lãng mạn của sinh viên Trường Đại học Văn Lang")</f>
        <v>Ảnh hưởng của lòng tự trắc ẩn đến khó khăn điều tiết cảm xúc trong mối quan hệ lãng mạn của sinh viên Trường Đại học Văn Lang</v>
      </c>
      <c r="D200" s="4" t="str">
        <f>IFERROR(__xludf.DUMMYFUNCTION("""COMPUTED_VALUE"""),"Lê Hồng Thanh; Đặng Châu Anh; Hồ Thanh Tâm")</f>
        <v>Lê Hồng Thanh; Đặng Châu Anh; Hồ Thanh Tâm</v>
      </c>
      <c r="E200" s="4" t="str">
        <f>IFERROR(__xludf.DUMMYFUNCTION("""COMPUTED_VALUE"""),"Trường Đại học Văn Lang")</f>
        <v>Trường Đại học Văn Lang</v>
      </c>
      <c r="F200" s="4" t="str">
        <f>IFERROR(__xludf.DUMMYFUNCTION("""COMPUTED_VALUE"""),"KHXH2026-199.png")</f>
        <v>KHXH2026-199.png</v>
      </c>
    </row>
    <row r="201">
      <c r="A201" s="4" t="str">
        <f>IFERROR(__xludf.DUMMYFUNCTION("""COMPUTED_VALUE"""),"KHXH2026-200")</f>
        <v>KHXH2026-200</v>
      </c>
      <c r="B201" s="4" t="str">
        <f>IFERROR(__xludf.DUMMYFUNCTION("""COMPUTED_VALUE"""),"Khoa học xã hội")</f>
        <v>Khoa học xã hội</v>
      </c>
      <c r="C201" s="4" t="str">
        <f>IFERROR(__xludf.DUMMYFUNCTION("""COMPUTED_VALUE"""),"Mối quan hệ giữa việc sử dụng trí tuệ nhân tạo - AI và cảm nhận hạnh phúc của sinh viên trường Đại học Luật Hà Nội")</f>
        <v>Mối quan hệ giữa việc sử dụng trí tuệ nhân tạo - AI và cảm nhận hạnh phúc của sinh viên trường Đại học Luật Hà Nội</v>
      </c>
      <c r="D201" s="4" t="str">
        <f>IFERROR(__xludf.DUMMYFUNCTION("""COMPUTED_VALUE"""),"Hoàng Lê Nguyệt Hằng; Bùi Anh Long; Lương Quang Vinh")</f>
        <v>Hoàng Lê Nguyệt Hằng; Bùi Anh Long; Lương Quang Vinh</v>
      </c>
      <c r="E201" s="4" t="str">
        <f>IFERROR(__xludf.DUMMYFUNCTION("""COMPUTED_VALUE"""),"Trường Đại học Luật Hà Nội")</f>
        <v>Trường Đại học Luật Hà Nội</v>
      </c>
      <c r="F201" s="4" t="str">
        <f>IFERROR(__xludf.DUMMYFUNCTION("""COMPUTED_VALUE"""),"KHXH2026-200.png")</f>
        <v>KHXH2026-200.png</v>
      </c>
    </row>
    <row r="202">
      <c r="A202" s="4" t="str">
        <f>IFERROR(__xludf.DUMMYFUNCTION("""COMPUTED_VALUE"""),"KHXH2026-201")</f>
        <v>KHXH2026-201</v>
      </c>
      <c r="B202" s="4" t="str">
        <f>IFERROR(__xludf.DUMMYFUNCTION("""COMPUTED_VALUE"""),"Khoa học xã hội")</f>
        <v>Khoa học xã hội</v>
      </c>
      <c r="C202" s="4" t="str">
        <f>IFERROR(__xludf.DUMMYFUNCTION("""COMPUTED_VALUE"""),"Nhận thức của sinh viên một số trường Đại học trên địa bàn thành phố Hà Nội về ảnh hưởng của chứng rối loạn tăng động giảm chú ý (ADHD) đến quá trình học tập")</f>
        <v>Nhận thức của sinh viên một số trường Đại học trên địa bàn thành phố Hà Nội về ảnh hưởng của chứng rối loạn tăng động giảm chú ý (ADHD) đến quá trình học tập</v>
      </c>
      <c r="D202" s="4" t="str">
        <f>IFERROR(__xludf.DUMMYFUNCTION("""COMPUTED_VALUE"""),"Nhâm Phương Mai; Nguyễn Mai Ninh")</f>
        <v>Nhâm Phương Mai; Nguyễn Mai Ninh</v>
      </c>
      <c r="E202" s="4" t="str">
        <f>IFERROR(__xludf.DUMMYFUNCTION("""COMPUTED_VALUE"""),"Trường Đại học Luật Hà Nội")</f>
        <v>Trường Đại học Luật Hà Nội</v>
      </c>
      <c r="F202" s="4" t="str">
        <f>IFERROR(__xludf.DUMMYFUNCTION("""COMPUTED_VALUE"""),"KHXH2026-201.png")</f>
        <v>KHXH2026-201.png</v>
      </c>
    </row>
    <row r="203">
      <c r="A203" s="4" t="str">
        <f>IFERROR(__xludf.DUMMYFUNCTION("""COMPUTED_VALUE"""),"KHXH2026-202")</f>
        <v>KHXH2026-202</v>
      </c>
      <c r="B203" s="4" t="str">
        <f>IFERROR(__xludf.DUMMYFUNCTION("""COMPUTED_VALUE"""),"Khoa học xã hội")</f>
        <v>Khoa học xã hội</v>
      </c>
      <c r="C203" s="4" t="str">
        <f>IFERROR(__xludf.DUMMYFUNCTION("""COMPUTED_VALUE"""),"Kỹ năng ứng phó của sinh viên đối với các hành vi lừa đảo sử dụng công nghệ Deepfake trong môi trường công nghệ số hiện nay")</f>
        <v>Kỹ năng ứng phó của sinh viên đối với các hành vi lừa đảo sử dụng công nghệ Deepfake trong môi trường công nghệ số hiện nay</v>
      </c>
      <c r="D203" s="4" t="str">
        <f>IFERROR(__xludf.DUMMYFUNCTION("""COMPUTED_VALUE"""),"Nguyễn Tùng Dương; Nguyễn Thị Mai Hương; Đỗ Trần Việt Hà")</f>
        <v>Nguyễn Tùng Dương; Nguyễn Thị Mai Hương; Đỗ Trần Việt Hà</v>
      </c>
      <c r="E203" s="4" t="str">
        <f>IFERROR(__xludf.DUMMYFUNCTION("""COMPUTED_VALUE"""),"Trường Đại học Luật Hà Nội")</f>
        <v>Trường Đại học Luật Hà Nội</v>
      </c>
      <c r="F203" s="4" t="str">
        <f>IFERROR(__xludf.DUMMYFUNCTION("""COMPUTED_VALUE"""),"KHXH2026-202.png")</f>
        <v>KHXH2026-202.png</v>
      </c>
    </row>
    <row r="204">
      <c r="A204" s="4" t="str">
        <f>IFERROR(__xludf.DUMMYFUNCTION("""COMPUTED_VALUE"""),"KHXH2026-203")</f>
        <v>KHXH2026-203</v>
      </c>
      <c r="B204" s="4" t="str">
        <f>IFERROR(__xludf.DUMMYFUNCTION("""COMPUTED_VALUE"""),"Khoa học xã hội")</f>
        <v>Khoa học xã hội</v>
      </c>
      <c r="C204" s="4" t="str">
        <f>IFERROR(__xludf.DUMMYFUNCTION("""COMPUTED_VALUE"""),"CÁC CƠ CHẾ PHÒNG VỆ TÂM LÝ Ở SINH VIÊN")</f>
        <v>CÁC CƠ CHẾ PHÒNG VỆ TÂM LÝ Ở SINH VIÊN</v>
      </c>
      <c r="D204" s="4" t="str">
        <f>IFERROR(__xludf.DUMMYFUNCTION("""COMPUTED_VALUE"""),"Triệu Hoàng Lâm; Huỳnh Nga")</f>
        <v>Triệu Hoàng Lâm; Huỳnh Nga</v>
      </c>
      <c r="E204" s="4" t="str">
        <f>IFERROR(__xludf.DUMMYFUNCTION("""COMPUTED_VALUE"""),"Trường Đại học Sài Gòn")</f>
        <v>Trường Đại học Sài Gòn</v>
      </c>
      <c r="F204" s="4" t="str">
        <f>IFERROR(__xludf.DUMMYFUNCTION("""COMPUTED_VALUE"""),"KHXH2026-203.png")</f>
        <v>KHXH2026-203.png</v>
      </c>
    </row>
    <row r="205">
      <c r="A205" s="4" t="str">
        <f>IFERROR(__xludf.DUMMYFUNCTION("""COMPUTED_VALUE"""),"KHXH2026-204")</f>
        <v>KHXH2026-204</v>
      </c>
      <c r="B205" s="4" t="str">
        <f>IFERROR(__xludf.DUMMYFUNCTION("""COMPUTED_VALUE"""),"Khoa học xã hội")</f>
        <v>Khoa học xã hội</v>
      </c>
      <c r="C205" s="4" t="str">
        <f>IFERROR(__xludf.DUMMYFUNCTION("""COMPUTED_VALUE"""),"MỐI LIÊN HỆ GIỮA CẢM XÚC TIÊU CỰC VÀ ỨNG PHÓ VỚI CẢM XÚC TIÊU CỰC TRONG HỌC TẬP Ở SINH VIÊN TRƯỜNG ĐẠI HỌC SÀI GÒN: VAI TRÒ ĐIỀU TIẾT CỦA LÒNG TỰ TRỌNG")</f>
        <v>MỐI LIÊN HỆ GIỮA CẢM XÚC TIÊU CỰC VÀ ỨNG PHÓ VỚI CẢM XÚC TIÊU CỰC TRONG HỌC TẬP Ở SINH VIÊN TRƯỜNG ĐẠI HỌC SÀI GÒN: VAI TRÒ ĐIỀU TIẾT CỦA LÒNG TỰ TRỌNG</v>
      </c>
      <c r="D205" s="4" t="str">
        <f>IFERROR(__xludf.DUMMYFUNCTION("""COMPUTED_VALUE"""),"Lê Phan Khánh Linh; Hồ Thị Thanh Nhàn; Phan Tiến Trường; Trương Thanh Hoàng")</f>
        <v>Lê Phan Khánh Linh; Hồ Thị Thanh Nhàn; Phan Tiến Trường; Trương Thanh Hoàng</v>
      </c>
      <c r="E205" s="4" t="str">
        <f>IFERROR(__xludf.DUMMYFUNCTION("""COMPUTED_VALUE"""),"Trường Đại học Sài Gòn")</f>
        <v>Trường Đại học Sài Gòn</v>
      </c>
      <c r="F205" s="4" t="str">
        <f>IFERROR(__xludf.DUMMYFUNCTION("""COMPUTED_VALUE"""),"KHXH2026-204.png")</f>
        <v>KHXH2026-204.png</v>
      </c>
    </row>
    <row r="206">
      <c r="A206" s="4" t="str">
        <f>IFERROR(__xludf.DUMMYFUNCTION("""COMPUTED_VALUE"""),"KHXH2026-205")</f>
        <v>KHXH2026-205</v>
      </c>
      <c r="B206" s="4" t="str">
        <f>IFERROR(__xludf.DUMMYFUNCTION("""COMPUTED_VALUE"""),"Khoa học xã hội")</f>
        <v>Khoa học xã hội</v>
      </c>
      <c r="C206" s="4" t="str">
        <f>IFERROR(__xludf.DUMMYFUNCTION("""COMPUTED_VALUE"""),"MỐI LIÊN HỆ GIỮA KHỦNG HOẢNG BẢN SẮC CÁ NHÂN VÀ CĂNG THẲNG TÂM LÝ Ở SINH VIÊN TRƯỜNG ĐẠI HỌC SÀI GÒN")</f>
        <v>MỐI LIÊN HỆ GIỮA KHỦNG HOẢNG BẢN SẮC CÁ NHÂN VÀ CĂNG THẲNG TÂM LÝ Ở SINH VIÊN TRƯỜNG ĐẠI HỌC SÀI GÒN</v>
      </c>
      <c r="D206" s="4" t="str">
        <f>IFERROR(__xludf.DUMMYFUNCTION("""COMPUTED_VALUE"""),"Nguyễn Diệu Linh; Trần Nguyễn Lâm Như")</f>
        <v>Nguyễn Diệu Linh; Trần Nguyễn Lâm Như</v>
      </c>
      <c r="E206" s="4" t="str">
        <f>IFERROR(__xludf.DUMMYFUNCTION("""COMPUTED_VALUE"""),"Trường Đại học Sài Gòn")</f>
        <v>Trường Đại học Sài Gòn</v>
      </c>
      <c r="F206" s="4" t="str">
        <f>IFERROR(__xludf.DUMMYFUNCTION("""COMPUTED_VALUE"""),"KHXH2026-205.png")</f>
        <v>KHXH2026-205.png</v>
      </c>
    </row>
    <row r="207">
      <c r="A207" s="4" t="str">
        <f>IFERROR(__xludf.DUMMYFUNCTION("""COMPUTED_VALUE"""),"KHXH2026-206")</f>
        <v>KHXH2026-206</v>
      </c>
      <c r="B207" s="4" t="str">
        <f>IFERROR(__xludf.DUMMYFUNCTION("""COMPUTED_VALUE"""),"Khoa học xã hội")</f>
        <v>Khoa học xã hội</v>
      </c>
      <c r="C207" s="4" t="str">
        <f>IFERROR(__xludf.DUMMYFUNCTION("""COMPUTED_VALUE"""),"Đánh giá ảnh hưởng của hệ thống chatbot AI đến khả năng tự học của sinh viên Trường Đại học Sư phạm Kỹ thuật Thành phố Hồ Chí Minh.")</f>
        <v>Đánh giá ảnh hưởng của hệ thống chatbot AI đến khả năng tự học của sinh viên Trường Đại học Sư phạm Kỹ thuật Thành phố Hồ Chí Minh.</v>
      </c>
      <c r="D207" s="4" t="str">
        <f>IFERROR(__xludf.DUMMYFUNCTION("""COMPUTED_VALUE"""),"Nguyễn Minh Hoàng; Trần Ngọc Anh; Đoàn Trần Thiên Phúc; Trương Thị Ngọc Trinh")</f>
        <v>Nguyễn Minh Hoàng; Trần Ngọc Anh; Đoàn Trần Thiên Phúc; Trương Thị Ngọc Trinh</v>
      </c>
      <c r="E207" s="4" t="str">
        <f>IFERROR(__xludf.DUMMYFUNCTION("""COMPUTED_VALUE"""),"Trường Đại học Công nghệ Kỹ thuật TP. Hồ Chí Minh")</f>
        <v>Trường Đại học Công nghệ Kỹ thuật TP. Hồ Chí Minh</v>
      </c>
      <c r="F207" s="4" t="str">
        <f>IFERROR(__xludf.DUMMYFUNCTION("""COMPUTED_VALUE"""),"KHXH2026-206.png")</f>
        <v>KHXH2026-206.png</v>
      </c>
    </row>
    <row r="208">
      <c r="A208" s="4" t="str">
        <f>IFERROR(__xludf.DUMMYFUNCTION("""COMPUTED_VALUE"""),"KHXH2026-207")</f>
        <v>KHXH2026-207</v>
      </c>
      <c r="B208" s="4" t="str">
        <f>IFERROR(__xludf.DUMMYFUNCTION("""COMPUTED_VALUE"""),"Khoa học xã hội")</f>
        <v>Khoa học xã hội</v>
      </c>
      <c r="C208" s="4" t="str">
        <f>IFERROR(__xludf.DUMMYFUNCTION("""COMPUTED_VALUE"""),"Phản ứng cảm xúc và hành vi của sinh viên Trường Đại học Công nghệ Kỹ thuật thành phố Hồ Chí Minh trước sai chuẩn đại đức của người nổi tiếng thuộc thế hệ Gen Z")</f>
        <v>Phản ứng cảm xúc và hành vi của sinh viên Trường Đại học Công nghệ Kỹ thuật thành phố Hồ Chí Minh trước sai chuẩn đại đức của người nổi tiếng thuộc thế hệ Gen Z</v>
      </c>
      <c r="D208" s="4" t="str">
        <f>IFERROR(__xludf.DUMMYFUNCTION("""COMPUTED_VALUE"""),"Lê Thị Kim Thùy; Thái Minh Tuệ; Huỳnh Thị Yến Nhi")</f>
        <v>Lê Thị Kim Thùy; Thái Minh Tuệ; Huỳnh Thị Yến Nhi</v>
      </c>
      <c r="E208" s="4" t="str">
        <f>IFERROR(__xludf.DUMMYFUNCTION("""COMPUTED_VALUE"""),"Trường Đại học Công nghệ Kỹ thuật TP. Hồ Chí Minh")</f>
        <v>Trường Đại học Công nghệ Kỹ thuật TP. Hồ Chí Minh</v>
      </c>
      <c r="F208" s="4" t="str">
        <f>IFERROR(__xludf.DUMMYFUNCTION("""COMPUTED_VALUE"""),"KHXH2026-207.png")</f>
        <v>KHXH2026-207.png</v>
      </c>
    </row>
    <row r="209">
      <c r="A209" s="4" t="str">
        <f>IFERROR(__xludf.DUMMYFUNCTION("""COMPUTED_VALUE"""),"KHXH2026-208")</f>
        <v>KHXH2026-208</v>
      </c>
      <c r="B209" s="4" t="str">
        <f>IFERROR(__xludf.DUMMYFUNCTION("""COMPUTED_VALUE"""),"Khoa học xã hội")</f>
        <v>Khoa học xã hội</v>
      </c>
      <c r="C209" s="4" t="str">
        <f>IFERROR(__xludf.DUMMYFUNCTION("""COMPUTED_VALUE"""),"Hứng thú trong hoạt động học tập của sinh viên Trường Đại học Luật Hà Nội đối với các học phần chuyên ngành tâm lý học tại trường")</f>
        <v>Hứng thú trong hoạt động học tập của sinh viên Trường Đại học Luật Hà Nội đối với các học phần chuyên ngành tâm lý học tại trường</v>
      </c>
      <c r="D209" s="4" t="str">
        <f>IFERROR(__xludf.DUMMYFUNCTION("""COMPUTED_VALUE"""),"Trần Thảo Ngọc; Nguyễn Thị Kiều Oanh")</f>
        <v>Trần Thảo Ngọc; Nguyễn Thị Kiều Oanh</v>
      </c>
      <c r="E209" s="4" t="str">
        <f>IFERROR(__xludf.DUMMYFUNCTION("""COMPUTED_VALUE"""),"Trường Đại học Luật Hà Nội")</f>
        <v>Trường Đại học Luật Hà Nội</v>
      </c>
      <c r="F209" s="4" t="str">
        <f>IFERROR(__xludf.DUMMYFUNCTION("""COMPUTED_VALUE"""),"KHXH2026-208.png")</f>
        <v>KHXH2026-208.png</v>
      </c>
    </row>
    <row r="210">
      <c r="A210" s="4" t="str">
        <f>IFERROR(__xludf.DUMMYFUNCTION("""COMPUTED_VALUE"""),"KHXH2026-209")</f>
        <v>KHXH2026-209</v>
      </c>
      <c r="B210" s="4" t="str">
        <f>IFERROR(__xludf.DUMMYFUNCTION("""COMPUTED_VALUE"""),"Khoa học xã hội")</f>
        <v>Khoa học xã hội</v>
      </c>
      <c r="C210" s="4" t="str">
        <f>IFERROR(__xludf.DUMMYFUNCTION("""COMPUTED_VALUE"""),"Thái độ của sinh viên dối với việc ứng dụng trí tuệ nhân tạo trong tham vấn tâm lý")</f>
        <v>Thái độ của sinh viên dối với việc ứng dụng trí tuệ nhân tạo trong tham vấn tâm lý</v>
      </c>
      <c r="D210" s="4" t="str">
        <f>IFERROR(__xludf.DUMMYFUNCTION("""COMPUTED_VALUE"""),"Phạm Hoàng Minh; Hà Phương Linh; Vũ Hoa Chi")</f>
        <v>Phạm Hoàng Minh; Hà Phương Linh; Vũ Hoa Chi</v>
      </c>
      <c r="E210" s="4" t="str">
        <f>IFERROR(__xludf.DUMMYFUNCTION("""COMPUTED_VALUE"""),"Trường Đại học Luật Hà Nội")</f>
        <v>Trường Đại học Luật Hà Nội</v>
      </c>
      <c r="F210" s="4" t="str">
        <f>IFERROR(__xludf.DUMMYFUNCTION("""COMPUTED_VALUE"""),"KHXH2026-209.png")</f>
        <v>KHXH2026-209.png</v>
      </c>
    </row>
    <row r="211">
      <c r="A211" s="4" t="str">
        <f>IFERROR(__xludf.DUMMYFUNCTION("""COMPUTED_VALUE"""),"KHXH2026-210")</f>
        <v>KHXH2026-210</v>
      </c>
      <c r="B211" s="4" t="str">
        <f>IFERROR(__xludf.DUMMYFUNCTION("""COMPUTED_VALUE"""),"Khoa học xã hội")</f>
        <v>Khoa học xã hội</v>
      </c>
      <c r="C211" s="4" t="str">
        <f>IFERROR(__xludf.DUMMYFUNCTION("""COMPUTED_VALUE"""),"Tác động của sự sẵn sàng chuyển đổi sang lối sống xanh đến việc thực hiện hành vi sống xanh của sinh viên đại học tại Thành phố Hồ Chí Minh: Kiểm định thang đo RTCS và vai trò trung gian của ý định thực hiện lối sống xanh")</f>
        <v>Tác động của sự sẵn sàng chuyển đổi sang lối sống xanh đến việc thực hiện hành vi sống xanh của sinh viên đại học tại Thành phố Hồ Chí Minh: Kiểm định thang đo RTCS và vai trò trung gian của ý định thực hiện lối sống xanh</v>
      </c>
      <c r="D211" s="4" t="str">
        <f>IFERROR(__xludf.DUMMYFUNCTION("""COMPUTED_VALUE"""),"Trần Thị Mai Anh; Vũ Thị Hà Phương")</f>
        <v>Trần Thị Mai Anh; Vũ Thị Hà Phương</v>
      </c>
      <c r="E211" s="4" t="str">
        <f>IFERROR(__xludf.DUMMYFUNCTION("""COMPUTED_VALUE"""),"Trường Đại học Công Thương TP. Hồ Chí Minh")</f>
        <v>Trường Đại học Công Thương TP. Hồ Chí Minh</v>
      </c>
      <c r="F211" s="4" t="str">
        <f>IFERROR(__xludf.DUMMYFUNCTION("""COMPUTED_VALUE"""),"KHXH2026-210.png")</f>
        <v>KHXH2026-210.png</v>
      </c>
    </row>
    <row r="212">
      <c r="A212" s="4" t="str">
        <f>IFERROR(__xludf.DUMMYFUNCTION("""COMPUTED_VALUE"""),"KHXH2026-211")</f>
        <v>KHXH2026-211</v>
      </c>
      <c r="B212" s="4" t="str">
        <f>IFERROR(__xludf.DUMMYFUNCTION("""COMPUTED_VALUE"""),"Khoa học xã hội")</f>
        <v>Khoa học xã hội</v>
      </c>
      <c r="C212" s="4" t="str">
        <f>IFERROR(__xludf.DUMMYFUNCTION("""COMPUTED_VALUE"""),"TÁC ĐỘNG CỦA NHẬN THỨC NGUY CƠ BỊ A.I THAY THẾ ĐẾN Ý ĐỊNH THAY ĐỔI NGHỀ NGHIỆP Ở SINH VIÊN: VAI TRÒ CỦA LO NGẠI HIỆN SINH VÀ NĂNG LỰC A.I TẠI MỘT SỐ TRƯỜNG ĐẠI HỌC NGOÀI CÔNG LẬP TÂY NGUYÊN VÀ TP.HCM")</f>
        <v>TÁC ĐỘNG CỦA NHẬN THỨC NGUY CƠ BỊ A.I THAY THẾ ĐẾN Ý ĐỊNH THAY ĐỔI NGHỀ NGHIỆP Ở SINH VIÊN: VAI TRÒ CỦA LO NGẠI HIỆN SINH VÀ NĂNG LỰC A.I TẠI MỘT SỐ TRƯỜNG ĐẠI HỌC NGOÀI CÔNG LẬP TÂY NGUYÊN VÀ TP.HCM</v>
      </c>
      <c r="D212" s="4" t="str">
        <f>IFERROR(__xludf.DUMMYFUNCTION("""COMPUTED_VALUE"""),"Trần Bảo Kiên; Nguyễn Cao Thanh Thủy; Nguyễn Ngọc Điền")</f>
        <v>Trần Bảo Kiên; Nguyễn Cao Thanh Thủy; Nguyễn Ngọc Điền</v>
      </c>
      <c r="E212" s="4" t="str">
        <f>IFERROR(__xludf.DUMMYFUNCTION("""COMPUTED_VALUE"""),"Trường Đại học Yersin Đà Lạt")</f>
        <v>Trường Đại học Yersin Đà Lạt</v>
      </c>
      <c r="F212" s="4" t="str">
        <f>IFERROR(__xludf.DUMMYFUNCTION("""COMPUTED_VALUE"""),"KHXH2026-211.png")</f>
        <v>KHXH2026-211.png</v>
      </c>
    </row>
    <row r="213">
      <c r="A213" s="4" t="str">
        <f>IFERROR(__xludf.DUMMYFUNCTION("""COMPUTED_VALUE"""),"KHXH2026-212")</f>
        <v>KHXH2026-212</v>
      </c>
      <c r="B213" s="4" t="str">
        <f>IFERROR(__xludf.DUMMYFUNCTION("""COMPUTED_VALUE"""),"Khoa học xã hội")</f>
        <v>Khoa học xã hội</v>
      </c>
      <c r="C213" s="4" t="str">
        <f>IFERROR(__xludf.DUMMYFUNCTION("""COMPUTED_VALUE"""),"Thích ứng tâm lý - xã hội của sinh viên năm thứ nhất Trường Đại học Thủ Dầu Một")</f>
        <v>Thích ứng tâm lý - xã hội của sinh viên năm thứ nhất Trường Đại học Thủ Dầu Một</v>
      </c>
      <c r="D213" s="4" t="str">
        <f>IFERROR(__xludf.DUMMYFUNCTION("""COMPUTED_VALUE"""),"Châu Tuấn Anh")</f>
        <v>Châu Tuấn Anh</v>
      </c>
      <c r="E213" s="4" t="str">
        <f>IFERROR(__xludf.DUMMYFUNCTION("""COMPUTED_VALUE"""),"Trường Đại học Thủ Dầu Một")</f>
        <v>Trường Đại học Thủ Dầu Một</v>
      </c>
      <c r="F213" s="4" t="str">
        <f>IFERROR(__xludf.DUMMYFUNCTION("""COMPUTED_VALUE"""),"KHXH2026-212.png")</f>
        <v>KHXH2026-212.png</v>
      </c>
    </row>
    <row r="214">
      <c r="A214" s="4" t="str">
        <f>IFERROR(__xludf.DUMMYFUNCTION("""COMPUTED_VALUE"""),"KHXH2026-213")</f>
        <v>KHXH2026-213</v>
      </c>
      <c r="B214" s="4" t="str">
        <f>IFERROR(__xludf.DUMMYFUNCTION("""COMPUTED_VALUE"""),"Khoa học xã hội")</f>
        <v>Khoa học xã hội</v>
      </c>
      <c r="C214" s="4" t="str">
        <f>IFERROR(__xludf.DUMMYFUNCTION("""COMPUTED_VALUE"""),"MỨC ĐỘ HÀI LÒNG CỦA SINH VIÊN TRƯỜNG ĐẠI HỌC LUẬT HÀ NỘI ĐỐI VỚI CÁC HỌC PHẦN THUỘC CHUYÊN NGÀNH TÂM LÝ HỌC TẠI TRƯỜNG")</f>
        <v>MỨC ĐỘ HÀI LÒNG CỦA SINH VIÊN TRƯỜNG ĐẠI HỌC LUẬT HÀ NỘI ĐỐI VỚI CÁC HỌC PHẦN THUỘC CHUYÊN NGÀNH TÂM LÝ HỌC TẠI TRƯỜNG</v>
      </c>
      <c r="D214" s="4" t="str">
        <f>IFERROR(__xludf.DUMMYFUNCTION("""COMPUTED_VALUE"""),"Lưu Hoài Vân; Lê Hương Giang; Vũ Thảo Ly")</f>
        <v>Lưu Hoài Vân; Lê Hương Giang; Vũ Thảo Ly</v>
      </c>
      <c r="E214" s="4" t="str">
        <f>IFERROR(__xludf.DUMMYFUNCTION("""COMPUTED_VALUE"""),"Trường Đại học Luật Hà Nội")</f>
        <v>Trường Đại học Luật Hà Nội</v>
      </c>
      <c r="F214" s="4" t="str">
        <f>IFERROR(__xludf.DUMMYFUNCTION("""COMPUTED_VALUE"""),"KHXH2026-213.png")</f>
        <v>KHXH2026-213.png</v>
      </c>
    </row>
    <row r="215">
      <c r="A215" s="4" t="str">
        <f>IFERROR(__xludf.DUMMYFUNCTION("""COMPUTED_VALUE"""),"KHXH2026-214")</f>
        <v>KHXH2026-214</v>
      </c>
      <c r="B215" s="4" t="str">
        <f>IFERROR(__xludf.DUMMYFUNCTION("""COMPUTED_VALUE"""),"Khoa học xã hội")</f>
        <v>Khoa học xã hội</v>
      </c>
      <c r="C215" s="4" t="str">
        <f>IFERROR(__xludf.DUMMYFUNCTION("""COMPUTED_VALUE"""),"Hành vi Phát ngôn gây thù ghét và Xúc phạm danh dự trên không gian mạng của giới trẻ Việt Nam")</f>
        <v>Hành vi Phát ngôn gây thù ghét và Xúc phạm danh dự trên không gian mạng của giới trẻ Việt Nam</v>
      </c>
      <c r="D215" s="4" t="str">
        <f>IFERROR(__xludf.DUMMYFUNCTION("""COMPUTED_VALUE"""),"Bùi Thị Như Ý; Nguyễn Công Vĩnh Tường; Lương Thanh Trúc; Nguyễn Đình Minh Quân")</f>
        <v>Bùi Thị Như Ý; Nguyễn Công Vĩnh Tường; Lương Thanh Trúc; Nguyễn Đình Minh Quân</v>
      </c>
      <c r="E215" s="4" t="str">
        <f>IFERROR(__xludf.DUMMYFUNCTION("""COMPUTED_VALUE"""),"Trường Đại học Luật TP. Hồ Chí Minh")</f>
        <v>Trường Đại học Luật TP. Hồ Chí Minh</v>
      </c>
      <c r="F215" s="4" t="str">
        <f>IFERROR(__xludf.DUMMYFUNCTION("""COMPUTED_VALUE"""),"KHXH2026-214.png")</f>
        <v>KHXH2026-214.png</v>
      </c>
    </row>
    <row r="216">
      <c r="A216" s="4" t="str">
        <f>IFERROR(__xludf.DUMMYFUNCTION("""COMPUTED_VALUE"""),"KHXH2026-215")</f>
        <v>KHXH2026-215</v>
      </c>
      <c r="B216" s="4" t="str">
        <f>IFERROR(__xludf.DUMMYFUNCTION("""COMPUTED_VALUE"""),"Khoa học xã hội")</f>
        <v>Khoa học xã hội</v>
      </c>
      <c r="C216" s="4" t="str">
        <f>IFERROR(__xludf.DUMMYFUNCTION("""COMPUTED_VALUE"""),"TRÍ TUỆ CẢM XÚC CỦA SINH VIÊN: NGHIÊN CỨU TRƯỜNG HỢP TẠI MỘT TRƯỜNG ĐẠI HỌC KHỐI NGÀNH KHOA HỌC XÃ HỘI Ở THÀNH PHỐ HỒ CHÍ MINH")</f>
        <v>TRÍ TUỆ CẢM XÚC CỦA SINH VIÊN: NGHIÊN CỨU TRƯỜNG HỢP TẠI MỘT TRƯỜNG ĐẠI HỌC KHỐI NGÀNH KHOA HỌC XÃ HỘI Ở THÀNH PHỐ HỒ CHÍ MINH</v>
      </c>
      <c r="D216" s="4" t="str">
        <f>IFERROR(__xludf.DUMMYFUNCTION("""COMPUTED_VALUE"""),"Đỗ Thị Bích Hạnh; Phù Vạn Kha; Hoàng Kim Thu Ngân")</f>
        <v>Đỗ Thị Bích Hạnh; Phù Vạn Kha; Hoàng Kim Thu Ngân</v>
      </c>
      <c r="E216" s="4" t="str">
        <f>IFERROR(__xludf.DUMMYFUNCTION("""COMPUTED_VALUE"""),"Trường Đại học Lao động - Xã hội (CS2)")</f>
        <v>Trường Đại học Lao động - Xã hội (CS2)</v>
      </c>
      <c r="F216" s="4" t="str">
        <f>IFERROR(__xludf.DUMMYFUNCTION("""COMPUTED_VALUE"""),"KHXH2026-215.png")</f>
        <v>KHXH2026-215.png</v>
      </c>
    </row>
    <row r="217">
      <c r="A217" s="4" t="str">
        <f>IFERROR(__xludf.DUMMYFUNCTION("""COMPUTED_VALUE"""),"KHXH2026-216")</f>
        <v>KHXH2026-216</v>
      </c>
      <c r="B217" s="4" t="str">
        <f>IFERROR(__xludf.DUMMYFUNCTION("""COMPUTED_VALUE"""),"Khoa học xã hội")</f>
        <v>Khoa học xã hội</v>
      </c>
      <c r="C217" s="4" t="str">
        <f>IFERROR(__xludf.DUMMYFUNCTION("""COMPUTED_VALUE"""),"AI RECOMMENDATION RESISTANCE IN ONLINE PERSONAL CARE SHOPPING: AN INNOVATION RESISTANCE THEORY STUDY IN VIETNAM")</f>
        <v>AI RECOMMENDATION RESISTANCE IN ONLINE PERSONAL CARE SHOPPING: AN INNOVATION RESISTANCE THEORY STUDY IN VIETNAM</v>
      </c>
      <c r="D217" s="4" t="str">
        <f>IFERROR(__xludf.DUMMYFUNCTION("""COMPUTED_VALUE"""),"Ngô Đức Khoa; Hàn Thảo Nhi; Nguyễn Vy Vân")</f>
        <v>Ngô Đức Khoa; Hàn Thảo Nhi; Nguyễn Vy Vân</v>
      </c>
      <c r="E217" s="4" t="str">
        <f>IFERROR(__xludf.DUMMYFUNCTION("""COMPUTED_VALUE"""),"Trường Đại học Quốc Tế, ĐHQG-HCM")</f>
        <v>Trường Đại học Quốc Tế, ĐHQG-HCM</v>
      </c>
      <c r="F217" s="4" t="str">
        <f>IFERROR(__xludf.DUMMYFUNCTION("""COMPUTED_VALUE"""),"KHXH2026-216.png")</f>
        <v>KHXH2026-216.png</v>
      </c>
    </row>
    <row r="218">
      <c r="A218" s="4" t="str">
        <f>IFERROR(__xludf.DUMMYFUNCTION("""COMPUTED_VALUE"""),"KHXH2026-217")</f>
        <v>KHXH2026-217</v>
      </c>
      <c r="B218" s="4" t="str">
        <f>IFERROR(__xludf.DUMMYFUNCTION("""COMPUTED_VALUE"""),"Khoa học xã hội")</f>
        <v>Khoa học xã hội</v>
      </c>
      <c r="C218" s="4" t="str">
        <f>IFERROR(__xludf.DUMMYFUNCTION("""COMPUTED_VALUE"""),"Mối liên hệ giữa chủ nghĩa hoàn hảo và kiệt sức làm cha mẹ ở người trưởng thành trẻ tuổi")</f>
        <v>Mối liên hệ giữa chủ nghĩa hoàn hảo và kiệt sức làm cha mẹ ở người trưởng thành trẻ tuổi</v>
      </c>
      <c r="D218" s="4" t="str">
        <f>IFERROR(__xludf.DUMMYFUNCTION("""COMPUTED_VALUE"""),"Trương Nguyễn Ngọc Hân; Dương Huỳnh Khánh Thy; Nguyễn Khánh Linh; Trần Thị Thủy; Bùi Mỹ Tâm")</f>
        <v>Trương Nguyễn Ngọc Hân; Dương Huỳnh Khánh Thy; Nguyễn Khánh Linh; Trần Thị Thủy; Bùi Mỹ Tâm</v>
      </c>
      <c r="E218" s="4" t="str">
        <f>IFERROR(__xludf.DUMMYFUNCTION("""COMPUTED_VALUE"""),"Trường Đại học Sư phạm TP. Hồ Chí Minh")</f>
        <v>Trường Đại học Sư phạm TP. Hồ Chí Minh</v>
      </c>
      <c r="F218" s="4" t="str">
        <f>IFERROR(__xludf.DUMMYFUNCTION("""COMPUTED_VALUE"""),"KHXH2026-217.png")</f>
        <v>KHXH2026-217.png</v>
      </c>
    </row>
    <row r="219">
      <c r="A219" s="4" t="str">
        <f>IFERROR(__xludf.DUMMYFUNCTION("""COMPUTED_VALUE"""),"KHXH2026-218")</f>
        <v>KHXH2026-218</v>
      </c>
      <c r="B219" s="4" t="str">
        <f>IFERROR(__xludf.DUMMYFUNCTION("""COMPUTED_VALUE"""),"Khoa học xã hội")</f>
        <v>Khoa học xã hội</v>
      </c>
      <c r="C219" s="4" t="str">
        <f>IFERROR(__xludf.DUMMYFUNCTION("""COMPUTED_VALUE"""),"NĂNG LỰC THÍCH ỨNG TRONG HOẠT ĐỘNG HỌC TẬP CỦA SINH VIÊN NĂM NHẤT: NGHIÊN CỨU TRƯỜNG HỢP TẠI MỘT TRƯỜNG ĐẠI HỌC KHỐI NGÀNH LAO ĐỘNG - XÃ HỘI Ở THÀNH PHỐ HỒ CHÍ MINH")</f>
        <v>NĂNG LỰC THÍCH ỨNG TRONG HOẠT ĐỘNG HỌC TẬP CỦA SINH VIÊN NĂM NHẤT: NGHIÊN CỨU TRƯỜNG HỢP TẠI MỘT TRƯỜNG ĐẠI HỌC KHỐI NGÀNH LAO ĐỘNG - XÃ HỘI Ở THÀNH PHỐ HỒ CHÍ MINH</v>
      </c>
      <c r="D219" s="4" t="str">
        <f>IFERROR(__xludf.DUMMYFUNCTION("""COMPUTED_VALUE"""),"Lê Tài Lộc; Nguyễn Hoàng Yến; Nguyễn Huỳnh Đức; Võ Anh Thư")</f>
        <v>Lê Tài Lộc; Nguyễn Hoàng Yến; Nguyễn Huỳnh Đức; Võ Anh Thư</v>
      </c>
      <c r="E219" s="4" t="str">
        <f>IFERROR(__xludf.DUMMYFUNCTION("""COMPUTED_VALUE"""),"Trường Đại học Lao động - Xã hội (CS2)")</f>
        <v>Trường Đại học Lao động - Xã hội (CS2)</v>
      </c>
      <c r="F219" s="4" t="str">
        <f>IFERROR(__xludf.DUMMYFUNCTION("""COMPUTED_VALUE"""),"KHXH2026-218.png")</f>
        <v>KHXH2026-218.png</v>
      </c>
    </row>
    <row r="220">
      <c r="A220" s="4" t="str">
        <f>IFERROR(__xludf.DUMMYFUNCTION("""COMPUTED_VALUE"""),"KHXH2026-219")</f>
        <v>KHXH2026-219</v>
      </c>
      <c r="B220" s="4" t="str">
        <f>IFERROR(__xludf.DUMMYFUNCTION("""COMPUTED_VALUE"""),"Khoa học xã hội")</f>
        <v>Khoa học xã hội</v>
      </c>
      <c r="C220" s="4" t="str">
        <f>IFERROR(__xludf.DUMMYFUNCTION("""COMPUTED_VALUE"""),"KỸ NĂNG XÂY DỰNG THƯƠNG HIỆU CÁ NHÂN CỦA SINH VIÊN")</f>
        <v>KỸ NĂNG XÂY DỰNG THƯƠNG HIỆU CÁ NHÂN CỦA SINH VIÊN</v>
      </c>
      <c r="D220" s="4" t="str">
        <f>IFERROR(__xludf.DUMMYFUNCTION("""COMPUTED_VALUE"""),"Đặng Thị Kim Trang")</f>
        <v>Đặng Thị Kim Trang</v>
      </c>
      <c r="E220" s="4" t="str">
        <f>IFERROR(__xludf.DUMMYFUNCTION("""COMPUTED_VALUE"""),"Trường Đại học Lao động - Xã hội (CS2)")</f>
        <v>Trường Đại học Lao động - Xã hội (CS2)</v>
      </c>
      <c r="F220" s="4" t="str">
        <f>IFERROR(__xludf.DUMMYFUNCTION("""COMPUTED_VALUE"""),"KHXH2026-219.png")</f>
        <v>KHXH2026-219.png</v>
      </c>
    </row>
    <row r="221">
      <c r="A221" s="4" t="str">
        <f>IFERROR(__xludf.DUMMYFUNCTION("""COMPUTED_VALUE"""),"KHXH2026-220")</f>
        <v>KHXH2026-220</v>
      </c>
      <c r="B221" s="4" t="str">
        <f>IFERROR(__xludf.DUMMYFUNCTION("""COMPUTED_VALUE"""),"Khoa học xã hội")</f>
        <v>Khoa học xã hội</v>
      </c>
      <c r="C221" s="4" t="str">
        <f>IFERROR(__xludf.DUMMYFUNCTION("""COMPUTED_VALUE"""),"Tác động của FOMO và dân trí tài chính lên hành vi đầu tư trên thị trường chứng khoán tại Việt Nam.")</f>
        <v>Tác động của FOMO và dân trí tài chính lên hành vi đầu tư trên thị trường chứng khoán tại Việt Nam.</v>
      </c>
      <c r="D221" s="4" t="str">
        <f>IFERROR(__xludf.DUMMYFUNCTION("""COMPUTED_VALUE"""),"Hoàng Nhật Minh; Nguyễn Thành Tâm; Vũ Thị Phương Mai; Hồ Thị Hoài; Trần Thị Minh Ngọc")</f>
        <v>Hoàng Nhật Minh; Nguyễn Thành Tâm; Vũ Thị Phương Mai; Hồ Thị Hoài; Trần Thị Minh Ngọc</v>
      </c>
      <c r="E221" s="4" t="str">
        <f>IFERROR(__xludf.DUMMYFUNCTION("""COMPUTED_VALUE"""),"Học viện Ngân hàng")</f>
        <v>Học viện Ngân hàng</v>
      </c>
      <c r="F221" s="4" t="str">
        <f>IFERROR(__xludf.DUMMYFUNCTION("""COMPUTED_VALUE"""),"KHXH2026-220.png")</f>
        <v>KHXH2026-220.png</v>
      </c>
    </row>
    <row r="222">
      <c r="A222" s="4" t="str">
        <f>IFERROR(__xludf.DUMMYFUNCTION("""COMPUTED_VALUE"""),"KHXH2026-221")</f>
        <v>KHXH2026-221</v>
      </c>
      <c r="B222" s="4" t="str">
        <f>IFERROR(__xludf.DUMMYFUNCTION("""COMPUTED_VALUE"""),"Khoa học xã hội")</f>
        <v>Khoa học xã hội</v>
      </c>
      <c r="C222" s="4" t="str">
        <f>IFERROR(__xludf.DUMMYFUNCTION("""COMPUTED_VALUE"""),"Áp lực thành công sớm và hội chứng kiệt sức của sinh viên Học viện Ngân hàng hiện nay: Thực trạng và định hướng giải pháp")</f>
        <v>Áp lực thành công sớm và hội chứng kiệt sức của sinh viên Học viện Ngân hàng hiện nay: Thực trạng và định hướng giải pháp</v>
      </c>
      <c r="D222" s="4" t="str">
        <f>IFERROR(__xludf.DUMMYFUNCTION("""COMPUTED_VALUE"""),"Nguyễn Hương Linh; Nguyễn Thị Khánh Huyền; Trần Thị Thanh Hiền; Nguyễn Thu Hoài; Trần Thu Hà")</f>
        <v>Nguyễn Hương Linh; Nguyễn Thị Khánh Huyền; Trần Thị Thanh Hiền; Nguyễn Thu Hoài; Trần Thu Hà</v>
      </c>
      <c r="E222" s="4" t="str">
        <f>IFERROR(__xludf.DUMMYFUNCTION("""COMPUTED_VALUE"""),"Học viện Ngân hàng")</f>
        <v>Học viện Ngân hàng</v>
      </c>
      <c r="F222" s="4" t="str">
        <f>IFERROR(__xludf.DUMMYFUNCTION("""COMPUTED_VALUE"""),"KHXH2026-221.png")</f>
        <v>KHXH2026-221.png</v>
      </c>
    </row>
    <row r="223">
      <c r="A223" s="4" t="str">
        <f>IFERROR(__xludf.DUMMYFUNCTION("""COMPUTED_VALUE"""),"KHXH2026-222")</f>
        <v>KHXH2026-222</v>
      </c>
      <c r="B223" s="4" t="str">
        <f>IFERROR(__xludf.DUMMYFUNCTION("""COMPUTED_VALUE"""),"Khoa học xã hội")</f>
        <v>Khoa học xã hội</v>
      </c>
      <c r="C223" s="4" t="str">
        <f>IFERROR(__xludf.DUMMYFUNCTION("""COMPUTED_VALUE"""),"Factors Affecting the Entrepreneurial Intention of Hanoi Students")</f>
        <v>Factors Affecting the Entrepreneurial Intention of Hanoi Students</v>
      </c>
      <c r="D223" s="4" t="str">
        <f>IFERROR(__xludf.DUMMYFUNCTION("""COMPUTED_VALUE"""),"Lê Hà Anh; Hoàng Thị Mây; Nguyễn Trường Giang; Nguyễn Vũ Kiệt")</f>
        <v>Lê Hà Anh; Hoàng Thị Mây; Nguyễn Trường Giang; Nguyễn Vũ Kiệt</v>
      </c>
      <c r="E223" s="4" t="str">
        <f>IFERROR(__xludf.DUMMYFUNCTION("""COMPUTED_VALUE"""),"Trường Đại học Kinh tế, ĐHQG Hà Nội")</f>
        <v>Trường Đại học Kinh tế, ĐHQG Hà Nội</v>
      </c>
      <c r="F223" s="4" t="str">
        <f>IFERROR(__xludf.DUMMYFUNCTION("""COMPUTED_VALUE"""),"KHXH2026-222.png")</f>
        <v>KHXH2026-222.png</v>
      </c>
    </row>
    <row r="224">
      <c r="A224" s="4" t="str">
        <f>IFERROR(__xludf.DUMMYFUNCTION("""COMPUTED_VALUE"""),"KHXH2026-223")</f>
        <v>KHXH2026-223</v>
      </c>
      <c r="B224" s="4" t="str">
        <f>IFERROR(__xludf.DUMMYFUNCTION("""COMPUTED_VALUE"""),"Khoa học xã hội")</f>
        <v>Khoa học xã hội</v>
      </c>
      <c r="C224" s="4" t="str">
        <f>IFERROR(__xludf.DUMMYFUNCTION("""COMPUTED_VALUE"""),"TỪ NHẬN THỨC LỢI ÍCH ĐẾN HÀNH VI MÔI TRƯỜNG: ỨNG DỤNG THUYẾT TỰ QUYẾT VÀ THUYẾT HÀNH VI HOẠCH ĐỊNH TRONG PHÂN TÍCH CÁC YẾU TỐ ẢNH HƯỞNG ĐẾN Ý ĐỊNH THAM GIA HOẠT ĐỘNG BẢO VỆ MÔI TRƯỜNG CỦA SINH VIÊN TẠI TP.HCM")</f>
        <v>TỪ NHẬN THỨC LỢI ÍCH ĐẾN HÀNH VI MÔI TRƯỜNG: ỨNG DỤNG THUYẾT TỰ QUYẾT VÀ THUYẾT HÀNH VI HOẠCH ĐỊNH TRONG PHÂN TÍCH CÁC YẾU TỐ ẢNH HƯỞNG ĐẾN Ý ĐỊNH THAM GIA HOẠT ĐỘNG BẢO VỆ MÔI TRƯỜNG CỦA SINH VIÊN TẠI TP.HCM</v>
      </c>
      <c r="D224" s="4" t="str">
        <f>IFERROR(__xludf.DUMMYFUNCTION("""COMPUTED_VALUE"""),"Lê Vũ Tuyết Trinh; Nguyễn Lê Kim Ngân; Nguyễn Hoàng Phương Trang; Lê Huỳnh Phương Đông; Trần Trọng Nhân")</f>
        <v>Lê Vũ Tuyết Trinh; Nguyễn Lê Kim Ngân; Nguyễn Hoàng Phương Trang; Lê Huỳnh Phương Đông; Trần Trọng Nhân</v>
      </c>
      <c r="E224" s="4" t="str">
        <f>IFERROR(__xludf.DUMMYFUNCTION("""COMPUTED_VALUE"""),"Đại học Kinh tế TP. Hồ Chí Minh")</f>
        <v>Đại học Kinh tế TP. Hồ Chí Minh</v>
      </c>
      <c r="F224" s="4" t="str">
        <f>IFERROR(__xludf.DUMMYFUNCTION("""COMPUTED_VALUE"""),"KHXH2026-223.png")</f>
        <v>KHXH2026-223.png</v>
      </c>
    </row>
    <row r="225">
      <c r="A225" s="4" t="str">
        <f>IFERROR(__xludf.DUMMYFUNCTION("""COMPUTED_VALUE"""),"KHXH2026-224")</f>
        <v>KHXH2026-224</v>
      </c>
      <c r="B225" s="4" t="str">
        <f>IFERROR(__xludf.DUMMYFUNCTION("""COMPUTED_VALUE"""),"Khoa học xã hội")</f>
        <v>Khoa học xã hội</v>
      </c>
      <c r="C225" s="4" t="str">
        <f>IFERROR(__xludf.DUMMYFUNCTION("""COMPUTED_VALUE"""),"THE INFLUENCE OF GREENWASHING ON GREEN PARTICIPATION INTENTION AND GREEN WORD OF MOUTH: THE MEDIATING ROLES OF GREEN PERCEIVED RISK, GREEN TRUST, AND CORPORATE SOCIAL RESPONSIBILITY, AND THE MODERATING ROLE OF ENVIRONMENTAL AWARENESS")</f>
        <v>THE INFLUENCE OF GREENWASHING ON GREEN PARTICIPATION INTENTION AND GREEN WORD OF MOUTH: THE MEDIATING ROLES OF GREEN PERCEIVED RISK, GREEN TRUST, AND CORPORATE SOCIAL RESPONSIBILITY, AND THE MODERATING ROLE OF ENVIRONMENTAL AWARENESS</v>
      </c>
      <c r="D225" s="4" t="str">
        <f>IFERROR(__xludf.DUMMYFUNCTION("""COMPUTED_VALUE"""),"Lê Ngọc Khánh Vy; Cao Gia Bảo; Mai Phước Nguyên")</f>
        <v>Lê Ngọc Khánh Vy; Cao Gia Bảo; Mai Phước Nguyên</v>
      </c>
      <c r="E225" s="4" t="str">
        <f>IFERROR(__xludf.DUMMYFUNCTION("""COMPUTED_VALUE"""),"Trường Đại học Tôn Đức Thắng")</f>
        <v>Trường Đại học Tôn Đức Thắng</v>
      </c>
      <c r="F225" s="4" t="str">
        <f>IFERROR(__xludf.DUMMYFUNCTION("""COMPUTED_VALUE"""),"KHXH2026-224.png")</f>
        <v>KHXH2026-224.png</v>
      </c>
    </row>
    <row r="226">
      <c r="A226" s="4" t="str">
        <f>IFERROR(__xludf.DUMMYFUNCTION("""COMPUTED_VALUE"""),"KHXH2026-225")</f>
        <v>KHXH2026-225</v>
      </c>
      <c r="B226" s="4" t="str">
        <f>IFERROR(__xludf.DUMMYFUNCTION("""COMPUTED_VALUE"""),"Khoa học xã hội")</f>
        <v>Khoa học xã hội</v>
      </c>
      <c r="C226" s="4" t="str">
        <f>IFERROR(__xludf.DUMMYFUNCTION("""COMPUTED_VALUE"""),"ASYMMETRIC FRAMING IN CONFLICT: HOW U.S., IRANIAN, AND ISRAELI ONLINE NEWS MEDIA CONSTRUCT THE IMAGE OF IRAN")</f>
        <v>ASYMMETRIC FRAMING IN CONFLICT: HOW U.S., IRANIAN, AND ISRAELI ONLINE NEWS MEDIA CONSTRUCT THE IMAGE OF IRAN</v>
      </c>
      <c r="D226" s="4" t="str">
        <f>IFERROR(__xludf.DUMMYFUNCTION("""COMPUTED_VALUE"""),"Đinh Hải Nam")</f>
        <v>Đinh Hải Nam</v>
      </c>
      <c r="E226" s="4" t="str">
        <f>IFERROR(__xludf.DUMMYFUNCTION("""COMPUTED_VALUE"""),"Học viện Ngoại giao")</f>
        <v>Học viện Ngoại giao</v>
      </c>
      <c r="F226" s="4" t="str">
        <f>IFERROR(__xludf.DUMMYFUNCTION("""COMPUTED_VALUE"""),"KHXH2026-225.png")</f>
        <v>KHXH2026-225.png</v>
      </c>
    </row>
    <row r="227">
      <c r="A227" s="4" t="str">
        <f>IFERROR(__xludf.DUMMYFUNCTION("""COMPUTED_VALUE"""),"KHXH2026-226")</f>
        <v>KHXH2026-226</v>
      </c>
      <c r="B227" s="4" t="str">
        <f>IFERROR(__xludf.DUMMYFUNCTION("""COMPUTED_VALUE"""),"Khoa học xã hội")</f>
        <v>Khoa học xã hội</v>
      </c>
      <c r="C227" s="4" t="str">
        <f>IFERROR(__xludf.DUMMYFUNCTION("""COMPUTED_VALUE"""),"A DISCOURSE ANALYSIS OF NATIONAL IDENTITY CONSTRUCTION AMONG RETURNEES IN THE ‘NGƯỜI TRỞ VỀ’ TALK SERIES BY THE ONLINE NEWSPAPER VNEXPRESS IN 2025")</f>
        <v>A DISCOURSE ANALYSIS OF NATIONAL IDENTITY CONSTRUCTION AMONG RETURNEES IN THE ‘NGƯỜI TRỞ VỀ’ TALK SERIES BY THE ONLINE NEWSPAPER VNEXPRESS IN 2025</v>
      </c>
      <c r="D227" s="4" t="str">
        <f>IFERROR(__xludf.DUMMYFUNCTION("""COMPUTED_VALUE"""),"Nguyễn Khánh Linh; Trần Quỳnh Trang")</f>
        <v>Nguyễn Khánh Linh; Trần Quỳnh Trang</v>
      </c>
      <c r="E227" s="4" t="str">
        <f>IFERROR(__xludf.DUMMYFUNCTION("""COMPUTED_VALUE"""),"Học viện Ngoại giao")</f>
        <v>Học viện Ngoại giao</v>
      </c>
      <c r="F227" s="4" t="str">
        <f>IFERROR(__xludf.DUMMYFUNCTION("""COMPUTED_VALUE"""),"KHXH2026-226.png")</f>
        <v>KHXH2026-226.png</v>
      </c>
    </row>
    <row r="228">
      <c r="A228" s="4" t="str">
        <f>IFERROR(__xludf.DUMMYFUNCTION("""COMPUTED_VALUE"""),"KHXH2026-227")</f>
        <v>KHXH2026-227</v>
      </c>
      <c r="B228" s="4" t="str">
        <f>IFERROR(__xludf.DUMMYFUNCTION("""COMPUTED_VALUE"""),"Khoa học xã hội")</f>
        <v>Khoa học xã hội</v>
      </c>
      <c r="C228" s="4" t="str">
        <f>IFERROR(__xludf.DUMMYFUNCTION("""COMPUTED_VALUE"""),"THE DRAMATIZATION IN VIETNAMESE ONLINE NEWS HEADLINES ON GENDER-BASED VIOLENCE")</f>
        <v>THE DRAMATIZATION IN VIETNAMESE ONLINE NEWS HEADLINES ON GENDER-BASED VIOLENCE</v>
      </c>
      <c r="D228" s="4" t="str">
        <f>IFERROR(__xludf.DUMMYFUNCTION("""COMPUTED_VALUE"""),"Bùi Hoàng Phương; Lê Ngọc Thuỳ Linh; Phạm Thị Bảo Hoà; Nguyễn Hoàng Quỳnh Dao")</f>
        <v>Bùi Hoàng Phương; Lê Ngọc Thuỳ Linh; Phạm Thị Bảo Hoà; Nguyễn Hoàng Quỳnh Dao</v>
      </c>
      <c r="E228" s="4" t="str">
        <f>IFERROR(__xludf.DUMMYFUNCTION("""COMPUTED_VALUE"""),"Học viện Ngoại giao")</f>
        <v>Học viện Ngoại giao</v>
      </c>
      <c r="F228" s="4" t="str">
        <f>IFERROR(__xludf.DUMMYFUNCTION("""COMPUTED_VALUE"""),"KHXH2026-227.png")</f>
        <v>KHXH2026-227.png</v>
      </c>
    </row>
    <row r="229">
      <c r="A229" s="4" t="str">
        <f>IFERROR(__xludf.DUMMYFUNCTION("""COMPUTED_VALUE"""),"KHXH2026-228")</f>
        <v>KHXH2026-228</v>
      </c>
      <c r="B229" s="4" t="str">
        <f>IFERROR(__xludf.DUMMYFUNCTION("""COMPUTED_VALUE"""),"Khoa học xã hội")</f>
        <v>Khoa học xã hội</v>
      </c>
      <c r="C229" s="4" t="str">
        <f>IFERROR(__xludf.DUMMYFUNCTION("""COMPUTED_VALUE"""),"INTERNALIZED MISOGYNY IN VIETNAMESE TIKTOK CONTENT: A CONTENT ANALYSIS")</f>
        <v>INTERNALIZED MISOGYNY IN VIETNAMESE TIKTOK CONTENT: A CONTENT ANALYSIS</v>
      </c>
      <c r="D229" s="4" t="str">
        <f>IFERROR(__xludf.DUMMYFUNCTION("""COMPUTED_VALUE"""),"Lê Cao Mai Anh; Phạm Đức Quang Vũ")</f>
        <v>Lê Cao Mai Anh; Phạm Đức Quang Vũ</v>
      </c>
      <c r="E229" s="4" t="str">
        <f>IFERROR(__xludf.DUMMYFUNCTION("""COMPUTED_VALUE"""),"Học viện Ngoại giao")</f>
        <v>Học viện Ngoại giao</v>
      </c>
      <c r="F229" s="4" t="str">
        <f>IFERROR(__xludf.DUMMYFUNCTION("""COMPUTED_VALUE"""),"KHXH2026-228.png")</f>
        <v>KHXH2026-228.png</v>
      </c>
    </row>
    <row r="230">
      <c r="A230" s="4" t="str">
        <f>IFERROR(__xludf.DUMMYFUNCTION("""COMPUTED_VALUE"""),"KHXH2026-229")</f>
        <v>KHXH2026-229</v>
      </c>
      <c r="B230" s="4" t="str">
        <f>IFERROR(__xludf.DUMMYFUNCTION("""COMPUTED_VALUE"""),"Khoa học xã hội")</f>
        <v>Khoa học xã hội</v>
      </c>
      <c r="C230" s="4" t="str">
        <f>IFERROR(__xludf.DUMMYFUNCTION("""COMPUTED_VALUE"""),"NGÔN NGỮ SỐ HƯỚNG TỚI CÔNG CHÚNG TRẺ TRONG TRUYỀN THÔNG PHÒNG, CHỐNG MA TÚY TRÊN FACEBOOK: NGHIÊN CỨU TRƯỜNG HỢP FANPAGE “PHÒNG, CHỐNG MA TÚY - CÔNG AN TP. HỒ CHÍ MINH”")</f>
        <v>NGÔN NGỮ SỐ HƯỚNG TỚI CÔNG CHÚNG TRẺ TRONG TRUYỀN THÔNG PHÒNG, CHỐNG MA TÚY TRÊN FACEBOOK: NGHIÊN CỨU TRƯỜNG HỢP FANPAGE “PHÒNG, CHỐNG MA TÚY - CÔNG AN TP. HỒ CHÍ MINH”</v>
      </c>
      <c r="D230" s="4" t="str">
        <f>IFERROR(__xludf.DUMMYFUNCTION("""COMPUTED_VALUE"""),"Nguyễn Thị Hồng Hạnh; Nguyễn Vũ Phương Linh; Nông Thị Diệu Phương; Dương Thị Thanh Trúc; Trần Thu Hiền")</f>
        <v>Nguyễn Thị Hồng Hạnh; Nguyễn Vũ Phương Linh; Nông Thị Diệu Phương; Dương Thị Thanh Trúc; Trần Thu Hiền</v>
      </c>
      <c r="E230" s="4" t="str">
        <f>IFERROR(__xludf.DUMMYFUNCTION("""COMPUTED_VALUE"""),"Học viện Ngoại giao")</f>
        <v>Học viện Ngoại giao</v>
      </c>
      <c r="F230" s="4" t="str">
        <f>IFERROR(__xludf.DUMMYFUNCTION("""COMPUTED_VALUE"""),"KHXH2026-229.png")</f>
        <v>KHXH2026-229.png</v>
      </c>
    </row>
    <row r="231">
      <c r="A231" s="4" t="str">
        <f>IFERROR(__xludf.DUMMYFUNCTION("""COMPUTED_VALUE"""),"KHXH2026-230")</f>
        <v>KHXH2026-230</v>
      </c>
      <c r="B231" s="4" t="str">
        <f>IFERROR(__xludf.DUMMYFUNCTION("""COMPUTED_VALUE"""),"Khoa học xã hội")</f>
        <v>Khoa học xã hội</v>
      </c>
      <c r="C231" s="4" t="str">
        <f>IFERROR(__xludf.DUMMYFUNCTION("""COMPUTED_VALUE"""),"Nâng cao giá trị trải nghiệm du lịch thông qua ứng dụng công nghệ cao bằng chiến lược Phygital Marketing: thực trạng và khuyến nghị chính sách cho ngành du lịch Thành Phố Hồ Chí Minh")</f>
        <v>Nâng cao giá trị trải nghiệm du lịch thông qua ứng dụng công nghệ cao bằng chiến lược Phygital Marketing: thực trạng và khuyến nghị chính sách cho ngành du lịch Thành Phố Hồ Chí Minh</v>
      </c>
      <c r="D231" s="4" t="str">
        <f>IFERROR(__xludf.DUMMYFUNCTION("""COMPUTED_VALUE"""),"Nguyễn Lương Anh Tuấn; Nguyễn Gia Hân; Huỳnh Thị Đoan Trang")</f>
        <v>Nguyễn Lương Anh Tuấn; Nguyễn Gia Hân; Huỳnh Thị Đoan Trang</v>
      </c>
      <c r="E231" s="4" t="str">
        <f>IFERROR(__xludf.DUMMYFUNCTION("""COMPUTED_VALUE"""),"Trường Đại học Kinh tế - Tài chính TP. Hồ Chí Minh")</f>
        <v>Trường Đại học Kinh tế - Tài chính TP. Hồ Chí Minh</v>
      </c>
      <c r="F231" s="4" t="str">
        <f>IFERROR(__xludf.DUMMYFUNCTION("""COMPUTED_VALUE"""),"KHXH2026-230.png")</f>
        <v>KHXH2026-230.png</v>
      </c>
    </row>
    <row r="232">
      <c r="A232" s="4" t="str">
        <f>IFERROR(__xludf.DUMMYFUNCTION("""COMPUTED_VALUE"""),"KHXH2026-231")</f>
        <v>KHXH2026-231</v>
      </c>
      <c r="B232" s="4" t="str">
        <f>IFERROR(__xludf.DUMMYFUNCTION("""COMPUTED_VALUE"""),"Khoa học xã hội")</f>
        <v>Khoa học xã hội</v>
      </c>
      <c r="C232" s="4" t="str">
        <f>IFERROR(__xludf.DUMMYFUNCTION("""COMPUTED_VALUE"""),"Ảnh hưởng của yếu tố kể chuyện và tạo tranh cãi trong trailer phim đến kỳ vọng và ý định ra rạp của khán giả trẻ tại TP.HCM")</f>
        <v>Ảnh hưởng của yếu tố kể chuyện và tạo tranh cãi trong trailer phim đến kỳ vọng và ý định ra rạp của khán giả trẻ tại TP.HCM</v>
      </c>
      <c r="D232" s="4" t="str">
        <f>IFERROR(__xludf.DUMMYFUNCTION("""COMPUTED_VALUE"""),"Huỳnh Như Thảo; Nguyễn Thuý Hạnh; Trần Thuỳ Dung")</f>
        <v>Huỳnh Như Thảo; Nguyễn Thuý Hạnh; Trần Thuỳ Dung</v>
      </c>
      <c r="E232" s="4" t="str">
        <f>IFERROR(__xludf.DUMMYFUNCTION("""COMPUTED_VALUE"""),"Trường Đại học Kinh tế - Tài chính TP. Hồ Chí Minh")</f>
        <v>Trường Đại học Kinh tế - Tài chính TP. Hồ Chí Minh</v>
      </c>
      <c r="F232" s="4" t="str">
        <f>IFERROR(__xludf.DUMMYFUNCTION("""COMPUTED_VALUE"""),"KHXH2026-231.png")</f>
        <v>KHXH2026-231.png</v>
      </c>
    </row>
    <row r="233">
      <c r="A233" s="4" t="str">
        <f>IFERROR(__xludf.DUMMYFUNCTION("""COMPUTED_VALUE"""),"KHXH2026-232")</f>
        <v>KHXH2026-232</v>
      </c>
      <c r="B233" s="4" t="str">
        <f>IFERROR(__xludf.DUMMYFUNCTION("""COMPUTED_VALUE"""),"Khoa học xã hội")</f>
        <v>Khoa học xã hội</v>
      </c>
      <c r="C233" s="4" t="str">
        <f>IFERROR(__xludf.DUMMYFUNCTION("""COMPUTED_VALUE"""),"Exploring Perceptions and Intention to Use AI Voice-over by ElevenLabs among Gen Z and Related Communities in Vietnamese Folktale Storytelling for Children with visual impairment: A Mixed-Methods Study in Can Tho City")</f>
        <v>Exploring Perceptions and Intention to Use AI Voice-over by ElevenLabs among Gen Z and Related Communities in Vietnamese Folktale Storytelling for Children with visual impairment: A Mixed-Methods Study in Can Tho City</v>
      </c>
      <c r="D233" s="4" t="str">
        <f>IFERROR(__xludf.DUMMYFUNCTION("""COMPUTED_VALUE"""),"Trương Ngọc Phương Linh; Phạm Kim Ngân")</f>
        <v>Trương Ngọc Phương Linh; Phạm Kim Ngân</v>
      </c>
      <c r="E233" s="4" t="str">
        <f>IFERROR(__xludf.DUMMYFUNCTION("""COMPUTED_VALUE"""),"Trường Đại học FPT")</f>
        <v>Trường Đại học FPT</v>
      </c>
      <c r="F233" s="4" t="str">
        <f>IFERROR(__xludf.DUMMYFUNCTION("""COMPUTED_VALUE"""),"KHXH2026-232.png")</f>
        <v>KHXH2026-232.png</v>
      </c>
    </row>
    <row r="234">
      <c r="A234" s="4" t="str">
        <f>IFERROR(__xludf.DUMMYFUNCTION("""COMPUTED_VALUE"""),"KHXH2026-233")</f>
        <v>KHXH2026-233</v>
      </c>
      <c r="B234" s="4" t="str">
        <f>IFERROR(__xludf.DUMMYFUNCTION("""COMPUTED_VALUE"""),"Khoa học xã hội")</f>
        <v>Khoa học xã hội</v>
      </c>
      <c r="C234" s="4" t="str">
        <f>IFERROR(__xludf.DUMMYFUNCTION("""COMPUTED_VALUE"""),"TÁC ĐỘNG CỦA MẠNG XÃ HỘI ĐẾN XU HƯỚNG LỰA CHỌN TRANG PHỤC CỦA SINH VIÊN TRƯỜNG ĐẠI HỌC QUỐC TẾ HỒNG BÀNG")</f>
        <v>TÁC ĐỘNG CỦA MẠNG XÃ HỘI ĐẾN XU HƯỚNG LỰA CHỌN TRANG PHỤC CỦA SINH VIÊN TRƯỜNG ĐẠI HỌC QUỐC TẾ HỒNG BÀNG</v>
      </c>
      <c r="D234" s="4" t="str">
        <f>IFERROR(__xludf.DUMMYFUNCTION("""COMPUTED_VALUE"""),"Lê Nhật Trường")</f>
        <v>Lê Nhật Trường</v>
      </c>
      <c r="E234" s="4" t="str">
        <f>IFERROR(__xludf.DUMMYFUNCTION("""COMPUTED_VALUE"""),"Trường Đại học Quốc tế Hồng Bàng")</f>
        <v>Trường Đại học Quốc tế Hồng Bàng</v>
      </c>
      <c r="F234" s="4" t="str">
        <f>IFERROR(__xludf.DUMMYFUNCTION("""COMPUTED_VALUE"""),"KHXH2026-233.png")</f>
        <v>KHXH2026-233.png</v>
      </c>
    </row>
    <row r="235">
      <c r="A235" s="4" t="str">
        <f>IFERROR(__xludf.DUMMYFUNCTION("""COMPUTED_VALUE"""),"KHXH2026-234")</f>
        <v>KHXH2026-234</v>
      </c>
      <c r="B235" s="4" t="str">
        <f>IFERROR(__xludf.DUMMYFUNCTION("""COMPUTED_VALUE"""),"Khoa học xã hội")</f>
        <v>Khoa học xã hội</v>
      </c>
      <c r="C235" s="4" t="str">
        <f>IFERROR(__xludf.DUMMYFUNCTION("""COMPUTED_VALUE"""),"Ứng dụng truyền thông thị giác trong quảng bá làng nghề khảm trai Chuyên Mỹ (Nghiên cứu trường hợp làng nghề Chuôn Ngọ, xã Chuyên Mỹ, Hà Nội)")</f>
        <v>Ứng dụng truyền thông thị giác trong quảng bá làng nghề khảm trai Chuyên Mỹ (Nghiên cứu trường hợp làng nghề Chuôn Ngọ, xã Chuyên Mỹ, Hà Nội)</v>
      </c>
      <c r="D235" s="4" t="str">
        <f>IFERROR(__xludf.DUMMYFUNCTION("""COMPUTED_VALUE"""),"Phùng Quang Hưng; Nguyễn Thị Thùy Dương")</f>
        <v>Phùng Quang Hưng; Nguyễn Thị Thùy Dương</v>
      </c>
      <c r="E235" s="4" t="str">
        <f>IFERROR(__xludf.DUMMYFUNCTION("""COMPUTED_VALUE"""),"Trường Đại học Văn hóa Hà Nội")</f>
        <v>Trường Đại học Văn hóa Hà Nội</v>
      </c>
      <c r="F235" s="4" t="str">
        <f>IFERROR(__xludf.DUMMYFUNCTION("""COMPUTED_VALUE"""),"KHXH2026-234.png")</f>
        <v>KHXH2026-234.png</v>
      </c>
    </row>
    <row r="236">
      <c r="A236" s="4" t="str">
        <f>IFERROR(__xludf.DUMMYFUNCTION("""COMPUTED_VALUE"""),"KHXH2026-235")</f>
        <v>KHXH2026-235</v>
      </c>
      <c r="B236" s="4" t="str">
        <f>IFERROR(__xludf.DUMMYFUNCTION("""COMPUTED_VALUE"""),"Khoa học xã hội")</f>
        <v>Khoa học xã hội</v>
      </c>
      <c r="C236" s="4" t="str">
        <f>IFERROR(__xludf.DUMMYFUNCTION("""COMPUTED_VALUE"""),"Nghệ thuật kể chuyện trên truyền thông số (Nghiên cứu trường hợp hai kênh TikTok: Chuyện Nhà Linh Bí và Khoai Lang Thang)")</f>
        <v>Nghệ thuật kể chuyện trên truyền thông số (Nghiên cứu trường hợp hai kênh TikTok: Chuyện Nhà Linh Bí và Khoai Lang Thang)</v>
      </c>
      <c r="D236" s="4" t="str">
        <f>IFERROR(__xludf.DUMMYFUNCTION("""COMPUTED_VALUE"""),"Bùi Thị Tuyết Nhung; Trần Thị Trang Nhung")</f>
        <v>Bùi Thị Tuyết Nhung; Trần Thị Trang Nhung</v>
      </c>
      <c r="E236" s="4" t="str">
        <f>IFERROR(__xludf.DUMMYFUNCTION("""COMPUTED_VALUE"""),"Học viện Phụ nữ Việt Nam")</f>
        <v>Học viện Phụ nữ Việt Nam</v>
      </c>
      <c r="F236" s="4" t="str">
        <f>IFERROR(__xludf.DUMMYFUNCTION("""COMPUTED_VALUE"""),"KHXH2026-235.png")</f>
        <v>KHXH2026-235.png</v>
      </c>
    </row>
    <row r="237">
      <c r="A237" s="4" t="str">
        <f>IFERROR(__xludf.DUMMYFUNCTION("""COMPUTED_VALUE"""),"KHXH2026-236")</f>
        <v>KHXH2026-236</v>
      </c>
      <c r="B237" s="4" t="str">
        <f>IFERROR(__xludf.DUMMYFUNCTION("""COMPUTED_VALUE"""),"Khoa học xã hội")</f>
        <v>Khoa học xã hội</v>
      </c>
      <c r="C237" s="4" t="str">
        <f>IFERROR(__xludf.DUMMYFUNCTION("""COMPUTED_VALUE"""),"Nghiên cứu tác động của trí tuệ nhân tạo (AI) đến quá trình sản xuất sản phẩm báo chí ở Việt Nam hiện nay")</f>
        <v>Nghiên cứu tác động của trí tuệ nhân tạo (AI) đến quá trình sản xuất sản phẩm báo chí ở Việt Nam hiện nay</v>
      </c>
      <c r="D237" s="4" t="str">
        <f>IFERROR(__xludf.DUMMYFUNCTION("""COMPUTED_VALUE"""),"Dương Phương Thảo")</f>
        <v>Dương Phương Thảo</v>
      </c>
      <c r="E237" s="4" t="str">
        <f>IFERROR(__xludf.DUMMYFUNCTION("""COMPUTED_VALUE"""),"Trường Đại học Khoa học, Đại học Thái Nguyên")</f>
        <v>Trường Đại học Khoa học, Đại học Thái Nguyên</v>
      </c>
      <c r="F237" s="4" t="str">
        <f>IFERROR(__xludf.DUMMYFUNCTION("""COMPUTED_VALUE"""),"KHXH2026-236.png")</f>
        <v>KHXH2026-236.png</v>
      </c>
    </row>
    <row r="238">
      <c r="A238" s="4" t="str">
        <f>IFERROR(__xludf.DUMMYFUNCTION("""COMPUTED_VALUE"""),"KHXH2026-237")</f>
        <v>KHXH2026-237</v>
      </c>
      <c r="B238" s="4" t="str">
        <f>IFERROR(__xludf.DUMMYFUNCTION("""COMPUTED_VALUE"""),"Khoa học xã hội")</f>
        <v>Khoa học xã hội</v>
      </c>
      <c r="C238" s="4" t="str">
        <f>IFERROR(__xludf.DUMMYFUNCTION("""COMPUTED_VALUE"""),"From Detection to Interpretation: A User-Centered RAG-Based AI Approach to Enhancing Credibility Evaluation of Textual Information Among Vietnamese Youth")</f>
        <v>From Detection to Interpretation: A User-Centered RAG-Based AI Approach to Enhancing Credibility Evaluation of Textual Information Among Vietnamese Youth</v>
      </c>
      <c r="D238" s="4" t="str">
        <f>IFERROR(__xludf.DUMMYFUNCTION("""COMPUTED_VALUE"""),"Hoàng Hữu Hoan")</f>
        <v>Hoàng Hữu Hoan</v>
      </c>
      <c r="E238" s="4" t="str">
        <f>IFERROR(__xludf.DUMMYFUNCTION("""COMPUTED_VALUE"""),"Trường Đại học FPT")</f>
        <v>Trường Đại học FPT</v>
      </c>
      <c r="F238" s="4" t="str">
        <f>IFERROR(__xludf.DUMMYFUNCTION("""COMPUTED_VALUE"""),"KHXH2026-237.png")</f>
        <v>KHXH2026-237.png</v>
      </c>
    </row>
    <row r="239">
      <c r="A239" s="4" t="str">
        <f>IFERROR(__xludf.DUMMYFUNCTION("""COMPUTED_VALUE"""),"KHXH2026-238")</f>
        <v>KHXH2026-238</v>
      </c>
      <c r="B239" s="4" t="str">
        <f>IFERROR(__xludf.DUMMYFUNCTION("""COMPUTED_VALUE"""),"Khoa học xã hội")</f>
        <v>Khoa học xã hội</v>
      </c>
      <c r="C239" s="4" t="str">
        <f>IFERROR(__xludf.DUMMYFUNCTION("""COMPUTED_VALUE"""),"SÁNG TẠO NỘI DUNG SỐ VỀ LỄ HỘI TRUYỀN THỐNG THÔNG QUA TRÍ TUỆ NHÂN TẠO CHO THANH NIÊN TỈNH HƯNG YÊN")</f>
        <v>SÁNG TẠO NỘI DUNG SỐ VỀ LỄ HỘI TRUYỀN THỐNG THÔNG QUA TRÍ TUỆ NHÂN TẠO CHO THANH NIÊN TỈNH HƯNG YÊN</v>
      </c>
      <c r="D239" s="4" t="str">
        <f>IFERROR(__xludf.DUMMYFUNCTION("""COMPUTED_VALUE"""),"Đàm Thu Phương; Lê Thị Hồng Nhung; Nguyễn Thị Mai Quỳnh")</f>
        <v>Đàm Thu Phương; Lê Thị Hồng Nhung; Nguyễn Thị Mai Quỳnh</v>
      </c>
      <c r="E239" s="4" t="str">
        <f>IFERROR(__xludf.DUMMYFUNCTION("""COMPUTED_VALUE"""),"Học viện Thanh thiếu niên Việt Nam")</f>
        <v>Học viện Thanh thiếu niên Việt Nam</v>
      </c>
      <c r="F239" s="4" t="str">
        <f>IFERROR(__xludf.DUMMYFUNCTION("""COMPUTED_VALUE"""),"KHXH2026-238.png")</f>
        <v>KHXH2026-238.png</v>
      </c>
    </row>
    <row r="240">
      <c r="A240" s="4" t="str">
        <f>IFERROR(__xludf.DUMMYFUNCTION("""COMPUTED_VALUE"""),"KHXH2026-239")</f>
        <v>KHXH2026-239</v>
      </c>
      <c r="B240" s="4" t="str">
        <f>IFERROR(__xludf.DUMMYFUNCTION("""COMPUTED_VALUE"""),"Khoa học xã hội")</f>
        <v>Khoa học xã hội</v>
      </c>
      <c r="C240" s="4" t="str">
        <f>IFERROR(__xludf.DUMMYFUNCTION("""COMPUTED_VALUE"""),"Bảo tồn và lan tỏa giá trị lịch sử trong kỷ nguyên số: Vai trò của Marketing Hoài niệm")</f>
        <v>Bảo tồn và lan tỏa giá trị lịch sử trong kỷ nguyên số: Vai trò của Marketing Hoài niệm</v>
      </c>
      <c r="D240" s="4" t="str">
        <f>IFERROR(__xludf.DUMMYFUNCTION("""COMPUTED_VALUE"""),"Nguyễn Hạnh Dung; Vương Minh Phương; Nguyễn Thị Hoài Phương; Trần Hạnh Vy; Lê Khánh Linh")</f>
        <v>Nguyễn Hạnh Dung; Vương Minh Phương; Nguyễn Thị Hoài Phương; Trần Hạnh Vy; Lê Khánh Linh</v>
      </c>
      <c r="E240" s="4" t="str">
        <f>IFERROR(__xludf.DUMMYFUNCTION("""COMPUTED_VALUE"""),"Đại học Kinh tế Quốc dân")</f>
        <v>Đại học Kinh tế Quốc dân</v>
      </c>
      <c r="F240" s="4" t="str">
        <f>IFERROR(__xludf.DUMMYFUNCTION("""COMPUTED_VALUE"""),"KHXH2026-239.png")</f>
        <v>KHXH2026-239.png</v>
      </c>
    </row>
    <row r="241">
      <c r="A241" s="4" t="str">
        <f>IFERROR(__xludf.DUMMYFUNCTION("""COMPUTED_VALUE"""),"KHXH2026-240")</f>
        <v>KHXH2026-240</v>
      </c>
      <c r="B241" s="4" t="str">
        <f>IFERROR(__xludf.DUMMYFUNCTION("""COMPUTED_VALUE"""),"Khoa học xã hội")</f>
        <v>Khoa học xã hội</v>
      </c>
      <c r="C241" s="4" t="str">
        <f>IFERROR(__xludf.DUMMYFUNCTION("""COMPUTED_VALUE"""),"Tác động của Khung cảm xúc trong truyền thông môi trường trên mạng xã hội đến Hành vi đồng sáng tạo giá trị xanh của Gen Z tại Việt Nam")</f>
        <v>Tác động của Khung cảm xúc trong truyền thông môi trường trên mạng xã hội đến Hành vi đồng sáng tạo giá trị xanh của Gen Z tại Việt Nam</v>
      </c>
      <c r="D241" s="4" t="str">
        <f>IFERROR(__xludf.DUMMYFUNCTION("""COMPUTED_VALUE"""),"Cao Lâm Ngọc Hân; Trần Gia Bảo")</f>
        <v>Cao Lâm Ngọc Hân; Trần Gia Bảo</v>
      </c>
      <c r="E241" s="4" t="str">
        <f>IFERROR(__xludf.DUMMYFUNCTION("""COMPUTED_VALUE"""),"Trường Đại học Văn Lang")</f>
        <v>Trường Đại học Văn Lang</v>
      </c>
      <c r="F241" s="4" t="str">
        <f>IFERROR(__xludf.DUMMYFUNCTION("""COMPUTED_VALUE"""),"KHXH2026-240.png")</f>
        <v>KHXH2026-240.png</v>
      </c>
    </row>
    <row r="242">
      <c r="A242" s="4" t="str">
        <f>IFERROR(__xludf.DUMMYFUNCTION("""COMPUTED_VALUE"""),"KHXH2026-241")</f>
        <v>KHXH2026-241</v>
      </c>
      <c r="B242" s="4" t="str">
        <f>IFERROR(__xludf.DUMMYFUNCTION("""COMPUTED_VALUE"""),"Khoa học xã hội")</f>
        <v>Khoa học xã hội</v>
      </c>
      <c r="C242" s="4" t="str">
        <f>IFERROR(__xludf.DUMMYFUNCTION("""COMPUTED_VALUE"""),"Tác động của video ngắn, AR và VR trong việc quảng bá di sản văn hóa Việt Nam đối với sinh viên Thành phố Hồ Chí Minh giai đoạn 2021-2025")</f>
        <v>Tác động của video ngắn, AR và VR trong việc quảng bá di sản văn hóa Việt Nam đối với sinh viên Thành phố Hồ Chí Minh giai đoạn 2021-2025</v>
      </c>
      <c r="D242" s="4" t="str">
        <f>IFERROR(__xludf.DUMMYFUNCTION("""COMPUTED_VALUE"""),"Dương Tú My; Võ Nguyễn Gia Nam")</f>
        <v>Dương Tú My; Võ Nguyễn Gia Nam</v>
      </c>
      <c r="E242" s="4" t="str">
        <f>IFERROR(__xludf.DUMMYFUNCTION("""COMPUTED_VALUE"""),"Trường Đại học Khoa học xã hội và Nhân văn, ĐHQG-HCM")</f>
        <v>Trường Đại học Khoa học xã hội và Nhân văn, ĐHQG-HCM</v>
      </c>
      <c r="F242" s="4" t="str">
        <f>IFERROR(__xludf.DUMMYFUNCTION("""COMPUTED_VALUE"""),"KHXH2026-241.png")</f>
        <v>KHXH2026-241.png</v>
      </c>
    </row>
    <row r="243">
      <c r="A243" s="4" t="str">
        <f>IFERROR(__xludf.DUMMYFUNCTION("""COMPUTED_VALUE"""),"KHXH2026-242")</f>
        <v>KHXH2026-242</v>
      </c>
      <c r="B243" s="4" t="str">
        <f>IFERROR(__xludf.DUMMYFUNCTION("""COMPUTED_VALUE"""),"Khoa học xã hội")</f>
        <v>Khoa học xã hội</v>
      </c>
      <c r="C243" s="4" t="str">
        <f>IFERROR(__xludf.DUMMYFUNCTION("""COMPUTED_VALUE"""),"Các yếu tố ảnh hưởng đến mức độ sẵn sàng thực hiện thải độc kỹ thuật số của Gen Z tại Thành phố Hồ Chí Minh")</f>
        <v>Các yếu tố ảnh hưởng đến mức độ sẵn sàng thực hiện thải độc kỹ thuật số của Gen Z tại Thành phố Hồ Chí Minh</v>
      </c>
      <c r="D243" s="4" t="str">
        <f>IFERROR(__xludf.DUMMYFUNCTION("""COMPUTED_VALUE"""),"Vũ Khắc Trọng; Nguyễn Thanh Hoa; Lê Anh Nghi")</f>
        <v>Vũ Khắc Trọng; Nguyễn Thanh Hoa; Lê Anh Nghi</v>
      </c>
      <c r="E243" s="4" t="str">
        <f>IFERROR(__xludf.DUMMYFUNCTION("""COMPUTED_VALUE"""),"Trường Đại học Văn Lang")</f>
        <v>Trường Đại học Văn Lang</v>
      </c>
      <c r="F243" s="4" t="str">
        <f>IFERROR(__xludf.DUMMYFUNCTION("""COMPUTED_VALUE"""),"KHXH2026-242.png")</f>
        <v>KHXH2026-242.png</v>
      </c>
    </row>
    <row r="244">
      <c r="A244" s="4" t="str">
        <f>IFERROR(__xludf.DUMMYFUNCTION("""COMPUTED_VALUE"""),"KHXH2026-243")</f>
        <v>KHXH2026-243</v>
      </c>
      <c r="B244" s="4" t="str">
        <f>IFERROR(__xludf.DUMMYFUNCTION("""COMPUTED_VALUE"""),"Khoa học xã hội")</f>
        <v>Khoa học xã hội</v>
      </c>
      <c r="C244" s="4" t="str">
        <f>IFERROR(__xludf.DUMMYFUNCTION("""COMPUTED_VALUE"""),"Các yếu tố thúc đẩy nội dung do người dùng tạo về EatClean trên mạng xã hội: Vai trò của chiến lược truyền thông, giá trị xã hội và sự gắn kết khách hàng")</f>
        <v>Các yếu tố thúc đẩy nội dung do người dùng tạo về EatClean trên mạng xã hội: Vai trò của chiến lược truyền thông, giá trị xã hội và sự gắn kết khách hàng</v>
      </c>
      <c r="D244" s="4" t="str">
        <f>IFERROR(__xludf.DUMMYFUNCTION("""COMPUTED_VALUE"""),"Nguyễn Dương Gia Lâm; Lê Dương; Phạm Nguyễn Hoàng Kim")</f>
        <v>Nguyễn Dương Gia Lâm; Lê Dương; Phạm Nguyễn Hoàng Kim</v>
      </c>
      <c r="E244" s="4" t="str">
        <f>IFERROR(__xludf.DUMMYFUNCTION("""COMPUTED_VALUE"""),"Trường Đại học Công Thương TP. Hồ Chí Minh")</f>
        <v>Trường Đại học Công Thương TP. Hồ Chí Minh</v>
      </c>
      <c r="F244" s="4" t="str">
        <f>IFERROR(__xludf.DUMMYFUNCTION("""COMPUTED_VALUE"""),"KHXH2026-243.png")</f>
        <v>KHXH2026-243.png</v>
      </c>
    </row>
    <row r="245">
      <c r="A245" s="4" t="str">
        <f>IFERROR(__xludf.DUMMYFUNCTION("""COMPUTED_VALUE"""),"KHXH2026-244")</f>
        <v>KHXH2026-244</v>
      </c>
      <c r="B245" s="4" t="str">
        <f>IFERROR(__xludf.DUMMYFUNCTION("""COMPUTED_VALUE"""),"Khoa học xã hội")</f>
        <v>Khoa học xã hội</v>
      </c>
      <c r="C245" s="4" t="str">
        <f>IFERROR(__xludf.DUMMYFUNCTION("""COMPUTED_VALUE"""),"Trách nhiệm xã hội của doanh nghiệp trong định dạng chương trình truyền hình thực tế (Nghiên cứu trường hợp Chương trình “Mái ấm Gia đình Việt” do Hoa Sen Home tài trợ)")</f>
        <v>Trách nhiệm xã hội của doanh nghiệp trong định dạng chương trình truyền hình thực tế (Nghiên cứu trường hợp Chương trình “Mái ấm Gia đình Việt” do Hoa Sen Home tài trợ)</v>
      </c>
      <c r="D245" s="4" t="str">
        <f>IFERROR(__xludf.DUMMYFUNCTION("""COMPUTED_VALUE"""),"Trần Tôn Lê Nguyễn; Phạm Thị Ngọc Yến; Đoàn Thị Kim Nhung; Đỗ Tuấn Kiệt; Nguyễn Phúc Đạt")</f>
        <v>Trần Tôn Lê Nguyễn; Phạm Thị Ngọc Yến; Đoàn Thị Kim Nhung; Đỗ Tuấn Kiệt; Nguyễn Phúc Đạt</v>
      </c>
      <c r="E245" s="4" t="str">
        <f>IFERROR(__xludf.DUMMYFUNCTION("""COMPUTED_VALUE"""),"Trường Đại học Ngoại ngữ - Tin học TP. Hồ Chí Minh")</f>
        <v>Trường Đại học Ngoại ngữ - Tin học TP. Hồ Chí Minh</v>
      </c>
      <c r="F245" s="4" t="str">
        <f>IFERROR(__xludf.DUMMYFUNCTION("""COMPUTED_VALUE"""),"KHXH2026-244.png")</f>
        <v>KHXH2026-244.png</v>
      </c>
    </row>
    <row r="246">
      <c r="A246" s="4" t="str">
        <f>IFERROR(__xludf.DUMMYFUNCTION("""COMPUTED_VALUE"""),"KHXH2026-245")</f>
        <v>KHXH2026-245</v>
      </c>
      <c r="B246" s="4" t="str">
        <f>IFERROR(__xludf.DUMMYFUNCTION("""COMPUTED_VALUE"""),"Khoa học xã hội")</f>
        <v>Khoa học xã hội</v>
      </c>
      <c r="C246" s="4" t="str">
        <f>IFERROR(__xludf.DUMMYFUNCTION("""COMPUTED_VALUE"""),"Nâng cao hiệu quả hoạt động truyền thông hướng nghiệp Khoa Thư viện và Xuất bản tại Trường Đại học Văn hóa Thành phố Hồ Chí Minh")</f>
        <v>Nâng cao hiệu quả hoạt động truyền thông hướng nghiệp Khoa Thư viện và Xuất bản tại Trường Đại học Văn hóa Thành phố Hồ Chí Minh</v>
      </c>
      <c r="D246" s="4" t="str">
        <f>IFERROR(__xludf.DUMMYFUNCTION("""COMPUTED_VALUE"""),"Huỳnh Vẹn Kim Ngân; Trần Phương Thảo")</f>
        <v>Huỳnh Vẹn Kim Ngân; Trần Phương Thảo</v>
      </c>
      <c r="E246" s="4" t="str">
        <f>IFERROR(__xludf.DUMMYFUNCTION("""COMPUTED_VALUE"""),"Trường Đại học Văn hóa TP. Hồ Chí Minh")</f>
        <v>Trường Đại học Văn hóa TP. Hồ Chí Minh</v>
      </c>
      <c r="F246" s="4" t="str">
        <f>IFERROR(__xludf.DUMMYFUNCTION("""COMPUTED_VALUE"""),"KHXH2026-245.png")</f>
        <v>KHXH2026-245.png</v>
      </c>
    </row>
    <row r="247">
      <c r="A247" s="4" t="str">
        <f>IFERROR(__xludf.DUMMYFUNCTION("""COMPUTED_VALUE"""),"KHXH2026-246")</f>
        <v>KHXH2026-246</v>
      </c>
      <c r="B247" s="4" t="str">
        <f>IFERROR(__xludf.DUMMYFUNCTION("""COMPUTED_VALUE"""),"Khoa học xã hội")</f>
        <v>Khoa học xã hội</v>
      </c>
      <c r="C247" s="4" t="str">
        <f>IFERROR(__xludf.DUMMYFUNCTION("""COMPUTED_VALUE"""),"Tương tác của công chúng thế hệ Z với nội dung về ẩm thực trên mạng xã hội TikTok ở Việt Nam hiện nay")</f>
        <v>Tương tác của công chúng thế hệ Z với nội dung về ẩm thực trên mạng xã hội TikTok ở Việt Nam hiện nay</v>
      </c>
      <c r="D247" s="4" t="str">
        <f>IFERROR(__xludf.DUMMYFUNCTION("""COMPUTED_VALUE"""),"Giang Minh châu; Hoàng Thị Yến Phương; Dư Thị Quỳnh Anh")</f>
        <v>Giang Minh châu; Hoàng Thị Yến Phương; Dư Thị Quỳnh Anh</v>
      </c>
      <c r="E247" s="4" t="str">
        <f>IFERROR(__xludf.DUMMYFUNCTION("""COMPUTED_VALUE"""),"Học viện Báo chí và Tuyên truyền")</f>
        <v>Học viện Báo chí và Tuyên truyền</v>
      </c>
      <c r="F247" s="4" t="str">
        <f>IFERROR(__xludf.DUMMYFUNCTION("""COMPUTED_VALUE"""),"KHXH2026-246.png")</f>
        <v>KHXH2026-246.png</v>
      </c>
    </row>
    <row r="248">
      <c r="A248" s="4" t="str">
        <f>IFERROR(__xludf.DUMMYFUNCTION("""COMPUTED_VALUE"""),"KHXH2026-247")</f>
        <v>KHXH2026-247</v>
      </c>
      <c r="B248" s="4" t="str">
        <f>IFERROR(__xludf.DUMMYFUNCTION("""COMPUTED_VALUE"""),"Khoa học xã hội")</f>
        <v>Khoa học xã hội</v>
      </c>
      <c r="C248" s="4" t="str">
        <f>IFERROR(__xludf.DUMMYFUNCTION("""COMPUTED_VALUE"""),"Đổi mới hình thức truyền thông chính sách trên Fanpage Thông tin Chính phủ")</f>
        <v>Đổi mới hình thức truyền thông chính sách trên Fanpage Thông tin Chính phủ</v>
      </c>
      <c r="D248" s="4" t="str">
        <f>IFERROR(__xludf.DUMMYFUNCTION("""COMPUTED_VALUE"""),"Cao Nguyên Phát; Nguyễn Mai Hương; Bùi Thị Huyền Trinh; Phạm Thị Mai Anh")</f>
        <v>Cao Nguyên Phát; Nguyễn Mai Hương; Bùi Thị Huyền Trinh; Phạm Thị Mai Anh</v>
      </c>
      <c r="E248" s="4" t="str">
        <f>IFERROR(__xludf.DUMMYFUNCTION("""COMPUTED_VALUE"""),"Học viện Công nghệ Bưu chính Viễn thông")</f>
        <v>Học viện Công nghệ Bưu chính Viễn thông</v>
      </c>
      <c r="F248" s="4" t="str">
        <f>IFERROR(__xludf.DUMMYFUNCTION("""COMPUTED_VALUE"""),"KHXH2026-247.png")</f>
        <v>KHXH2026-247.png</v>
      </c>
    </row>
    <row r="249">
      <c r="A249" s="4" t="str">
        <f>IFERROR(__xludf.DUMMYFUNCTION("""COMPUTED_VALUE"""),"KHXH2026-248")</f>
        <v>KHXH2026-248</v>
      </c>
      <c r="B249" s="4" t="str">
        <f>IFERROR(__xludf.DUMMYFUNCTION("""COMPUTED_VALUE"""),"Khoa học xã hội")</f>
        <v>Khoa học xã hội</v>
      </c>
      <c r="C249" s="4" t="str">
        <f>IFERROR(__xludf.DUMMYFUNCTION("""COMPUTED_VALUE"""),"Podcast kể chuyện tại Việt Nam hiện nay: Nội dung và hình thức thể hiện")</f>
        <v>Podcast kể chuyện tại Việt Nam hiện nay: Nội dung và hình thức thể hiện</v>
      </c>
      <c r="D249" s="4" t="str">
        <f>IFERROR(__xludf.DUMMYFUNCTION("""COMPUTED_VALUE"""),"Trương Thị Bích Ngọc; Võ Lê Hà My; Nguyễn Thị Ánh Nhàn; Phạm Quỳnh Trang; Phạm Thị Xuyến")</f>
        <v>Trương Thị Bích Ngọc; Võ Lê Hà My; Nguyễn Thị Ánh Nhàn; Phạm Quỳnh Trang; Phạm Thị Xuyến</v>
      </c>
      <c r="E249" s="4" t="str">
        <f>IFERROR(__xludf.DUMMYFUNCTION("""COMPUTED_VALUE"""),"Học viện Công nghệ Bưu chính Viễn thông")</f>
        <v>Học viện Công nghệ Bưu chính Viễn thông</v>
      </c>
      <c r="F249" s="4" t="str">
        <f>IFERROR(__xludf.DUMMYFUNCTION("""COMPUTED_VALUE"""),"KHXH2026-248.png")</f>
        <v>KHXH2026-248.png</v>
      </c>
    </row>
    <row r="250">
      <c r="A250" s="4" t="str">
        <f>IFERROR(__xludf.DUMMYFUNCTION("""COMPUTED_VALUE"""),"KHXH2026-249")</f>
        <v>KHXH2026-249</v>
      </c>
      <c r="B250" s="4" t="str">
        <f>IFERROR(__xludf.DUMMYFUNCTION("""COMPUTED_VALUE"""),"Khoa học xã hội")</f>
        <v>Khoa học xã hội</v>
      </c>
      <c r="C250" s="4" t="str">
        <f>IFERROR(__xludf.DUMMYFUNCTION("""COMPUTED_VALUE"""),"Podcast đề tài tâm lý tại việt nam hiện nay: tiếp cận về nội dung và hình thức thể hiện")</f>
        <v>Podcast đề tài tâm lý tại việt nam hiện nay: tiếp cận về nội dung và hình thức thể hiện</v>
      </c>
      <c r="D250" s="4" t="str">
        <f>IFERROR(__xludf.DUMMYFUNCTION("""COMPUTED_VALUE"""),"Trần Thu Hiền; Trần Thị Thuỳ Trang; Phạm Vũ Thanh Trúc; Vũ Anh Tuấn")</f>
        <v>Trần Thu Hiền; Trần Thị Thuỳ Trang; Phạm Vũ Thanh Trúc; Vũ Anh Tuấn</v>
      </c>
      <c r="E250" s="4" t="str">
        <f>IFERROR(__xludf.DUMMYFUNCTION("""COMPUTED_VALUE"""),"Học viện Công nghệ Bưu chính Viễn thông")</f>
        <v>Học viện Công nghệ Bưu chính Viễn thông</v>
      </c>
      <c r="F250" s="4" t="str">
        <f>IFERROR(__xludf.DUMMYFUNCTION("""COMPUTED_VALUE"""),"KHXH2026-249.png")</f>
        <v>KHXH2026-249.png</v>
      </c>
    </row>
    <row r="251">
      <c r="A251" s="4" t="str">
        <f>IFERROR(__xludf.DUMMYFUNCTION("""COMPUTED_VALUE"""),"KHXH2026-250")</f>
        <v>KHXH2026-250</v>
      </c>
      <c r="B251" s="4" t="str">
        <f>IFERROR(__xludf.DUMMYFUNCTION("""COMPUTED_VALUE"""),"Khoa học xã hội")</f>
        <v>Khoa học xã hội</v>
      </c>
      <c r="C251" s="4" t="str">
        <f>IFERROR(__xludf.DUMMYFUNCTION("""COMPUTED_VALUE"""),"Ảnh hưởng của nội dung Tiktok đến hành vi bắt chước của trẻ vị thành niên tại Hà Nội")</f>
        <v>Ảnh hưởng của nội dung Tiktok đến hành vi bắt chước của trẻ vị thành niên tại Hà Nội</v>
      </c>
      <c r="D251" s="4" t="str">
        <f>IFERROR(__xludf.DUMMYFUNCTION("""COMPUTED_VALUE"""),"Nguyễn Quỳnh Trang; Nguyễn Lê Tú Uyên; Ngô Phương Nhi; Nguyễn Thị Hảo; Nguyễn Minh Quân")</f>
        <v>Nguyễn Quỳnh Trang; Nguyễn Lê Tú Uyên; Ngô Phương Nhi; Nguyễn Thị Hảo; Nguyễn Minh Quân</v>
      </c>
      <c r="E251" s="4" t="str">
        <f>IFERROR(__xludf.DUMMYFUNCTION("""COMPUTED_VALUE"""),"Học viện Công nghệ Bưu chính Viễn thông")</f>
        <v>Học viện Công nghệ Bưu chính Viễn thông</v>
      </c>
      <c r="F251" s="4" t="str">
        <f>IFERROR(__xludf.DUMMYFUNCTION("""COMPUTED_VALUE"""),"KHXH2026-250.png")</f>
        <v>KHXH2026-250.png</v>
      </c>
    </row>
    <row r="252">
      <c r="A252" s="4" t="str">
        <f>IFERROR(__xludf.DUMMYFUNCTION("""COMPUTED_VALUE"""),"KHXH2026-251")</f>
        <v>KHXH2026-251</v>
      </c>
      <c r="B252" s="4" t="str">
        <f>IFERROR(__xludf.DUMMYFUNCTION("""COMPUTED_VALUE"""),"Khoa học xã hội")</f>
        <v>Khoa học xã hội</v>
      </c>
      <c r="C252" s="4" t="str">
        <f>IFERROR(__xludf.DUMMYFUNCTION("""COMPUTED_VALUE"""),"Sản xuất Podcast cho người khuyết tật")</f>
        <v>Sản xuất Podcast cho người khuyết tật</v>
      </c>
      <c r="D252" s="4" t="str">
        <f>IFERROR(__xludf.DUMMYFUNCTION("""COMPUTED_VALUE"""),"Nguyễn Thị Hảo; Lê Nguyễn Hải Giang")</f>
        <v>Nguyễn Thị Hảo; Lê Nguyễn Hải Giang</v>
      </c>
      <c r="E252" s="4" t="str">
        <f>IFERROR(__xludf.DUMMYFUNCTION("""COMPUTED_VALUE"""),"Học viện Công nghệ Bưu chính Viễn thông")</f>
        <v>Học viện Công nghệ Bưu chính Viễn thông</v>
      </c>
      <c r="F252" s="4" t="str">
        <f>IFERROR(__xludf.DUMMYFUNCTION("""COMPUTED_VALUE"""),"KHXH2026-251.png")</f>
        <v>KHXH2026-251.png</v>
      </c>
    </row>
    <row r="253">
      <c r="A253" s="4" t="str">
        <f>IFERROR(__xludf.DUMMYFUNCTION("""COMPUTED_VALUE"""),"KHXH2026-252")</f>
        <v>KHXH2026-252</v>
      </c>
      <c r="B253" s="4" t="str">
        <f>IFERROR(__xludf.DUMMYFUNCTION("""COMPUTED_VALUE"""),"Khoa học xã hội")</f>
        <v>Khoa học xã hội</v>
      </c>
      <c r="C253" s="4" t="str">
        <f>IFERROR(__xludf.DUMMYFUNCTION("""COMPUTED_VALUE"""),"Truyền thông nâng cao nhận thức về sức khoẻ tâm thần cho sinh viên - Nghiên cứu thực tiễn tại Học viện Hành chính và Quản trị công trong bối cảnh hiện nay")</f>
        <v>Truyền thông nâng cao nhận thức về sức khoẻ tâm thần cho sinh viên - Nghiên cứu thực tiễn tại Học viện Hành chính và Quản trị công trong bối cảnh hiện nay</v>
      </c>
      <c r="D253" s="4" t="str">
        <f>IFERROR(__xludf.DUMMYFUNCTION("""COMPUTED_VALUE"""),"Mai Hồng Nhung; Trần Thị Ánh Dinh; Trần Thị Thu Ly")</f>
        <v>Mai Hồng Nhung; Trần Thị Ánh Dinh; Trần Thị Thu Ly</v>
      </c>
      <c r="E253" s="4" t="str">
        <f>IFERROR(__xludf.DUMMYFUNCTION("""COMPUTED_VALUE"""),"Học viện Hành chính và Quản trị công")</f>
        <v>Học viện Hành chính và Quản trị công</v>
      </c>
      <c r="F253" s="4" t="str">
        <f>IFERROR(__xludf.DUMMYFUNCTION("""COMPUTED_VALUE"""),"KHXH2026-252.png")</f>
        <v>KHXH2026-252.png</v>
      </c>
    </row>
    <row r="254">
      <c r="A254" s="4" t="str">
        <f>IFERROR(__xludf.DUMMYFUNCTION("""COMPUTED_VALUE"""),"KHXH2026-253")</f>
        <v>KHXH2026-253</v>
      </c>
      <c r="B254" s="4" t="str">
        <f>IFERROR(__xludf.DUMMYFUNCTION("""COMPUTED_VALUE"""),"Khoa học xã hội")</f>
        <v>Khoa học xã hội</v>
      </c>
      <c r="C254" s="4" t="str">
        <f>IFERROR(__xludf.DUMMYFUNCTION("""COMPUTED_VALUE"""),"Tác động của giải trí hoá tin tức trong chương trình Chuyển động 24h đến năng lực thông hiểu truyền thông của sinh viên tại thành phố Hồ Chí Minh")</f>
        <v>Tác động của giải trí hoá tin tức trong chương trình Chuyển động 24h đến năng lực thông hiểu truyền thông của sinh viên tại thành phố Hồ Chí Minh</v>
      </c>
      <c r="D254" s="4" t="str">
        <f>IFERROR(__xludf.DUMMYFUNCTION("""COMPUTED_VALUE"""),"Nguyễn Thị Kim Khánh; Đỗ Minh Thư; Liêu Phạm Anh Thư; Nguyễn Hoàng Yến")</f>
        <v>Nguyễn Thị Kim Khánh; Đỗ Minh Thư; Liêu Phạm Anh Thư; Nguyễn Hoàng Yến</v>
      </c>
      <c r="E254" s="4" t="str">
        <f>IFERROR(__xludf.DUMMYFUNCTION("""COMPUTED_VALUE"""),"Trường Đại học Khoa học xã hội và Nhân văn, ĐHQG-HCM")</f>
        <v>Trường Đại học Khoa học xã hội và Nhân văn, ĐHQG-HCM</v>
      </c>
      <c r="F254" s="4" t="str">
        <f>IFERROR(__xludf.DUMMYFUNCTION("""COMPUTED_VALUE"""),"KHXH2026-253.png")</f>
        <v>KHXH2026-253.png</v>
      </c>
    </row>
    <row r="255">
      <c r="A255" s="4" t="str">
        <f>IFERROR(__xludf.DUMMYFUNCTION("""COMPUTED_VALUE"""),"KHXH2026-254")</f>
        <v>KHXH2026-254</v>
      </c>
      <c r="B255" s="4" t="str">
        <f>IFERROR(__xludf.DUMMYFUNCTION("""COMPUTED_VALUE"""),"Khoa học xã hội")</f>
        <v>Khoa học xã hội</v>
      </c>
      <c r="C255" s="4" t="str">
        <f>IFERROR(__xludf.DUMMYFUNCTION("""COMPUTED_VALUE"""),"Nhận thức về bình đẳng giới của cộng đồng dân tộc Khmer: Nghiên cứu trường hợp tại địa bàn xã Bình Phú, tỉnh Vĩnh Long")</f>
        <v>Nhận thức về bình đẳng giới của cộng đồng dân tộc Khmer: Nghiên cứu trường hợp tại địa bàn xã Bình Phú, tỉnh Vĩnh Long</v>
      </c>
      <c r="D255" s="4" t="str">
        <f>IFERROR(__xludf.DUMMYFUNCTION("""COMPUTED_VALUE"""),"Nguyễn Thị Ánh Dương; Võ Mai Tường Vy; Nguyễn Minh Anh")</f>
        <v>Nguyễn Thị Ánh Dương; Võ Mai Tường Vy; Nguyễn Minh Anh</v>
      </c>
      <c r="E255" s="4" t="str">
        <f>IFERROR(__xludf.DUMMYFUNCTION("""COMPUTED_VALUE"""),"Trường Đại học Tôn Đức Thắng")</f>
        <v>Trường Đại học Tôn Đức Thắng</v>
      </c>
      <c r="F255" s="4" t="str">
        <f>IFERROR(__xludf.DUMMYFUNCTION("""COMPUTED_VALUE"""),"KHXH2026-254.png")</f>
        <v>KHXH2026-254.png</v>
      </c>
    </row>
    <row r="256">
      <c r="A256" s="4" t="str">
        <f>IFERROR(__xludf.DUMMYFUNCTION("""COMPUTED_VALUE"""),"KHXH2026-255")</f>
        <v>KHXH2026-255</v>
      </c>
      <c r="B256" s="4" t="str">
        <f>IFERROR(__xludf.DUMMYFUNCTION("""COMPUTED_VALUE"""),"Khoa học xã hội")</f>
        <v>Khoa học xã hội</v>
      </c>
      <c r="C256" s="4" t="str">
        <f>IFERROR(__xludf.DUMMYFUNCTION("""COMPUTED_VALUE"""),"Tính toán dòng vật chất và năng lượng trong tiêu dùng bằng phương pháp MIPS")</f>
        <v>Tính toán dòng vật chất và năng lượng trong tiêu dùng bằng phương pháp MIPS</v>
      </c>
      <c r="D256" s="4" t="str">
        <f>IFERROR(__xludf.DUMMYFUNCTION("""COMPUTED_VALUE"""),"Nguyễn Trọng Nhân; Đặng Thị Quỳnh Hương; Nguyễn Kim Ngân; Bùi Xuân Khải")</f>
        <v>Nguyễn Trọng Nhân; Đặng Thị Quỳnh Hương; Nguyễn Kim Ngân; Bùi Xuân Khải</v>
      </c>
      <c r="E256" s="4" t="str">
        <f>IFERROR(__xludf.DUMMYFUNCTION("""COMPUTED_VALUE"""),"Trường Đại học Nguyễn Tất Thành")</f>
        <v>Trường Đại học Nguyễn Tất Thành</v>
      </c>
      <c r="F256" s="4" t="str">
        <f>IFERROR(__xludf.DUMMYFUNCTION("""COMPUTED_VALUE"""),"KHXH2026-255.png")</f>
        <v>KHXH2026-255.png</v>
      </c>
    </row>
    <row r="257">
      <c r="A257" s="4" t="str">
        <f>IFERROR(__xludf.DUMMYFUNCTION("""COMPUTED_VALUE"""),"KHXH2026-256")</f>
        <v>KHXH2026-256</v>
      </c>
      <c r="B257" s="4" t="str">
        <f>IFERROR(__xludf.DUMMYFUNCTION("""COMPUTED_VALUE"""),"Khoa học xã hội")</f>
        <v>Khoa học xã hội</v>
      </c>
      <c r="C257" s="4" t="str">
        <f>IFERROR(__xludf.DUMMYFUNCTION("""COMPUTED_VALUE"""),"Áp lực thuật toán, phụ thuộc thu nhập và hành vi lái xe máy rủi ro của tài xế giao hàng tại Hà Nội: Tiếp cận bằng NCA và FSQCA")</f>
        <v>Áp lực thuật toán, phụ thuộc thu nhập và hành vi lái xe máy rủi ro của tài xế giao hàng tại Hà Nội: Tiếp cận bằng NCA và FSQCA</v>
      </c>
      <c r="D257" s="4" t="str">
        <f>IFERROR(__xludf.DUMMYFUNCTION("""COMPUTED_VALUE"""),"Lê Ngọc Quyên; Nguyễn Minh Vũ; Nguyễn Thu Hà; Phan Đặng Thanh Ngân")</f>
        <v>Lê Ngọc Quyên; Nguyễn Minh Vũ; Nguyễn Thu Hà; Phan Đặng Thanh Ngân</v>
      </c>
      <c r="E257" s="4" t="str">
        <f>IFERROR(__xludf.DUMMYFUNCTION("""COMPUTED_VALUE"""),"Đại học Phenikaa")</f>
        <v>Đại học Phenikaa</v>
      </c>
      <c r="F257" s="4" t="str">
        <f>IFERROR(__xludf.DUMMYFUNCTION("""COMPUTED_VALUE"""),"KHXH2026-256.png")</f>
        <v>KHXH2026-256.png</v>
      </c>
    </row>
    <row r="258">
      <c r="A258" s="4" t="str">
        <f>IFERROR(__xludf.DUMMYFUNCTION("""COMPUTED_VALUE"""),"KHXH2026-257")</f>
        <v>KHXH2026-257</v>
      </c>
      <c r="B258" s="4" t="str">
        <f>IFERROR(__xludf.DUMMYFUNCTION("""COMPUTED_VALUE"""),"Khoa học xã hội")</f>
        <v>Khoa học xã hội</v>
      </c>
      <c r="C258" s="4" t="str">
        <f>IFERROR(__xludf.DUMMYFUNCTION("""COMPUTED_VALUE"""),"Knowledge and current status of biosensor use in Vietnam and related socio-economic factors")</f>
        <v>Knowledge and current status of biosensor use in Vietnam and related socio-economic factors</v>
      </c>
      <c r="D258" s="4" t="str">
        <f>IFERROR(__xludf.DUMMYFUNCTION("""COMPUTED_VALUE"""),"Lê Minh Sơn")</f>
        <v>Lê Minh Sơn</v>
      </c>
      <c r="E258" s="4" t="str">
        <f>IFERROR(__xludf.DUMMYFUNCTION("""COMPUTED_VALUE"""),"Trường Quốc tế, ĐHQG Hà Nội")</f>
        <v>Trường Quốc tế, ĐHQG Hà Nội</v>
      </c>
      <c r="F258" s="4" t="str">
        <f>IFERROR(__xludf.DUMMYFUNCTION("""COMPUTED_VALUE"""),"KHXH2026-257.png")</f>
        <v>KHXH2026-257.png</v>
      </c>
    </row>
    <row r="259">
      <c r="A259" s="4" t="str">
        <f>IFERROR(__xludf.DUMMYFUNCTION("""COMPUTED_VALUE"""),"KHXH2026-258")</f>
        <v>KHXH2026-258</v>
      </c>
      <c r="B259" s="4" t="str">
        <f>IFERROR(__xludf.DUMMYFUNCTION("""COMPUTED_VALUE"""),"Khoa học xã hội")</f>
        <v>Khoa học xã hội</v>
      </c>
      <c r="C259" s="4" t="str">
        <f>IFERROR(__xludf.DUMMYFUNCTION("""COMPUTED_VALUE"""),"Áp lực công sở Nhật Bản từ Karoshi đến Resignation by Proxy: Nghiên cứu về văn hóa làm việc và phản ứng của người lao động")</f>
        <v>Áp lực công sở Nhật Bản từ Karoshi đến Resignation by Proxy: Nghiên cứu về văn hóa làm việc và phản ứng của người lao động</v>
      </c>
      <c r="D259" s="4" t="str">
        <f>IFERROR(__xludf.DUMMYFUNCTION("""COMPUTED_VALUE"""),"Nguyễn Quốc Bảo; Lê Lương Thanh Trúc; Nguyễn Lý Xuân Khanh; Nguyễn Thị Kim Thư")</f>
        <v>Nguyễn Quốc Bảo; Lê Lương Thanh Trúc; Nguyễn Lý Xuân Khanh; Nguyễn Thị Kim Thư</v>
      </c>
      <c r="E259" s="4" t="str">
        <f>IFERROR(__xludf.DUMMYFUNCTION("""COMPUTED_VALUE"""),"Trường Đại học Công nghệ TP. Hồ Chí Minh")</f>
        <v>Trường Đại học Công nghệ TP. Hồ Chí Minh</v>
      </c>
      <c r="F259" s="4" t="str">
        <f>IFERROR(__xludf.DUMMYFUNCTION("""COMPUTED_VALUE"""),"KHXH2026-258.png")</f>
        <v>KHXH2026-258.png</v>
      </c>
    </row>
    <row r="260">
      <c r="A260" s="4" t="str">
        <f>IFERROR(__xludf.DUMMYFUNCTION("""COMPUTED_VALUE"""),"KHXH2026-259")</f>
        <v>KHXH2026-259</v>
      </c>
      <c r="B260" s="4" t="str">
        <f>IFERROR(__xludf.DUMMYFUNCTION("""COMPUTED_VALUE"""),"Khoa học xã hội")</f>
        <v>Khoa học xã hội</v>
      </c>
      <c r="C260" s="4" t="str">
        <f>IFERROR(__xludf.DUMMYFUNCTION("""COMPUTED_VALUE"""),"Quyền được đảm bảo An sinh xã hội của người dân thông qua chương trình xóa nhà tạm tại thành phố Đà Nẵng")</f>
        <v>Quyền được đảm bảo An sinh xã hội của người dân thông qua chương trình xóa nhà tạm tại thành phố Đà Nẵng</v>
      </c>
      <c r="D260" s="4" t="str">
        <f>IFERROR(__xludf.DUMMYFUNCTION("""COMPUTED_VALUE"""),"Đặng Thị Bình An; Lê Văn Quang; Lê Đặng Thu Hà; Trần Thị Anh Thư")</f>
        <v>Đặng Thị Bình An; Lê Văn Quang; Lê Đặng Thu Hà; Trần Thị Anh Thư</v>
      </c>
      <c r="E260" s="4" t="str">
        <f>IFERROR(__xludf.DUMMYFUNCTION("""COMPUTED_VALUE"""),"Trường Đại học Sư phạm, Đại học Đà Nẵng")</f>
        <v>Trường Đại học Sư phạm, Đại học Đà Nẵng</v>
      </c>
      <c r="F260" s="4" t="str">
        <f>IFERROR(__xludf.DUMMYFUNCTION("""COMPUTED_VALUE"""),"KHXH2026-259.png")</f>
        <v>KHXH2026-259.png</v>
      </c>
    </row>
    <row r="261">
      <c r="A261" s="4" t="str">
        <f>IFERROR(__xludf.DUMMYFUNCTION("""COMPUTED_VALUE"""),"KHXH2026-260")</f>
        <v>KHXH2026-260</v>
      </c>
      <c r="B261" s="4" t="str">
        <f>IFERROR(__xludf.DUMMYFUNCTION("""COMPUTED_VALUE"""),"Khoa học xã hội")</f>
        <v>Khoa học xã hội</v>
      </c>
      <c r="C261" s="4" t="str">
        <f>IFERROR(__xludf.DUMMYFUNCTION("""COMPUTED_VALUE"""),"Nghiên cứu quá trình chuyển đổi sinh kế dưới tác động của du lịch tại không gian làng văn hóa ở thị xã Mộc Châu, tỉnh Sơn La: Tiếp cận từ mô hình Delphi - DEA.")</f>
        <v>Nghiên cứu quá trình chuyển đổi sinh kế dưới tác động của du lịch tại không gian làng văn hóa ở thị xã Mộc Châu, tỉnh Sơn La: Tiếp cận từ mô hình Delphi - DEA.</v>
      </c>
      <c r="D261" s="4" t="str">
        <f>IFERROR(__xludf.DUMMYFUNCTION("""COMPUTED_VALUE"""),"Nguyễn Mỹ Linh; Nguyễn Đình Thị Nhung; Trần Thị Thảo Linh")</f>
        <v>Nguyễn Mỹ Linh; Nguyễn Đình Thị Nhung; Trần Thị Thảo Linh</v>
      </c>
      <c r="E261" s="4" t="str">
        <f>IFERROR(__xludf.DUMMYFUNCTION("""COMPUTED_VALUE"""),"Trường Khoa học liên ngành và Nghệ thuật, ĐHQG Hà Nội")</f>
        <v>Trường Khoa học liên ngành và Nghệ thuật, ĐHQG Hà Nội</v>
      </c>
      <c r="F261" s="4" t="str">
        <f>IFERROR(__xludf.DUMMYFUNCTION("""COMPUTED_VALUE"""),"KHXH2026-260.png")</f>
        <v>KHXH2026-260.png</v>
      </c>
    </row>
    <row r="262">
      <c r="A262" s="4" t="str">
        <f>IFERROR(__xludf.DUMMYFUNCTION("""COMPUTED_VALUE"""),"KHXH2026-261")</f>
        <v>KHXH2026-261</v>
      </c>
      <c r="B262" s="4" t="str">
        <f>IFERROR(__xludf.DUMMYFUNCTION("""COMPUTED_VALUE"""),"Khoa học xã hội")</f>
        <v>Khoa học xã hội</v>
      </c>
      <c r="C262" s="4" t="str">
        <f>IFERROR(__xludf.DUMMYFUNCTION("""COMPUTED_VALUE"""),"RESEARCH AND PROPOSED SOLUTIONS FOR PREVENTING CYBERBULLYING BEHAVIOR AMONG VIETNAMESE UNIVERSITY STUDENTS IN THE CONTEXT OF DIGITAL TRANSFORMATION")</f>
        <v>RESEARCH AND PROPOSED SOLUTIONS FOR PREVENTING CYBERBULLYING BEHAVIOR AMONG VIETNAMESE UNIVERSITY STUDENTS IN THE CONTEXT OF DIGITAL TRANSFORMATION</v>
      </c>
      <c r="D262" s="4" t="str">
        <f>IFERROR(__xludf.DUMMYFUNCTION("""COMPUTED_VALUE"""),"Đỗ Văn Trường; Nguyễn Thị Huyền; Hoàng Bảo Ngân; Nguyễn Trần Long Hoàng")</f>
        <v>Đỗ Văn Trường; Nguyễn Thị Huyền; Hoàng Bảo Ngân; Nguyễn Trần Long Hoàng</v>
      </c>
      <c r="E262" s="4" t="str">
        <f>IFERROR(__xludf.DUMMYFUNCTION("""COMPUTED_VALUE"""),"Đại học Kinh tế Quốc dân")</f>
        <v>Đại học Kinh tế Quốc dân</v>
      </c>
      <c r="F262" s="4" t="str">
        <f>IFERROR(__xludf.DUMMYFUNCTION("""COMPUTED_VALUE"""),"KHXH2026-261.png")</f>
        <v>KHXH2026-261.png</v>
      </c>
    </row>
    <row r="263">
      <c r="A263" s="4" t="str">
        <f>IFERROR(__xludf.DUMMYFUNCTION("""COMPUTED_VALUE"""),"KHXH2026-262")</f>
        <v>KHXH2026-262</v>
      </c>
      <c r="B263" s="4" t="str">
        <f>IFERROR(__xludf.DUMMYFUNCTION("""COMPUTED_VALUE"""),"Khoa học xã hội")</f>
        <v>Khoa học xã hội</v>
      </c>
      <c r="C263" s="4" t="str">
        <f>IFERROR(__xludf.DUMMYFUNCTION("""COMPUTED_VALUE"""),"Nghiên cứu các nhân tố ảnh hưởng đến ý định sử dụng mỹ phẩm thuần chay của sinh viên trên địa bàn thành phố Hà Nội")</f>
        <v>Nghiên cứu các nhân tố ảnh hưởng đến ý định sử dụng mỹ phẩm thuần chay của sinh viên trên địa bàn thành phố Hà Nội</v>
      </c>
      <c r="D263" s="4" t="str">
        <f>IFERROR(__xludf.DUMMYFUNCTION("""COMPUTED_VALUE"""),"Bùi Nhật Anh; Bùi Vân Anh; Vũ Thành Phương Anh; Lê Mỹ Anh; Vũ Ngọc Linh")</f>
        <v>Bùi Nhật Anh; Bùi Vân Anh; Vũ Thành Phương Anh; Lê Mỹ Anh; Vũ Ngọc Linh</v>
      </c>
      <c r="E263" s="4" t="str">
        <f>IFERROR(__xludf.DUMMYFUNCTION("""COMPUTED_VALUE"""),"Đại học Kinh tế Quốc dân")</f>
        <v>Đại học Kinh tế Quốc dân</v>
      </c>
      <c r="F263" s="4" t="str">
        <f>IFERROR(__xludf.DUMMYFUNCTION("""COMPUTED_VALUE"""),"KHXH2026-262.png")</f>
        <v>KHXH2026-262.png</v>
      </c>
    </row>
    <row r="264">
      <c r="A264" s="4" t="str">
        <f>IFERROR(__xludf.DUMMYFUNCTION("""COMPUTED_VALUE"""),"KHXH2026-263")</f>
        <v>KHXH2026-263</v>
      </c>
      <c r="B264" s="4" t="str">
        <f>IFERROR(__xludf.DUMMYFUNCTION("""COMPUTED_VALUE"""),"Khoa học xã hội")</f>
        <v>Khoa học xã hội</v>
      </c>
      <c r="C264" s="4" t="str">
        <f>IFERROR(__xludf.DUMMYFUNCTION("""COMPUTED_VALUE"""),"Tác động của đô thị hóa đến chuyển dịch cấu trúc gia đình tại Việt Nam")</f>
        <v>Tác động của đô thị hóa đến chuyển dịch cấu trúc gia đình tại Việt Nam</v>
      </c>
      <c r="D264" s="4" t="str">
        <f>IFERROR(__xludf.DUMMYFUNCTION("""COMPUTED_VALUE"""),"Trần Thị Mai Phương; Trương Thị Lan Nhi; Nguyễn Thị Ngọc Yến; Ngô Hoàng Phúc; Tạ Quang Tùng")</f>
        <v>Trần Thị Mai Phương; Trương Thị Lan Nhi; Nguyễn Thị Ngọc Yến; Ngô Hoàng Phúc; Tạ Quang Tùng</v>
      </c>
      <c r="E264" s="4" t="str">
        <f>IFERROR(__xludf.DUMMYFUNCTION("""COMPUTED_VALUE"""),"Đại học Kinh tế Quốc dân")</f>
        <v>Đại học Kinh tế Quốc dân</v>
      </c>
      <c r="F264" s="4" t="str">
        <f>IFERROR(__xludf.DUMMYFUNCTION("""COMPUTED_VALUE"""),"KHXH2026-263.png")</f>
        <v>KHXH2026-263.png</v>
      </c>
    </row>
    <row r="265">
      <c r="A265" s="4" t="str">
        <f>IFERROR(__xludf.DUMMYFUNCTION("""COMPUTED_VALUE"""),"KHXH2026-264")</f>
        <v>KHXH2026-264</v>
      </c>
      <c r="B265" s="4" t="str">
        <f>IFERROR(__xludf.DUMMYFUNCTION("""COMPUTED_VALUE"""),"Khoa học xã hội")</f>
        <v>Khoa học xã hội</v>
      </c>
      <c r="C265" s="4" t="str">
        <f>IFERROR(__xludf.DUMMYFUNCTION("""COMPUTED_VALUE"""),"Những yếu tố ảnh hưởng đến động lực học tập của sinh viên Trường Đại học Bình Dương")</f>
        <v>Những yếu tố ảnh hưởng đến động lực học tập của sinh viên Trường Đại học Bình Dương</v>
      </c>
      <c r="D265" s="4" t="str">
        <f>IFERROR(__xludf.DUMMYFUNCTION("""COMPUTED_VALUE"""),"Ngô Huỳnh Cẩm Quyên.; Trịnh Thị Hồng Thắm.")</f>
        <v>Ngô Huỳnh Cẩm Quyên.; Trịnh Thị Hồng Thắm.</v>
      </c>
      <c r="E265" s="4" t="str">
        <f>IFERROR(__xludf.DUMMYFUNCTION("""COMPUTED_VALUE"""),"Trường Đại học Bình Dương")</f>
        <v>Trường Đại học Bình Dương</v>
      </c>
      <c r="F265" s="4" t="str">
        <f>IFERROR(__xludf.DUMMYFUNCTION("""COMPUTED_VALUE"""),"KHXH2026-264.png")</f>
        <v>KHXH2026-264.png</v>
      </c>
    </row>
    <row r="266">
      <c r="A266" s="4" t="str">
        <f>IFERROR(__xludf.DUMMYFUNCTION("""COMPUTED_VALUE"""),"KHXH2026-265")</f>
        <v>KHXH2026-265</v>
      </c>
      <c r="B266" s="4" t="str">
        <f>IFERROR(__xludf.DUMMYFUNCTION("""COMPUTED_VALUE"""),"Khoa học xã hội")</f>
        <v>Khoa học xã hội</v>
      </c>
      <c r="C266" s="4" t="str">
        <f>IFERROR(__xludf.DUMMYFUNCTION("""COMPUTED_VALUE"""),"VẬN DỤNG MÔ HÌNH ĐỊNH GIÁ HEDONIC VÀO ƯỚC TÍNH PHẦN TĂNG GIÁ BÁN SẢN PHẨM THIẾT BỊ ĐIỆN GIA DỤNG VỚI NHÃN HIỆU QUẢ NĂNG LƯỢNG TẠI HÀ NỘI")</f>
        <v>VẬN DỤNG MÔ HÌNH ĐỊNH GIÁ HEDONIC VÀO ƯỚC TÍNH PHẦN TĂNG GIÁ BÁN SẢN PHẨM THIẾT BỊ ĐIỆN GIA DỤNG VỚI NHÃN HIỆU QUẢ NĂNG LƯỢNG TẠI HÀ NỘI</v>
      </c>
      <c r="D266" s="4" t="str">
        <f>IFERROR(__xludf.DUMMYFUNCTION("""COMPUTED_VALUE"""),"Lê Thị Thu")</f>
        <v>Lê Thị Thu</v>
      </c>
      <c r="E266" s="4" t="str">
        <f>IFERROR(__xludf.DUMMYFUNCTION("""COMPUTED_VALUE"""),"Đại học Kinh tế Quốc dân")</f>
        <v>Đại học Kinh tế Quốc dân</v>
      </c>
      <c r="F266" s="4" t="str">
        <f>IFERROR(__xludf.DUMMYFUNCTION("""COMPUTED_VALUE"""),"KHXH2026-265.png")</f>
        <v>KHXH2026-265.png</v>
      </c>
    </row>
    <row r="267">
      <c r="A267" s="4" t="str">
        <f>IFERROR(__xludf.DUMMYFUNCTION("""COMPUTED_VALUE"""),"KHXH2026-266")</f>
        <v>KHXH2026-266</v>
      </c>
      <c r="B267" s="4" t="str">
        <f>IFERROR(__xludf.DUMMYFUNCTION("""COMPUTED_VALUE"""),"Khoa học xã hội")</f>
        <v>Khoa học xã hội</v>
      </c>
      <c r="C267" s="4" t="str">
        <f>IFERROR(__xludf.DUMMYFUNCTION("""COMPUTED_VALUE"""),"Ảnh hưởng của nội dung video ngắn trên TikTok đến lòng yêu nước của học sinh THPT tại TP.HCM")</f>
        <v>Ảnh hưởng của nội dung video ngắn trên TikTok đến lòng yêu nước của học sinh THPT tại TP.HCM</v>
      </c>
      <c r="D267" s="4" t="str">
        <f>IFERROR(__xludf.DUMMYFUNCTION("""COMPUTED_VALUE"""),"Nguyễn Trí Vĩnh")</f>
        <v>Nguyễn Trí Vĩnh</v>
      </c>
      <c r="E267" s="4" t="str">
        <f>IFERROR(__xludf.DUMMYFUNCTION("""COMPUTED_VALUE"""),"Trường Đại học Văn Hiến")</f>
        <v>Trường Đại học Văn Hiến</v>
      </c>
      <c r="F267" s="4" t="str">
        <f>IFERROR(__xludf.DUMMYFUNCTION("""COMPUTED_VALUE"""),"KHXH2026-266.png")</f>
        <v>KHXH2026-266.png</v>
      </c>
    </row>
    <row r="268">
      <c r="A268" s="4" t="str">
        <f>IFERROR(__xludf.DUMMYFUNCTION("""COMPUTED_VALUE"""),"KHXH2026-267")</f>
        <v>KHXH2026-267</v>
      </c>
      <c r="B268" s="4" t="str">
        <f>IFERROR(__xludf.DUMMYFUNCTION("""COMPUTED_VALUE"""),"Khoa học xã hội")</f>
        <v>Khoa học xã hội</v>
      </c>
      <c r="C268" s="4" t="str">
        <f>IFERROR(__xludf.DUMMYFUNCTION("""COMPUTED_VALUE"""),"Tiếp cận kinh doanh thương mại điện tử của người khuyết tật trong thời kỳ chuyển đổi số qua khảo sát trên địa bàn thành phố Hà Nội")</f>
        <v>Tiếp cận kinh doanh thương mại điện tử của người khuyết tật trong thời kỳ chuyển đổi số qua khảo sát trên địa bàn thành phố Hà Nội</v>
      </c>
      <c r="D268" s="4" t="str">
        <f>IFERROR(__xludf.DUMMYFUNCTION("""COMPUTED_VALUE"""),"Phạm Thanh Huyền; Nguyễn Thị Phương Thảo; Nguyễn Thị Thu Huyền")</f>
        <v>Phạm Thanh Huyền; Nguyễn Thị Phương Thảo; Nguyễn Thị Thu Huyền</v>
      </c>
      <c r="E268" s="4" t="str">
        <f>IFERROR(__xludf.DUMMYFUNCTION("""COMPUTED_VALUE"""),"Trường Đại học Luật Hà Nội")</f>
        <v>Trường Đại học Luật Hà Nội</v>
      </c>
      <c r="F268" s="4" t="str">
        <f>IFERROR(__xludf.DUMMYFUNCTION("""COMPUTED_VALUE"""),"KHXH2026-267.png")</f>
        <v>KHXH2026-267.png</v>
      </c>
    </row>
    <row r="269">
      <c r="A269" s="4" t="str">
        <f>IFERROR(__xludf.DUMMYFUNCTION("""COMPUTED_VALUE"""),"KHXH2026-268")</f>
        <v>KHXH2026-268</v>
      </c>
      <c r="B269" s="4" t="str">
        <f>IFERROR(__xludf.DUMMYFUNCTION("""COMPUTED_VALUE"""),"Khoa học xã hội")</f>
        <v>Khoa học xã hội</v>
      </c>
      <c r="C269" s="4" t="str">
        <f>IFERROR(__xludf.DUMMYFUNCTION("""COMPUTED_VALUE"""),"Vai trò của sinh viên Việt Nam đối với hình thành, phát triển công dân số toàn cầu trong kỷ nguyên mới theo tinh thần Nghị quyết 57-NQ/TW của Bộ Chính trị")</f>
        <v>Vai trò của sinh viên Việt Nam đối với hình thành, phát triển công dân số toàn cầu trong kỷ nguyên mới theo tinh thần Nghị quyết 57-NQ/TW của Bộ Chính trị</v>
      </c>
      <c r="D269" s="4" t="str">
        <f>IFERROR(__xludf.DUMMYFUNCTION("""COMPUTED_VALUE"""),"Nguyễn Thị Phương Thảo; Lê Quang Huy; Nguyễn Đức Anh")</f>
        <v>Nguyễn Thị Phương Thảo; Lê Quang Huy; Nguyễn Đức Anh</v>
      </c>
      <c r="E269" s="4" t="str">
        <f>IFERROR(__xludf.DUMMYFUNCTION("""COMPUTED_VALUE"""),"Trường Đại học Luật Hà Nội")</f>
        <v>Trường Đại học Luật Hà Nội</v>
      </c>
      <c r="F269" s="4" t="str">
        <f>IFERROR(__xludf.DUMMYFUNCTION("""COMPUTED_VALUE"""),"KHXH2026-268.png")</f>
        <v>KHXH2026-268.png</v>
      </c>
    </row>
    <row r="270">
      <c r="A270" s="4" t="str">
        <f>IFERROR(__xludf.DUMMYFUNCTION("""COMPUTED_VALUE"""),"KHXH2026-269")</f>
        <v>KHXH2026-269</v>
      </c>
      <c r="B270" s="4" t="str">
        <f>IFERROR(__xludf.DUMMYFUNCTION("""COMPUTED_VALUE"""),"Khoa học xã hội")</f>
        <v>Khoa học xã hội</v>
      </c>
      <c r="C270" s="4" t="str">
        <f>IFERROR(__xludf.DUMMYFUNCTION("""COMPUTED_VALUE"""),"PHÂN TÍCH GÁNH NẶNG BỆNH TIM MẠCH TẠI VIỆT NAM GIAI ĐOẠN 1990–2023 VÀ DỰ BÁO ĐẾN 2050")</f>
        <v>PHÂN TÍCH GÁNH NẶNG BỆNH TIM MẠCH TẠI VIỆT NAM GIAI ĐOẠN 1990–2023 VÀ DỰ BÁO ĐẾN 2050</v>
      </c>
      <c r="D270" s="4" t="str">
        <f>IFERROR(__xludf.DUMMYFUNCTION("""COMPUTED_VALUE"""),"Hồ Ngọc Trúc Thảo; Trịnh Phan Thanh Lam; Nguyễn Thị Ngọc Khuê; Nguyễn Lê Minh Hoà; Trương Ái Thuyên")</f>
        <v>Hồ Ngọc Trúc Thảo; Trịnh Phan Thanh Lam; Nguyễn Thị Ngọc Khuê; Nguyễn Lê Minh Hoà; Trương Ái Thuyên</v>
      </c>
      <c r="E270" s="4" t="str">
        <f>IFERROR(__xludf.DUMMYFUNCTION("""COMPUTED_VALUE"""),"Đại học Y Dược TP. Hồ Chí Minh")</f>
        <v>Đại học Y Dược TP. Hồ Chí Minh</v>
      </c>
      <c r="F270" s="4" t="str">
        <f>IFERROR(__xludf.DUMMYFUNCTION("""COMPUTED_VALUE"""),"KHXH2026-269.png")</f>
        <v>KHXH2026-269.png</v>
      </c>
    </row>
    <row r="271">
      <c r="A271" s="4" t="str">
        <f>IFERROR(__xludf.DUMMYFUNCTION("""COMPUTED_VALUE"""),"KHXH2026-270")</f>
        <v>KHXH2026-270</v>
      </c>
      <c r="B271" s="4" t="str">
        <f>IFERROR(__xludf.DUMMYFUNCTION("""COMPUTED_VALUE"""),"Khoa học xã hội")</f>
        <v>Khoa học xã hội</v>
      </c>
      <c r="C271" s="4" t="str">
        <f>IFERROR(__xludf.DUMMYFUNCTION("""COMPUTED_VALUE"""),"KHẢO SÁT NHẬN THỨC CỦA VẬN ĐỘNG VIÊN LÀ SINH VIÊN VỀ QUYỀN LỢI, CHẾ ĐỘ, CHÍNH SÁCH THEO QUY ĐỊNH: THỰC TIỄN TẠI TRƯỜNG ĐẠI HỌC SƯ PHẠM THỂ DỤC THỂ THAO THÀNH PHỐ HỒ CHÍ MINH")</f>
        <v>KHẢO SÁT NHẬN THỨC CỦA VẬN ĐỘNG VIÊN LÀ SINH VIÊN VỀ QUYỀN LỢI, CHẾ ĐỘ, CHÍNH SÁCH THEO QUY ĐỊNH: THỰC TIỄN TẠI TRƯỜNG ĐẠI HỌC SƯ PHẠM THỂ DỤC THỂ THAO THÀNH PHỐ HỒ CHÍ MINH</v>
      </c>
      <c r="D271" s="4" t="str">
        <f>IFERROR(__xludf.DUMMYFUNCTION("""COMPUTED_VALUE"""),"Dương Anh Thư")</f>
        <v>Dương Anh Thư</v>
      </c>
      <c r="E271" s="4" t="str">
        <f>IFERROR(__xludf.DUMMYFUNCTION("""COMPUTED_VALUE"""),"Trường Đại học Sư phạm Thể dục Thể Thao TP. Hồ Chí Minh")</f>
        <v>Trường Đại học Sư phạm Thể dục Thể Thao TP. Hồ Chí Minh</v>
      </c>
      <c r="F271" s="4" t="str">
        <f>IFERROR(__xludf.DUMMYFUNCTION("""COMPUTED_VALUE"""),"KHXH2026-270.png")</f>
        <v>KHXH2026-270.png</v>
      </c>
    </row>
    <row r="272">
      <c r="A272" s="4" t="str">
        <f>IFERROR(__xludf.DUMMYFUNCTION("""COMPUTED_VALUE"""),"KHXH2026-271")</f>
        <v>KHXH2026-271</v>
      </c>
      <c r="B272" s="4" t="str">
        <f>IFERROR(__xludf.DUMMYFUNCTION("""COMPUTED_VALUE"""),"Khoa học xã hội")</f>
        <v>Khoa học xã hội</v>
      </c>
      <c r="C272" s="4" t="str">
        <f>IFERROR(__xludf.DUMMYFUNCTION("""COMPUTED_VALUE"""),"Ảnh hưởng của hiện tượng Brain Rot đến khả năng tập trung của sinh viên trong bối cảnh chuyển đổi số và phát triển thương mại điện tử")</f>
        <v>Ảnh hưởng của hiện tượng Brain Rot đến khả năng tập trung của sinh viên trong bối cảnh chuyển đổi số và phát triển thương mại điện tử</v>
      </c>
      <c r="D272" s="4" t="str">
        <f>IFERROR(__xludf.DUMMYFUNCTION("""COMPUTED_VALUE"""),"Đào Thị Nhàn; Lý Đức Huy; Đào Thị Diệp")</f>
        <v>Đào Thị Nhàn; Lý Đức Huy; Đào Thị Diệp</v>
      </c>
      <c r="E272" s="4" t="str">
        <f>IFERROR(__xludf.DUMMYFUNCTION("""COMPUTED_VALUE"""),"Trường Đại học Hải Phòng")</f>
        <v>Trường Đại học Hải Phòng</v>
      </c>
      <c r="F272" s="4" t="str">
        <f>IFERROR(__xludf.DUMMYFUNCTION("""COMPUTED_VALUE"""),"KHXH2026-271.png")</f>
        <v>KHXH2026-271.png</v>
      </c>
    </row>
    <row r="273">
      <c r="A273" s="4" t="str">
        <f>IFERROR(__xludf.DUMMYFUNCTION("""COMPUTED_VALUE"""),"KHXH2026-272")</f>
        <v>KHXH2026-272</v>
      </c>
      <c r="B273" s="4" t="str">
        <f>IFERROR(__xludf.DUMMYFUNCTION("""COMPUTED_VALUE"""),"Khoa học xã hội")</f>
        <v>Khoa học xã hội</v>
      </c>
      <c r="C273" s="4" t="str">
        <f>IFERROR(__xludf.DUMMYFUNCTION("""COMPUTED_VALUE"""),"ĐÁNH GIÁ THỰC TRẠNG SỨC KHỎE TINH THẦN SINH VIÊN K17 TRƯỜNG ĐẠI HỌC SƯ PHẠM THỂ DỤC THỂ THAO THÀNH PHỐ HỒ CHÍ MINH")</f>
        <v>ĐÁNH GIÁ THỰC TRẠNG SỨC KHỎE TINH THẦN SINH VIÊN K17 TRƯỜNG ĐẠI HỌC SƯ PHẠM THỂ DỤC THỂ THAO THÀNH PHỐ HỒ CHÍ MINH</v>
      </c>
      <c r="D273" s="4" t="str">
        <f>IFERROR(__xludf.DUMMYFUNCTION("""COMPUTED_VALUE"""),"Cao Lê Tấn Tỷ; Bùi Thị Hằng; Trần Thị Kim Thoa; Lê Minh Thư; Trần Thị Mỹ Duyên")</f>
        <v>Cao Lê Tấn Tỷ; Bùi Thị Hằng; Trần Thị Kim Thoa; Lê Minh Thư; Trần Thị Mỹ Duyên</v>
      </c>
      <c r="E273" s="4" t="str">
        <f>IFERROR(__xludf.DUMMYFUNCTION("""COMPUTED_VALUE"""),"Trường Đại học Sư phạm Thể dục Thể Thao TP. Hồ Chí Minh")</f>
        <v>Trường Đại học Sư phạm Thể dục Thể Thao TP. Hồ Chí Minh</v>
      </c>
      <c r="F273" s="4" t="str">
        <f>IFERROR(__xludf.DUMMYFUNCTION("""COMPUTED_VALUE"""),"KHXH2026-272.png")</f>
        <v>KHXH2026-272.png</v>
      </c>
    </row>
    <row r="274">
      <c r="A274" s="4" t="str">
        <f>IFERROR(__xludf.DUMMYFUNCTION("""COMPUTED_VALUE"""),"KHXH2026-273")</f>
        <v>KHXH2026-273</v>
      </c>
      <c r="B274" s="4" t="str">
        <f>IFERROR(__xludf.DUMMYFUNCTION("""COMPUTED_VALUE"""),"Khoa học xã hội")</f>
        <v>Khoa học xã hội</v>
      </c>
      <c r="C274" s="4" t="str">
        <f>IFERROR(__xludf.DUMMYFUNCTION("""COMPUTED_VALUE"""),"Nghiên cứu hành vi tiêu dùng bền vững của sinh viên trên địa bàn thành phố Hà Nội")</f>
        <v>Nghiên cứu hành vi tiêu dùng bền vững của sinh viên trên địa bàn thành phố Hà Nội</v>
      </c>
      <c r="D274" s="4" t="str">
        <f>IFERROR(__xludf.DUMMYFUNCTION("""COMPUTED_VALUE"""),"Đinh Thị Trà My; Thế Bảo Yến Nhi")</f>
        <v>Đinh Thị Trà My; Thế Bảo Yến Nhi</v>
      </c>
      <c r="E274" s="4" t="str">
        <f>IFERROR(__xludf.DUMMYFUNCTION("""COMPUTED_VALUE"""),"Trường Đại học Tài nguyên và Môi trường Hà Nội")</f>
        <v>Trường Đại học Tài nguyên và Môi trường Hà Nội</v>
      </c>
      <c r="F274" s="4" t="str">
        <f>IFERROR(__xludf.DUMMYFUNCTION("""COMPUTED_VALUE"""),"KHXH2026-273.png")</f>
        <v>KHXH2026-273.png</v>
      </c>
    </row>
    <row r="275">
      <c r="A275" s="4" t="str">
        <f>IFERROR(__xludf.DUMMYFUNCTION("""COMPUTED_VALUE"""),"KHXH2026-274")</f>
        <v>KHXH2026-274</v>
      </c>
      <c r="B275" s="4" t="str">
        <f>IFERROR(__xludf.DUMMYFUNCTION("""COMPUTED_VALUE"""),"Khoa học xã hội")</f>
        <v>Khoa học xã hội</v>
      </c>
      <c r="C275" s="4" t="str">
        <f>IFERROR(__xludf.DUMMYFUNCTION("""COMPUTED_VALUE"""),"Nghiên cứu về tác động đa chiều của việc thay thế xe máy xăng bằng xe máy điện của sinh viên Trường Đại học Tài nguyên và Môi trường Hà Nội")</f>
        <v>Nghiên cứu về tác động đa chiều của việc thay thế xe máy xăng bằng xe máy điện của sinh viên Trường Đại học Tài nguyên và Môi trường Hà Nội</v>
      </c>
      <c r="D275" s="4" t="str">
        <f>IFERROR(__xludf.DUMMYFUNCTION("""COMPUTED_VALUE"""),"Hoàng Thị Ngân Hà; Nguyễn Thanh Tâm")</f>
        <v>Hoàng Thị Ngân Hà; Nguyễn Thanh Tâm</v>
      </c>
      <c r="E275" s="4" t="str">
        <f>IFERROR(__xludf.DUMMYFUNCTION("""COMPUTED_VALUE"""),"Trường Đại học Tài nguyên và Môi trường Hà Nội")</f>
        <v>Trường Đại học Tài nguyên và Môi trường Hà Nội</v>
      </c>
      <c r="F275" s="4" t="str">
        <f>IFERROR(__xludf.DUMMYFUNCTION("""COMPUTED_VALUE"""),"KHXH2026-274.png")</f>
        <v>KHXH2026-274.png</v>
      </c>
    </row>
    <row r="276">
      <c r="A276" s="4" t="str">
        <f>IFERROR(__xludf.DUMMYFUNCTION("""COMPUTED_VALUE"""),"KHXH2026-275")</f>
        <v>KHXH2026-275</v>
      </c>
      <c r="B276" s="4" t="str">
        <f>IFERROR(__xludf.DUMMYFUNCTION("""COMPUTED_VALUE"""),"Khoa học xã hội")</f>
        <v>Khoa học xã hội</v>
      </c>
      <c r="C276" s="4" t="str">
        <f>IFERROR(__xludf.DUMMYFUNCTION("""COMPUTED_VALUE"""),"Nghịch lý tiêu dùng trên nền tảng số và căng thẳng tài chính của Gen Z tại Hà Nội: Cơ chế nhận thức từ khuyến mại số và dịch vụ mua trước trả sau")</f>
        <v>Nghịch lý tiêu dùng trên nền tảng số và căng thẳng tài chính của Gen Z tại Hà Nội: Cơ chế nhận thức từ khuyến mại số và dịch vụ mua trước trả sau</v>
      </c>
      <c r="D276" s="4" t="str">
        <f>IFERROR(__xludf.DUMMYFUNCTION("""COMPUTED_VALUE"""),"Nguyễn Anh Tú; Nguyễn Thị Yến Nhi; Nguyễn Ngọc Ánh Dương; Nguyễn Thanh Tú; Phạm Anh Tuấn")</f>
        <v>Nguyễn Anh Tú; Nguyễn Thị Yến Nhi; Nguyễn Ngọc Ánh Dương; Nguyễn Thanh Tú; Phạm Anh Tuấn</v>
      </c>
      <c r="E276" s="4" t="str">
        <f>IFERROR(__xludf.DUMMYFUNCTION("""COMPUTED_VALUE"""),"Trường Đại học Ngoại thương")</f>
        <v>Trường Đại học Ngoại thương</v>
      </c>
      <c r="F276" s="4" t="str">
        <f>IFERROR(__xludf.DUMMYFUNCTION("""COMPUTED_VALUE"""),"KHXH2026-275.png")</f>
        <v>KHXH2026-275.png</v>
      </c>
    </row>
    <row r="277">
      <c r="A277" s="4" t="str">
        <f>IFERROR(__xludf.DUMMYFUNCTION("""COMPUTED_VALUE"""),"KHXH2026-276")</f>
        <v>KHXH2026-276</v>
      </c>
      <c r="B277" s="4" t="str">
        <f>IFERROR(__xludf.DUMMYFUNCTION("""COMPUTED_VALUE"""),"Khoa học xã hội")</f>
        <v>Khoa học xã hội</v>
      </c>
      <c r="C277" s="4" t="str">
        <f>IFERROR(__xludf.DUMMYFUNCTION("""COMPUTED_VALUE"""),"Ảnh hưởng của di cư nội địa đến sự biến đổi nhận thức về bản sắc ‘người Hà Nội’ trong bối cảnh đô thị hóa tại Thành phố Hà Nội")</f>
        <v>Ảnh hưởng của di cư nội địa đến sự biến đổi nhận thức về bản sắc ‘người Hà Nội’ trong bối cảnh đô thị hóa tại Thành phố Hà Nội</v>
      </c>
      <c r="D277" s="4" t="str">
        <f>IFERROR(__xludf.DUMMYFUNCTION("""COMPUTED_VALUE"""),"Chu Hoa Bảo Trâm; Nguyễn Phan Mình Hiền; Đỗ Minh Đức; Nguyễn Ngọc Anh; Lê Hồng Hạnh")</f>
        <v>Chu Hoa Bảo Trâm; Nguyễn Phan Mình Hiền; Đỗ Minh Đức; Nguyễn Ngọc Anh; Lê Hồng Hạnh</v>
      </c>
      <c r="E277" s="4" t="str">
        <f>IFERROR(__xludf.DUMMYFUNCTION("""COMPUTED_VALUE"""),"Trường Đại học Ngoại thương")</f>
        <v>Trường Đại học Ngoại thương</v>
      </c>
      <c r="F277" s="4" t="str">
        <f>IFERROR(__xludf.DUMMYFUNCTION("""COMPUTED_VALUE"""),"KHXH2026-276.png")</f>
        <v>KHXH2026-276.png</v>
      </c>
    </row>
    <row r="278">
      <c r="A278" s="4" t="str">
        <f>IFERROR(__xludf.DUMMYFUNCTION("""COMPUTED_VALUE"""),"KHXH2026-277")</f>
        <v>KHXH2026-277</v>
      </c>
      <c r="B278" s="4" t="str">
        <f>IFERROR(__xludf.DUMMYFUNCTION("""COMPUTED_VALUE"""),"Khoa học xã hội")</f>
        <v>Khoa học xã hội</v>
      </c>
      <c r="C278" s="4" t="str">
        <f>IFERROR(__xludf.DUMMYFUNCTION("""COMPUTED_VALUE"""),"Khả năng tiếp cận và chuyển hóa Nguồn lực thành Lợi ích số trong bối cảnh số hóa dịch vụ công của nhóm yếu thế tại Việt Nam: Bằng chứng thực nghiệm theo khung lý thuyết Nguồn lực và Tiếp cận số.")</f>
        <v>Khả năng tiếp cận và chuyển hóa Nguồn lực thành Lợi ích số trong bối cảnh số hóa dịch vụ công của nhóm yếu thế tại Việt Nam: Bằng chứng thực nghiệm theo khung lý thuyết Nguồn lực và Tiếp cận số.</v>
      </c>
      <c r="D278" s="4" t="str">
        <f>IFERROR(__xludf.DUMMYFUNCTION("""COMPUTED_VALUE"""),"Nguyễn Khánh Linh; Đặng Thị Vi Anh; Nguyễn Bảo Châu; Nguyễn Thị Minh Thư")</f>
        <v>Nguyễn Khánh Linh; Đặng Thị Vi Anh; Nguyễn Bảo Châu; Nguyễn Thị Minh Thư</v>
      </c>
      <c r="E278" s="4" t="str">
        <f>IFERROR(__xludf.DUMMYFUNCTION("""COMPUTED_VALUE"""),"Học viện Ngân hàng")</f>
        <v>Học viện Ngân hàng</v>
      </c>
      <c r="F278" s="4" t="str">
        <f>IFERROR(__xludf.DUMMYFUNCTION("""COMPUTED_VALUE"""),"KHXH2026-277.png")</f>
        <v>KHXH2026-277.png</v>
      </c>
    </row>
    <row r="279">
      <c r="A279" s="4" t="str">
        <f>IFERROR(__xludf.DUMMYFUNCTION("""COMPUTED_VALUE"""),"KHXH2026-278")</f>
        <v>KHXH2026-278</v>
      </c>
      <c r="B279" s="4" t="str">
        <f>IFERROR(__xludf.DUMMYFUNCTION("""COMPUTED_VALUE"""),"Khoa học xã hội")</f>
        <v>Khoa học xã hội</v>
      </c>
      <c r="C279" s="4" t="str">
        <f>IFERROR(__xludf.DUMMYFUNCTION("""COMPUTED_VALUE"""),"Định kiến giới và miệt thi ngoại hình ở nữ sinh viên Hà Nội")</f>
        <v>Định kiến giới và miệt thi ngoại hình ở nữ sinh viên Hà Nội</v>
      </c>
      <c r="D279" s="4" t="str">
        <f>IFERROR(__xludf.DUMMYFUNCTION("""COMPUTED_VALUE"""),"Nguyễn Thị Quỳnh Chi; Võ Thị Bảo Duyên; Trần Thu Hường; Nguyễn Thị Mai; Vũ Thị Hải Minh")</f>
        <v>Nguyễn Thị Quỳnh Chi; Võ Thị Bảo Duyên; Trần Thu Hường; Nguyễn Thị Mai; Vũ Thị Hải Minh</v>
      </c>
      <c r="E279" s="4" t="str">
        <f>IFERROR(__xludf.DUMMYFUNCTION("""COMPUTED_VALUE"""),"Học viện Báo chí và Tuyên truyền")</f>
        <v>Học viện Báo chí và Tuyên truyền</v>
      </c>
      <c r="F279" s="4" t="str">
        <f>IFERROR(__xludf.DUMMYFUNCTION("""COMPUTED_VALUE"""),"KHXH2026-278.png")</f>
        <v>KHXH2026-278.png</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86"/>
    <col customWidth="1" min="2" max="2" width="18.29"/>
    <col customWidth="1" min="3" max="3" width="201.29"/>
    <col customWidth="1" min="4" max="4" width="103.14"/>
    <col customWidth="1" min="5" max="5" width="52.0"/>
    <col customWidth="1" min="6" max="6" width="18.86"/>
  </cols>
  <sheetData>
    <row r="1">
      <c r="A1" s="1" t="s">
        <v>0</v>
      </c>
      <c r="B1" s="1" t="s">
        <v>1</v>
      </c>
      <c r="C1" s="1" t="s">
        <v>2</v>
      </c>
      <c r="D1" s="1" t="s">
        <v>3</v>
      </c>
      <c r="E1" s="1" t="s">
        <v>4</v>
      </c>
      <c r="F1" s="1" t="s">
        <v>5</v>
      </c>
    </row>
    <row r="2">
      <c r="A2" s="4" t="str">
        <f>IFERROR(__xludf.DUMMYFUNCTION("FILTER('Danh sach'!A2:F2184, 'Danh sach'!B2:B2184=""Hành chính pháp lý"")"),"HCPL2026-001")</f>
        <v>HCPL2026-001</v>
      </c>
      <c r="B2" s="4" t="str">
        <f>IFERROR(__xludf.DUMMYFUNCTION("""COMPUTED_VALUE"""),"Hành chính pháp lý")</f>
        <v>Hành chính pháp lý</v>
      </c>
      <c r="C2" s="4" t="str">
        <f>IFERROR(__xludf.DUMMYFUNCTION("""COMPUTED_VALUE"""),"Hoàn thiện pháp luật về tổ chức phiên tòa trực tuyến: Kinh nghiệm quốc tế và bài học cho Việt Nam")</f>
        <v>Hoàn thiện pháp luật về tổ chức phiên tòa trực tuyến: Kinh nghiệm quốc tế và bài học cho Việt Nam</v>
      </c>
      <c r="D2" s="4" t="str">
        <f>IFERROR(__xludf.DUMMYFUNCTION("""COMPUTED_VALUE"""),"Nguyễn Hồng Hạnh; Phạm Nam Khánh; Nguyễn Tâm Tâm; Phạm Phương Thảo; Lê Đặng An Bình")</f>
        <v>Nguyễn Hồng Hạnh; Phạm Nam Khánh; Nguyễn Tâm Tâm; Phạm Phương Thảo; Lê Đặng An Bình</v>
      </c>
      <c r="E2" s="4" t="str">
        <f>IFERROR(__xludf.DUMMYFUNCTION("""COMPUTED_VALUE"""),"Trường Học viện Ngoại giao")</f>
        <v>Trường Học viện Ngoại giao</v>
      </c>
      <c r="F2" s="4" t="str">
        <f>IFERROR(__xludf.DUMMYFUNCTION("""COMPUTED_VALUE"""),"HCPL2026-001.png")</f>
        <v>HCPL2026-001.png</v>
      </c>
    </row>
    <row r="3">
      <c r="A3" s="4" t="str">
        <f>IFERROR(__xludf.DUMMYFUNCTION("""COMPUTED_VALUE"""),"HCPL2026-002")</f>
        <v>HCPL2026-002</v>
      </c>
      <c r="B3" s="4" t="str">
        <f>IFERROR(__xludf.DUMMYFUNCTION("""COMPUTED_VALUE"""),"Hành chính pháp lý")</f>
        <v>Hành chính pháp lý</v>
      </c>
      <c r="C3" s="4" t="str">
        <f>IFERROR(__xludf.DUMMYFUNCTION("""COMPUTED_VALUE"""),"Pháp luật về mang thai hộ vì mục đích nhân đạo tại Việt Nam hiện nay")</f>
        <v>Pháp luật về mang thai hộ vì mục đích nhân đạo tại Việt Nam hiện nay</v>
      </c>
      <c r="D3" s="4" t="str">
        <f>IFERROR(__xludf.DUMMYFUNCTION("""COMPUTED_VALUE"""),"Lê Thị Diệu Thanh; Ngô Trường Huy; Đặng Anh Diên")</f>
        <v>Lê Thị Diệu Thanh; Ngô Trường Huy; Đặng Anh Diên</v>
      </c>
      <c r="E3" s="4" t="str">
        <f>IFERROR(__xludf.DUMMYFUNCTION("""COMPUTED_VALUE"""),"Phân hiệu Học viện Thanh thiếu niên Việt Nam")</f>
        <v>Phân hiệu Học viện Thanh thiếu niên Việt Nam</v>
      </c>
      <c r="F3" s="4" t="str">
        <f>IFERROR(__xludf.DUMMYFUNCTION("""COMPUTED_VALUE"""),"HCPL2026-002.png")</f>
        <v>HCPL2026-002.png</v>
      </c>
    </row>
    <row r="4">
      <c r="A4" s="4" t="str">
        <f>IFERROR(__xludf.DUMMYFUNCTION("""COMPUTED_VALUE"""),"HCPL2026-003")</f>
        <v>HCPL2026-003</v>
      </c>
      <c r="B4" s="4" t="str">
        <f>IFERROR(__xludf.DUMMYFUNCTION("""COMPUTED_VALUE"""),"Hành chính pháp lý")</f>
        <v>Hành chính pháp lý</v>
      </c>
      <c r="C4" s="4" t="str">
        <f>IFERROR(__xludf.DUMMYFUNCTION("""COMPUTED_VALUE"""),"Hoàn thiện pháp luật về quyền sở hữu tín chỉ Các-bon rừng tại Việt Nam hiện nay")</f>
        <v>Hoàn thiện pháp luật về quyền sở hữu tín chỉ Các-bon rừng tại Việt Nam hiện nay</v>
      </c>
      <c r="D4" s="4" t="str">
        <f>IFERROR(__xludf.DUMMYFUNCTION("""COMPUTED_VALUE"""),"Lê Thị Như Quyên; Bùi Ngọc Gia Hân; Trương Nguyễn Hồng Phúc")</f>
        <v>Lê Thị Như Quyên; Bùi Ngọc Gia Hân; Trương Nguyễn Hồng Phúc</v>
      </c>
      <c r="E4" s="4" t="str">
        <f>IFERROR(__xludf.DUMMYFUNCTION("""COMPUTED_VALUE"""),"Phân hiệu Học viện Thanh thiếu niên Việt Nam")</f>
        <v>Phân hiệu Học viện Thanh thiếu niên Việt Nam</v>
      </c>
      <c r="F4" s="4" t="str">
        <f>IFERROR(__xludf.DUMMYFUNCTION("""COMPUTED_VALUE"""),"HCPL2026-003.png")</f>
        <v>HCPL2026-003.png</v>
      </c>
    </row>
    <row r="5">
      <c r="A5" s="4" t="str">
        <f>IFERROR(__xludf.DUMMYFUNCTION("""COMPUTED_VALUE"""),"HCPL2026-004")</f>
        <v>HCPL2026-004</v>
      </c>
      <c r="B5" s="4" t="str">
        <f>IFERROR(__xludf.DUMMYFUNCTION("""COMPUTED_VALUE"""),"Hành chính pháp lý")</f>
        <v>Hành chính pháp lý</v>
      </c>
      <c r="C5" s="4" t="str">
        <f>IFERROR(__xludf.DUMMYFUNCTION("""COMPUTED_VALUE"""),"Quyền và nghĩa vụ của cá nhân sống chung như vợ chồng không đăng ký kết hôn theo pháp luật Việt Nam")</f>
        <v>Quyền và nghĩa vụ của cá nhân sống chung như vợ chồng không đăng ký kết hôn theo pháp luật Việt Nam</v>
      </c>
      <c r="D5" s="4" t="str">
        <f>IFERROR(__xludf.DUMMYFUNCTION("""COMPUTED_VALUE"""),"Lê Trần Kim Linh ; Phạm Lý Gia Huy ; Nguyễn Hà Khương")</f>
        <v>Lê Trần Kim Linh ; Phạm Lý Gia Huy ; Nguyễn Hà Khương</v>
      </c>
      <c r="E5" s="4" t="str">
        <f>IFERROR(__xludf.DUMMYFUNCTION("""COMPUTED_VALUE"""),"Phân hiệu Học viện Thanh thiếu niên Việt Nam")</f>
        <v>Phân hiệu Học viện Thanh thiếu niên Việt Nam</v>
      </c>
      <c r="F5" s="4" t="str">
        <f>IFERROR(__xludf.DUMMYFUNCTION("""COMPUTED_VALUE"""),"HCPL2026-004.png")</f>
        <v>HCPL2026-004.png</v>
      </c>
    </row>
    <row r="6">
      <c r="A6" s="4" t="str">
        <f>IFERROR(__xludf.DUMMYFUNCTION("""COMPUTED_VALUE"""),"HCPL2026-005")</f>
        <v>HCPL2026-005</v>
      </c>
      <c r="B6" s="4" t="str">
        <f>IFERROR(__xludf.DUMMYFUNCTION("""COMPUTED_VALUE"""),"Hành chính pháp lý")</f>
        <v>Hành chính pháp lý</v>
      </c>
      <c r="C6" s="4" t="str">
        <f>IFERROR(__xludf.DUMMYFUNCTION("""COMPUTED_VALUE"""),"Bảo vệ quyền riêng tư của người lao động theo pháp luật Việt Nam")</f>
        <v>Bảo vệ quyền riêng tư của người lao động theo pháp luật Việt Nam</v>
      </c>
      <c r="D6" s="4" t="str">
        <f>IFERROR(__xludf.DUMMYFUNCTION("""COMPUTED_VALUE"""),"Nguyễn Thị Hải Yến; Đỗ Thị Thuý Dung")</f>
        <v>Nguyễn Thị Hải Yến; Đỗ Thị Thuý Dung</v>
      </c>
      <c r="E6" s="4" t="str">
        <f>IFERROR(__xludf.DUMMYFUNCTION("""COMPUTED_VALUE"""),"Trường Đại học Mở Hà Nội")</f>
        <v>Trường Đại học Mở Hà Nội</v>
      </c>
      <c r="F6" s="4" t="str">
        <f>IFERROR(__xludf.DUMMYFUNCTION("""COMPUTED_VALUE"""),"HCPL2026-005.png")</f>
        <v>HCPL2026-005.png</v>
      </c>
    </row>
    <row r="7">
      <c r="A7" s="4" t="str">
        <f>IFERROR(__xludf.DUMMYFUNCTION("""COMPUTED_VALUE"""),"HCPL2026-006")</f>
        <v>HCPL2026-006</v>
      </c>
      <c r="B7" s="4" t="str">
        <f>IFERROR(__xludf.DUMMYFUNCTION("""COMPUTED_VALUE"""),"Hành chính pháp lý")</f>
        <v>Hành chính pháp lý</v>
      </c>
      <c r="C7" s="4" t="str">
        <f>IFERROR(__xludf.DUMMYFUNCTION("""COMPUTED_VALUE"""),"TRÁCH NHIỆM PHÁP LÝ CỦA NỀN TẢNG TRỰC TUYẾN ĐỐI VỚI HÀNH VI QUẢNG CÁO KHÔNG ĐÚNG SỰ THẬT DO LẠM DỤNG CÔNG NGHỆ TRÍ TUỆ NHÂN TẠO (AI)")</f>
        <v>TRÁCH NHIỆM PHÁP LÝ CỦA NỀN TẢNG TRỰC TUYẾN ĐỐI VỚI HÀNH VI QUẢNG CÁO KHÔNG ĐÚNG SỰ THẬT DO LẠM DỤNG CÔNG NGHỆ TRÍ TUỆ NHÂN TẠO (AI)</v>
      </c>
      <c r="D7" s="4" t="str">
        <f>IFERROR(__xludf.DUMMYFUNCTION("""COMPUTED_VALUE"""),"Trần Hoàng Ngọc Phát; Trần Thị Thanh Thúy; Trương Hoàng Thi; Trần Ngọc An Hòa")</f>
        <v>Trần Hoàng Ngọc Phát; Trần Thị Thanh Thúy; Trương Hoàng Thi; Trần Ngọc An Hòa</v>
      </c>
      <c r="E7" s="4" t="str">
        <f>IFERROR(__xludf.DUMMYFUNCTION("""COMPUTED_VALUE"""),"Trường Đại học Nguyễn Tất Thành")</f>
        <v>Trường Đại học Nguyễn Tất Thành</v>
      </c>
      <c r="F7" s="4" t="str">
        <f>IFERROR(__xludf.DUMMYFUNCTION("""COMPUTED_VALUE"""),"HCPL2026-006.png")</f>
        <v>HCPL2026-006.png</v>
      </c>
    </row>
    <row r="8">
      <c r="A8" s="4" t="str">
        <f>IFERROR(__xludf.DUMMYFUNCTION("""COMPUTED_VALUE"""),"HCPL2026-007")</f>
        <v>HCPL2026-007</v>
      </c>
      <c r="B8" s="4" t="str">
        <f>IFERROR(__xludf.DUMMYFUNCTION("""COMPUTED_VALUE"""),"Hành chính pháp lý")</f>
        <v>Hành chính pháp lý</v>
      </c>
      <c r="C8" s="4" t="str">
        <f>IFERROR(__xludf.DUMMYFUNCTION("""COMPUTED_VALUE"""),"DEEPFAKE VÀ VẤN ĐỀ BẢO VỆ HÌNH ẢNH CÁ NHÂN TRONG THỜI ĐẠI CÔNG NGHỆ SỐ TẠI VIỆT NAM")</f>
        <v>DEEPFAKE VÀ VẤN ĐỀ BẢO VỆ HÌNH ẢNH CÁ NHÂN TRONG THỜI ĐẠI CÔNG NGHỆ SỐ TẠI VIỆT NAM</v>
      </c>
      <c r="D8" s="4" t="str">
        <f>IFERROR(__xludf.DUMMYFUNCTION("""COMPUTED_VALUE"""),"Tô Ngọc Hoài Thương; Võ Minh Thư; Trịnh Hoài Phương Mai")</f>
        <v>Tô Ngọc Hoài Thương; Võ Minh Thư; Trịnh Hoài Phương Mai</v>
      </c>
      <c r="E8" s="4" t="str">
        <f>IFERROR(__xludf.DUMMYFUNCTION("""COMPUTED_VALUE"""),"Trường Đại học Nguyễn Tất Thành")</f>
        <v>Trường Đại học Nguyễn Tất Thành</v>
      </c>
      <c r="F8" s="4" t="str">
        <f>IFERROR(__xludf.DUMMYFUNCTION("""COMPUTED_VALUE"""),"HCPL2026-007.png")</f>
        <v>HCPL2026-007.png</v>
      </c>
    </row>
    <row r="9">
      <c r="A9" s="4" t="str">
        <f>IFERROR(__xludf.DUMMYFUNCTION("""COMPUTED_VALUE"""),"HCPL2026-008")</f>
        <v>HCPL2026-008</v>
      </c>
      <c r="B9" s="4" t="str">
        <f>IFERROR(__xludf.DUMMYFUNCTION("""COMPUTED_VALUE"""),"Hành chính pháp lý")</f>
        <v>Hành chính pháp lý</v>
      </c>
      <c r="C9" s="4" t="str">
        <f>IFERROR(__xludf.DUMMYFUNCTION("""COMPUTED_VALUE"""),"PHÁP LUẬT VỀ QUẢN LÝ SÀN THƯƠNG MẠI ĐIỆN TỬ NHẰM BẢO VỆ NGƯỜI TIÊU DÙNG – KINH NGHIỆM TỪ TRUNG QUỐC")</f>
        <v>PHÁP LUẬT VỀ QUẢN LÝ SÀN THƯƠNG MẠI ĐIỆN TỬ NHẰM BẢO VỆ NGƯỜI TIÊU DÙNG – KINH NGHIỆM TỪ TRUNG QUỐC</v>
      </c>
      <c r="D9" s="4" t="str">
        <f>IFERROR(__xludf.DUMMYFUNCTION("""COMPUTED_VALUE"""),"Nguyễn Thị Giang")</f>
        <v>Nguyễn Thị Giang</v>
      </c>
      <c r="E9" s="4" t="str">
        <f>IFERROR(__xludf.DUMMYFUNCTION("""COMPUTED_VALUE"""),"Trường Đại học Nguyễn Tất Thành")</f>
        <v>Trường Đại học Nguyễn Tất Thành</v>
      </c>
      <c r="F9" s="4" t="str">
        <f>IFERROR(__xludf.DUMMYFUNCTION("""COMPUTED_VALUE"""),"HCPL2026-008.png")</f>
        <v>HCPL2026-008.png</v>
      </c>
    </row>
    <row r="10">
      <c r="A10" s="4" t="str">
        <f>IFERROR(__xludf.DUMMYFUNCTION("""COMPUTED_VALUE"""),"HCPL2026-009")</f>
        <v>HCPL2026-009</v>
      </c>
      <c r="B10" s="4" t="str">
        <f>IFERROR(__xludf.DUMMYFUNCTION("""COMPUTED_VALUE"""),"Hành chính pháp lý")</f>
        <v>Hành chính pháp lý</v>
      </c>
      <c r="C10" s="4" t="str">
        <f>IFERROR(__xludf.DUMMYFUNCTION("""COMPUTED_VALUE"""),"Bảo vệ quyền cá nhân qua quyền được quên trên Internet: Góc nhìn pháp lý và thực tiễn tại Việt Nam")</f>
        <v>Bảo vệ quyền cá nhân qua quyền được quên trên Internet: Góc nhìn pháp lý và thực tiễn tại Việt Nam</v>
      </c>
      <c r="D10" s="4" t="str">
        <f>IFERROR(__xludf.DUMMYFUNCTION("""COMPUTED_VALUE"""),"Nguyễn Trường Giang; Trần Ngọc My")</f>
        <v>Nguyễn Trường Giang; Trần Ngọc My</v>
      </c>
      <c r="E10" s="4" t="str">
        <f>IFERROR(__xludf.DUMMYFUNCTION("""COMPUTED_VALUE"""),"Trường Đại học Công nghệ TP.HCM")</f>
        <v>Trường Đại học Công nghệ TP.HCM</v>
      </c>
      <c r="F10" s="4" t="str">
        <f>IFERROR(__xludf.DUMMYFUNCTION("""COMPUTED_VALUE"""),"HCPL2026-009.png")</f>
        <v>HCPL2026-009.png</v>
      </c>
    </row>
    <row r="11">
      <c r="A11" s="4" t="str">
        <f>IFERROR(__xludf.DUMMYFUNCTION("""COMPUTED_VALUE"""),"HCPL2026-010")</f>
        <v>HCPL2026-010</v>
      </c>
      <c r="B11" s="4" t="str">
        <f>IFERROR(__xludf.DUMMYFUNCTION("""COMPUTED_VALUE"""),"Hành chính pháp lý")</f>
        <v>Hành chính pháp lý</v>
      </c>
      <c r="C11" s="4" t="str">
        <f>IFERROR(__xludf.DUMMYFUNCTION("""COMPUTED_VALUE"""),"Thực trạng áp dụng pháp luật của sinh viên về phòng cháy chữa cháy và cứu nạn cứu hộ tại các trường đại học - cao đẳng trên địa bàn tỉnh Vĩnh Long")</f>
        <v>Thực trạng áp dụng pháp luật của sinh viên về phòng cháy chữa cháy và cứu nạn cứu hộ tại các trường đại học - cao đẳng trên địa bàn tỉnh Vĩnh Long</v>
      </c>
      <c r="D11" s="4" t="str">
        <f>IFERROR(__xludf.DUMMYFUNCTION("""COMPUTED_VALUE"""),"Nguyễn Anh Tuấn")</f>
        <v>Nguyễn Anh Tuấn</v>
      </c>
      <c r="E11" s="4" t="str">
        <f>IFERROR(__xludf.DUMMYFUNCTION("""COMPUTED_VALUE"""),"Trường Đại học Cửu Long")</f>
        <v>Trường Đại học Cửu Long</v>
      </c>
      <c r="F11" s="4" t="str">
        <f>IFERROR(__xludf.DUMMYFUNCTION("""COMPUTED_VALUE"""),"HCPL2026-010.png")</f>
        <v>HCPL2026-010.png</v>
      </c>
    </row>
    <row r="12">
      <c r="A12" s="4" t="str">
        <f>IFERROR(__xludf.DUMMYFUNCTION("""COMPUTED_VALUE"""),"HCPL2026-011")</f>
        <v>HCPL2026-011</v>
      </c>
      <c r="B12" s="4" t="str">
        <f>IFERROR(__xludf.DUMMYFUNCTION("""COMPUTED_VALUE"""),"Hành chính pháp lý")</f>
        <v>Hành chính pháp lý</v>
      </c>
      <c r="C12" s="4" t="str">
        <f>IFERROR(__xludf.DUMMYFUNCTION("""COMPUTED_VALUE"""),"Công nghệ hỗ trợ sinh sản trong hôn nhân đồng giới theo pháp luật một số quốc gia - Gợi mở cho Việt Nam")</f>
        <v>Công nghệ hỗ trợ sinh sản trong hôn nhân đồng giới theo pháp luật một số quốc gia - Gợi mở cho Việt Nam</v>
      </c>
      <c r="D12" s="4" t="str">
        <f>IFERROR(__xludf.DUMMYFUNCTION("""COMPUTED_VALUE"""),"Đào Tuyết Phương; Nguyễn Ngọc Ánh; Trần Kim Ngọc; Dương Nguyễn Thúy Vy")</f>
        <v>Đào Tuyết Phương; Nguyễn Ngọc Ánh; Trần Kim Ngọc; Dương Nguyễn Thúy Vy</v>
      </c>
      <c r="E12" s="4" t="str">
        <f>IFERROR(__xludf.DUMMYFUNCTION("""COMPUTED_VALUE"""),"Trường Đại học Kiểm sát")</f>
        <v>Trường Đại học Kiểm sát</v>
      </c>
      <c r="F12" s="4" t="str">
        <f>IFERROR(__xludf.DUMMYFUNCTION("""COMPUTED_VALUE"""),"HCPL2026-011.png")</f>
        <v>HCPL2026-011.png</v>
      </c>
    </row>
    <row r="13">
      <c r="A13" s="4" t="str">
        <f>IFERROR(__xludf.DUMMYFUNCTION("""COMPUTED_VALUE"""),"HCPL2026-012")</f>
        <v>HCPL2026-012</v>
      </c>
      <c r="B13" s="4" t="str">
        <f>IFERROR(__xludf.DUMMYFUNCTION("""COMPUTED_VALUE"""),"Hành chính pháp lý")</f>
        <v>Hành chính pháp lý</v>
      </c>
      <c r="C13" s="4" t="str">
        <f>IFERROR(__xludf.DUMMYFUNCTION("""COMPUTED_VALUE"""),"Hoàn thiện khung pháp lý về ứng dụng giao diện não - máy tính trong điều trị các bệnh lý rối loạn nhận thức.")</f>
        <v>Hoàn thiện khung pháp lý về ứng dụng giao diện não - máy tính trong điều trị các bệnh lý rối loạn nhận thức.</v>
      </c>
      <c r="D13" s="4" t="str">
        <f>IFERROR(__xludf.DUMMYFUNCTION("""COMPUTED_VALUE"""),"Nguyễn Gia Kiệt; Lê Tố Ngân ; Phạm Thị Huyền; Phạm Thị Tuyết Băng ; Trần Thị Thu Trang")</f>
        <v>Nguyễn Gia Kiệt; Lê Tố Ngân ; Phạm Thị Huyền; Phạm Thị Tuyết Băng ; Trần Thị Thu Trang</v>
      </c>
      <c r="E13" s="4" t="str">
        <f>IFERROR(__xludf.DUMMYFUNCTION("""COMPUTED_VALUE"""),"Trường Đại học Kiểm sát")</f>
        <v>Trường Đại học Kiểm sát</v>
      </c>
      <c r="F13" s="4" t="str">
        <f>IFERROR(__xludf.DUMMYFUNCTION("""COMPUTED_VALUE"""),"HCPL2026-012.png")</f>
        <v>HCPL2026-012.png</v>
      </c>
    </row>
    <row r="14">
      <c r="A14" s="4" t="str">
        <f>IFERROR(__xludf.DUMMYFUNCTION("""COMPUTED_VALUE"""),"HCPL2026-013")</f>
        <v>HCPL2026-013</v>
      </c>
      <c r="B14" s="4" t="str">
        <f>IFERROR(__xludf.DUMMYFUNCTION("""COMPUTED_VALUE"""),"Hành chính pháp lý")</f>
        <v>Hành chính pháp lý</v>
      </c>
      <c r="C14" s="4" t="str">
        <f>IFERROR(__xludf.DUMMYFUNCTION("""COMPUTED_VALUE"""),"NGHIÊN CỨU ĐỀ XUẤT GIẢI PHÁP BẢO HỘ NHÃN HIỆU TẬP THỂ SẢN PHẨM KẸO CAU TẠI THÀNH PHỐ HUẾ")</f>
        <v>NGHIÊN CỨU ĐỀ XUẤT GIẢI PHÁP BẢO HỘ NHÃN HIỆU TẬP THỂ SẢN PHẨM KẸO CAU TẠI THÀNH PHỐ HUẾ</v>
      </c>
      <c r="D14" s="4" t="str">
        <f>IFERROR(__xludf.DUMMYFUNCTION("""COMPUTED_VALUE"""),"Phan Nguyễn Hồng Phúc; Trần Thị Việt An; Phạm Như Tài; Nguyễn Hữu Hải Long")</f>
        <v>Phan Nguyễn Hồng Phúc; Trần Thị Việt An; Phạm Như Tài; Nguyễn Hữu Hải Long</v>
      </c>
      <c r="E14" s="4" t="str">
        <f>IFERROR(__xludf.DUMMYFUNCTION("""COMPUTED_VALUE"""),"Trường Đại học Luật, Đại học Huế")</f>
        <v>Trường Đại học Luật, Đại học Huế</v>
      </c>
      <c r="F14" s="4" t="str">
        <f>IFERROR(__xludf.DUMMYFUNCTION("""COMPUTED_VALUE"""),"HCPL2026-013.png")</f>
        <v>HCPL2026-013.png</v>
      </c>
    </row>
    <row r="15">
      <c r="A15" s="4" t="str">
        <f>IFERROR(__xludf.DUMMYFUNCTION("""COMPUTED_VALUE"""),"HCPL2026-014")</f>
        <v>HCPL2026-014</v>
      </c>
      <c r="B15" s="4" t="str">
        <f>IFERROR(__xludf.DUMMYFUNCTION("""COMPUTED_VALUE"""),"Hành chính pháp lý")</f>
        <v>Hành chính pháp lý</v>
      </c>
      <c r="C15" s="4" t="str">
        <f>IFERROR(__xludf.DUMMYFUNCTION("""COMPUTED_VALUE"""),"Hoàn thiện khung pháp lý về ứng dụng công nghệ chỉnh sửa gen trên người")</f>
        <v>Hoàn thiện khung pháp lý về ứng dụng công nghệ chỉnh sửa gen trên người</v>
      </c>
      <c r="D15" s="4" t="str">
        <f>IFERROR(__xludf.DUMMYFUNCTION("""COMPUTED_VALUE"""),"Nguyễn Thị Mai Trường; Đồng Thị Tú Linh; Danh Thị Huỳnh Như; Võ Thị Mỹ Hạnh ; Trịnh Hà Khanh")</f>
        <v>Nguyễn Thị Mai Trường; Đồng Thị Tú Linh; Danh Thị Huỳnh Như; Võ Thị Mỹ Hạnh ; Trịnh Hà Khanh</v>
      </c>
      <c r="E15" s="4" t="str">
        <f>IFERROR(__xludf.DUMMYFUNCTION("""COMPUTED_VALUE"""),"Trường Đại học Kiểm sát")</f>
        <v>Trường Đại học Kiểm sát</v>
      </c>
      <c r="F15" s="4" t="str">
        <f>IFERROR(__xludf.DUMMYFUNCTION("""COMPUTED_VALUE"""),"HCPL2026-014.png")</f>
        <v>HCPL2026-014.png</v>
      </c>
    </row>
    <row r="16">
      <c r="A16" s="4" t="str">
        <f>IFERROR(__xludf.DUMMYFUNCTION("""COMPUTED_VALUE"""),"HCPL2026-015")</f>
        <v>HCPL2026-015</v>
      </c>
      <c r="B16" s="4" t="str">
        <f>IFERROR(__xludf.DUMMYFUNCTION("""COMPUTED_VALUE"""),"Hành chính pháp lý")</f>
        <v>Hành chính pháp lý</v>
      </c>
      <c r="C16" s="4" t="str">
        <f>IFERROR(__xludf.DUMMYFUNCTION("""COMPUTED_VALUE"""),"Bảo đảm tính thống nhất giữa các quy định xử lý vi phạm hợp đồng nhằm đáp ứng yêu cầu phát triển đất nước trong kỷ nguyên mới")</f>
        <v>Bảo đảm tính thống nhất giữa các quy định xử lý vi phạm hợp đồng nhằm đáp ứng yêu cầu phát triển đất nước trong kỷ nguyên mới</v>
      </c>
      <c r="D16" s="4" t="str">
        <f>IFERROR(__xludf.DUMMYFUNCTION("""COMPUTED_VALUE"""),"Phạm Vũ Gia Khánh ; Hoàng Hải Linh ; Phạm Thành Đạt")</f>
        <v>Phạm Vũ Gia Khánh ; Hoàng Hải Linh ; Phạm Thành Đạt</v>
      </c>
      <c r="E16" s="4" t="str">
        <f>IFERROR(__xludf.DUMMYFUNCTION("""COMPUTED_VALUE"""),"Trường Đại học Luật Hà Nội")</f>
        <v>Trường Đại học Luật Hà Nội</v>
      </c>
      <c r="F16" s="4" t="str">
        <f>IFERROR(__xludf.DUMMYFUNCTION("""COMPUTED_VALUE"""),"HCPL2026-015.png")</f>
        <v>HCPL2026-015.png</v>
      </c>
    </row>
    <row r="17">
      <c r="A17" s="4" t="str">
        <f>IFERROR(__xludf.DUMMYFUNCTION("""COMPUTED_VALUE"""),"HCPL2026-016")</f>
        <v>HCPL2026-016</v>
      </c>
      <c r="B17" s="4" t="str">
        <f>IFERROR(__xludf.DUMMYFUNCTION("""COMPUTED_VALUE"""),"Hành chính pháp lý")</f>
        <v>Hành chính pháp lý</v>
      </c>
      <c r="C17" s="4" t="str">
        <f>IFERROR(__xludf.DUMMYFUNCTION("""COMPUTED_VALUE"""),"Giới hạn quyền của chủ thể dữ liệu cá nhân: Kinh nghiệm quốc tế và giá trị tham khảo cho Việt Nam")</f>
        <v>Giới hạn quyền của chủ thể dữ liệu cá nhân: Kinh nghiệm quốc tế và giá trị tham khảo cho Việt Nam</v>
      </c>
      <c r="D17" s="4" t="str">
        <f>IFERROR(__xludf.DUMMYFUNCTION("""COMPUTED_VALUE"""),"Lương Hồ Anh Thư; Nguyễn Anh Thư; Đoàn Xuân Ngọc")</f>
        <v>Lương Hồ Anh Thư; Nguyễn Anh Thư; Đoàn Xuân Ngọc</v>
      </c>
      <c r="E17" s="4" t="str">
        <f>IFERROR(__xludf.DUMMYFUNCTION("""COMPUTED_VALUE"""),"Trường Đại học Luật Hà Nội")</f>
        <v>Trường Đại học Luật Hà Nội</v>
      </c>
      <c r="F17" s="4" t="str">
        <f>IFERROR(__xludf.DUMMYFUNCTION("""COMPUTED_VALUE"""),"HCPL2026-016.png")</f>
        <v>HCPL2026-016.png</v>
      </c>
    </row>
    <row r="18">
      <c r="A18" s="4" t="str">
        <f>IFERROR(__xludf.DUMMYFUNCTION("""COMPUTED_VALUE"""),"HCPL2026-017")</f>
        <v>HCPL2026-017</v>
      </c>
      <c r="B18" s="4" t="str">
        <f>IFERROR(__xludf.DUMMYFUNCTION("""COMPUTED_VALUE"""),"Hành chính pháp lý")</f>
        <v>Hành chính pháp lý</v>
      </c>
      <c r="C18" s="4" t="str">
        <f>IFERROR(__xludf.DUMMYFUNCTION("""COMPUTED_VALUE"""),"Bảo hộ quyền bản quyền trên không gian mạng trong bối cảnh chuyển đổi số - Quy định của pháp luật dân sự một số quốc gia trên thế giới và kinh nghiệm cho Việt Nam")</f>
        <v>Bảo hộ quyền bản quyền trên không gian mạng trong bối cảnh chuyển đổi số - Quy định của pháp luật dân sự một số quốc gia trên thế giới và kinh nghiệm cho Việt Nam</v>
      </c>
      <c r="D18" s="4" t="str">
        <f>IFERROR(__xludf.DUMMYFUNCTION("""COMPUTED_VALUE"""),"Nguyễn Mạnh Cường; Hoàng Thị Ánh; Nguyễn Thị Khánh Vy")</f>
        <v>Nguyễn Mạnh Cường; Hoàng Thị Ánh; Nguyễn Thị Khánh Vy</v>
      </c>
      <c r="E18" s="4" t="str">
        <f>IFERROR(__xludf.DUMMYFUNCTION("""COMPUTED_VALUE"""),"Học viện Toà án")</f>
        <v>Học viện Toà án</v>
      </c>
      <c r="F18" s="4" t="str">
        <f>IFERROR(__xludf.DUMMYFUNCTION("""COMPUTED_VALUE"""),"HCPL2026-017.png")</f>
        <v>HCPL2026-017.png</v>
      </c>
    </row>
    <row r="19">
      <c r="A19" s="4" t="str">
        <f>IFERROR(__xludf.DUMMYFUNCTION("""COMPUTED_VALUE"""),"HCPL2026-018")</f>
        <v>HCPL2026-018</v>
      </c>
      <c r="B19" s="4" t="str">
        <f>IFERROR(__xludf.DUMMYFUNCTION("""COMPUTED_VALUE"""),"Hành chính pháp lý")</f>
        <v>Hành chính pháp lý</v>
      </c>
      <c r="C19" s="4" t="str">
        <f>IFERROR(__xludf.DUMMYFUNCTION("""COMPUTED_VALUE"""),"Lẽ công bằng trong việc giải quyết án dân sự tại Việt Nam")</f>
        <v>Lẽ công bằng trong việc giải quyết án dân sự tại Việt Nam</v>
      </c>
      <c r="D19" s="4" t="str">
        <f>IFERROR(__xludf.DUMMYFUNCTION("""COMPUTED_VALUE"""),"Vũ Mạnh Nam; Nguyễn Thị Huyền; Lê Thành Sơn; Nguyễn Quang Minh")</f>
        <v>Vũ Mạnh Nam; Nguyễn Thị Huyền; Lê Thành Sơn; Nguyễn Quang Minh</v>
      </c>
      <c r="E19" s="4" t="str">
        <f>IFERROR(__xludf.DUMMYFUNCTION("""COMPUTED_VALUE"""),"Học viện Toà án")</f>
        <v>Học viện Toà án</v>
      </c>
      <c r="F19" s="4" t="str">
        <f>IFERROR(__xludf.DUMMYFUNCTION("""COMPUTED_VALUE"""),"HCPL2026-018.png")</f>
        <v>HCPL2026-018.png</v>
      </c>
    </row>
    <row r="20">
      <c r="A20" s="4" t="str">
        <f>IFERROR(__xludf.DUMMYFUNCTION("""COMPUTED_VALUE"""),"HCPL2026-019")</f>
        <v>HCPL2026-019</v>
      </c>
      <c r="B20" s="4" t="str">
        <f>IFERROR(__xludf.DUMMYFUNCTION("""COMPUTED_VALUE"""),"Hành chính pháp lý")</f>
        <v>Hành chính pháp lý</v>
      </c>
      <c r="C20" s="4" t="str">
        <f>IFERROR(__xludf.DUMMYFUNCTION("""COMPUTED_VALUE"""),"Xác định tài sản của vợ, chồng là đối tượng quyền sở hữu trí tuệ - Pháp luật của một số quốc gia và kinh nghiệm cho Việt Nam")</f>
        <v>Xác định tài sản của vợ, chồng là đối tượng quyền sở hữu trí tuệ - Pháp luật của một số quốc gia và kinh nghiệm cho Việt Nam</v>
      </c>
      <c r="D20" s="4" t="str">
        <f>IFERROR(__xludf.DUMMYFUNCTION("""COMPUTED_VALUE"""),"Hoàng Thị Hương Trà; Nguyễn Đào Gia Hùng; Đào Việt Hà")</f>
        <v>Hoàng Thị Hương Trà; Nguyễn Đào Gia Hùng; Đào Việt Hà</v>
      </c>
      <c r="E20" s="4" t="str">
        <f>IFERROR(__xludf.DUMMYFUNCTION("""COMPUTED_VALUE"""),"Trường Đại học Luật Hà Nội")</f>
        <v>Trường Đại học Luật Hà Nội</v>
      </c>
      <c r="F20" s="4" t="str">
        <f>IFERROR(__xludf.DUMMYFUNCTION("""COMPUTED_VALUE"""),"HCPL2026-019.png")</f>
        <v>HCPL2026-019.png</v>
      </c>
    </row>
    <row r="21">
      <c r="A21" s="4" t="str">
        <f>IFERROR(__xludf.DUMMYFUNCTION("""COMPUTED_VALUE"""),"HCPL2026-020")</f>
        <v>HCPL2026-020</v>
      </c>
      <c r="B21" s="4" t="str">
        <f>IFERROR(__xludf.DUMMYFUNCTION("""COMPUTED_VALUE"""),"Hành chính pháp lý")</f>
        <v>Hành chính pháp lý</v>
      </c>
      <c r="C21" s="4" t="str">
        <f>IFERROR(__xludf.DUMMYFUNCTION("""COMPUTED_VALUE"""),"Pháp luật dân sự về tài sản số ở một số quốc gia trên thế giới và kinh nghiệm cho Việt Nam")</f>
        <v>Pháp luật dân sự về tài sản số ở một số quốc gia trên thế giới và kinh nghiệm cho Việt Nam</v>
      </c>
      <c r="D21" s="4" t="str">
        <f>IFERROR(__xludf.DUMMYFUNCTION("""COMPUTED_VALUE"""),"Nguyễn Vinh Quang; Dương Khôi Nguyên; Đỗ Phương Anh; Đỗ Minh Ánh")</f>
        <v>Nguyễn Vinh Quang; Dương Khôi Nguyên; Đỗ Phương Anh; Đỗ Minh Ánh</v>
      </c>
      <c r="E21" s="4" t="str">
        <f>IFERROR(__xludf.DUMMYFUNCTION("""COMPUTED_VALUE"""),"Học viện Toà án")</f>
        <v>Học viện Toà án</v>
      </c>
      <c r="F21" s="4" t="str">
        <f>IFERROR(__xludf.DUMMYFUNCTION("""COMPUTED_VALUE"""),"HCPL2026-020.png")</f>
        <v>HCPL2026-020.png</v>
      </c>
    </row>
    <row r="22">
      <c r="A22" s="4" t="str">
        <f>IFERROR(__xludf.DUMMYFUNCTION("""COMPUTED_VALUE"""),"HCPL2026-021")</f>
        <v>HCPL2026-021</v>
      </c>
      <c r="B22" s="4" t="str">
        <f>IFERROR(__xludf.DUMMYFUNCTION("""COMPUTED_VALUE"""),"Hành chính pháp lý")</f>
        <v>Hành chính pháp lý</v>
      </c>
      <c r="C22" s="4" t="str">
        <f>IFERROR(__xludf.DUMMYFUNCTION("""COMPUTED_VALUE"""),"Tố tụng dân sự công ích - Nhận thức mới về tư duy lập pháp và định hướng thiết lập tại Việt Nam trong kỷ nguyên mới")</f>
        <v>Tố tụng dân sự công ích - Nhận thức mới về tư duy lập pháp và định hướng thiết lập tại Việt Nam trong kỷ nguyên mới</v>
      </c>
      <c r="D22" s="4" t="str">
        <f>IFERROR(__xludf.DUMMYFUNCTION("""COMPUTED_VALUE"""),"Vũ Đức Duy; Đỗ Xuân Mai; Bùi Thế Huy")</f>
        <v>Vũ Đức Duy; Đỗ Xuân Mai; Bùi Thế Huy</v>
      </c>
      <c r="E22" s="4" t="str">
        <f>IFERROR(__xludf.DUMMYFUNCTION("""COMPUTED_VALUE"""),"Trường Đại học Luật Hà Nội")</f>
        <v>Trường Đại học Luật Hà Nội</v>
      </c>
      <c r="F22" s="4" t="str">
        <f>IFERROR(__xludf.DUMMYFUNCTION("""COMPUTED_VALUE"""),"HCPL2026-021.png")</f>
        <v>HCPL2026-021.png</v>
      </c>
    </row>
    <row r="23">
      <c r="A23" s="4" t="str">
        <f>IFERROR(__xludf.DUMMYFUNCTION("""COMPUTED_VALUE"""),"HCPL2026-022")</f>
        <v>HCPL2026-022</v>
      </c>
      <c r="B23" s="4" t="str">
        <f>IFERROR(__xludf.DUMMYFUNCTION("""COMPUTED_VALUE"""),"Hành chính pháp lý")</f>
        <v>Hành chính pháp lý</v>
      </c>
      <c r="C23" s="4" t="str">
        <f>IFERROR(__xludf.DUMMYFUNCTION("""COMPUTED_VALUE"""),"CƠ CHẾ BẢO VỆ QUYỀN NHÂN THÂN KHI ÁP DỤNG CÔNG NGHỆ CHỈNH SỬA GEN - KINH NGHIỆM PHÁP LUẬT QUỐC TẾ VÀ KIẾN NGHỊ CHO VIỆT NAM")</f>
        <v>CƠ CHẾ BẢO VỆ QUYỀN NHÂN THÂN KHI ÁP DỤNG CÔNG NGHỆ CHỈNH SỬA GEN - KINH NGHIỆM PHÁP LUẬT QUỐC TẾ VÀ KIẾN NGHỊ CHO VIỆT NAM</v>
      </c>
      <c r="D23" s="4" t="str">
        <f>IFERROR(__xludf.DUMMYFUNCTION("""COMPUTED_VALUE"""),"Lê Huyền Thương; Nguyễn Trần Vân Trang")</f>
        <v>Lê Huyền Thương; Nguyễn Trần Vân Trang</v>
      </c>
      <c r="E23" s="4" t="str">
        <f>IFERROR(__xludf.DUMMYFUNCTION("""COMPUTED_VALUE"""),"Trường Đại học Luật Hà Nội")</f>
        <v>Trường Đại học Luật Hà Nội</v>
      </c>
      <c r="F23" s="4" t="str">
        <f>IFERROR(__xludf.DUMMYFUNCTION("""COMPUTED_VALUE"""),"HCPL2026-022.png")</f>
        <v>HCPL2026-022.png</v>
      </c>
    </row>
    <row r="24">
      <c r="A24" s="4" t="str">
        <f>IFERROR(__xludf.DUMMYFUNCTION("""COMPUTED_VALUE"""),"HCPL2026-023")</f>
        <v>HCPL2026-023</v>
      </c>
      <c r="B24" s="4" t="str">
        <f>IFERROR(__xludf.DUMMYFUNCTION("""COMPUTED_VALUE"""),"Hành chính pháp lý")</f>
        <v>Hành chính pháp lý</v>
      </c>
      <c r="C24" s="4" t="str">
        <f>IFERROR(__xludf.DUMMYFUNCTION("""COMPUTED_VALUE"""),"Trách nhiệm minh bạch của bên triển khai hệ thống trí tuệ nhân tạo: Kinh nghiệm quốc tế và đề xuất hoàn thiện pháp luật Việt Nam")</f>
        <v>Trách nhiệm minh bạch của bên triển khai hệ thống trí tuệ nhân tạo: Kinh nghiệm quốc tế và đề xuất hoàn thiện pháp luật Việt Nam</v>
      </c>
      <c r="D24" s="4" t="str">
        <f>IFERROR(__xludf.DUMMYFUNCTION("""COMPUTED_VALUE"""),"Lê Anh Tiến; Trần Tường Vy; Hoàng Thị Ngọc Mai; Thạch Thị Thanh Nhân; Nguyễn Thanh Phú")</f>
        <v>Lê Anh Tiến; Trần Tường Vy; Hoàng Thị Ngọc Mai; Thạch Thị Thanh Nhân; Nguyễn Thanh Phú</v>
      </c>
      <c r="E24" s="4" t="str">
        <f>IFERROR(__xludf.DUMMYFUNCTION("""COMPUTED_VALUE"""),"Trường Đại học Ngoại ngữ-Tin học TP.Hồ Chí Minh")</f>
        <v>Trường Đại học Ngoại ngữ-Tin học TP.Hồ Chí Minh</v>
      </c>
      <c r="F24" s="4" t="str">
        <f>IFERROR(__xludf.DUMMYFUNCTION("""COMPUTED_VALUE"""),"HCPL2026-023.png")</f>
        <v>HCPL2026-023.png</v>
      </c>
    </row>
    <row r="25">
      <c r="A25" s="4" t="str">
        <f>IFERROR(__xludf.DUMMYFUNCTION("""COMPUTED_VALUE"""),"HCPL2026-024")</f>
        <v>HCPL2026-024</v>
      </c>
      <c r="B25" s="4" t="str">
        <f>IFERROR(__xludf.DUMMYFUNCTION("""COMPUTED_VALUE"""),"Hành chính pháp lý")</f>
        <v>Hành chính pháp lý</v>
      </c>
      <c r="C25" s="4" t="str">
        <f>IFERROR(__xludf.DUMMYFUNCTION("""COMPUTED_VALUE"""),"GIẢI QUYẾT TRANH CHẤP THƯƠNG MẠI BẰNG CƠ CHẾ LIÊN THÔNG HÒA GIẢI – TRỌNG TÀI. PHÁP LUẬT MỘT SỐ NƯỚC VÀ ĐỀ XUẤT CHO PHÁP LUẬT VIỆT NAM")</f>
        <v>GIẢI QUYẾT TRANH CHẤP THƯƠNG MẠI BẰNG CƠ CHẾ LIÊN THÔNG HÒA GIẢI – TRỌNG TÀI. PHÁP LUẬT MỘT SỐ NƯỚC VÀ ĐỀ XUẤT CHO PHÁP LUẬT VIỆT NAM</v>
      </c>
      <c r="D25" s="4" t="str">
        <f>IFERROR(__xludf.DUMMYFUNCTION("""COMPUTED_VALUE"""),"Nguyễn Thị Ngọc Tâm; Võ Thanh Thảo; Bùi Thanh Xuân")</f>
        <v>Nguyễn Thị Ngọc Tâm; Võ Thanh Thảo; Bùi Thanh Xuân</v>
      </c>
      <c r="E25" s="4" t="str">
        <f>IFERROR(__xludf.DUMMYFUNCTION("""COMPUTED_VALUE"""),"Trường Đại Học Sài Gòn")</f>
        <v>Trường Đại Học Sài Gòn</v>
      </c>
      <c r="F25" s="4" t="str">
        <f>IFERROR(__xludf.DUMMYFUNCTION("""COMPUTED_VALUE"""),"HCPL2026-024.png")</f>
        <v>HCPL2026-024.png</v>
      </c>
    </row>
    <row r="26">
      <c r="A26" s="4" t="str">
        <f>IFERROR(__xludf.DUMMYFUNCTION("""COMPUTED_VALUE"""),"HCPL2026-025")</f>
        <v>HCPL2026-025</v>
      </c>
      <c r="B26" s="4" t="str">
        <f>IFERROR(__xludf.DUMMYFUNCTION("""COMPUTED_VALUE"""),"Hành chính pháp lý")</f>
        <v>Hành chính pháp lý</v>
      </c>
      <c r="C26" s="4" t="str">
        <f>IFERROR(__xludf.DUMMYFUNCTION("""COMPUTED_VALUE"""),"HOÀN THIỆN PHÁP LUẬT VỀ THỪA KẾ NHẰM ĐẢM BẢO QUY ĐỊNH VỀ TÀI SẢN SỐ TRONG LUẬT CÔNG NGHIỆP CÔNG NGHỆ SỐ")</f>
        <v>HOÀN THIỆN PHÁP LUẬT VỀ THỪA KẾ NHẰM ĐẢM BẢO QUY ĐỊNH VỀ TÀI SẢN SỐ TRONG LUẬT CÔNG NGHIỆP CÔNG NGHỆ SỐ</v>
      </c>
      <c r="D26" s="4" t="str">
        <f>IFERROR(__xludf.DUMMYFUNCTION("""COMPUTED_VALUE"""),"Nguyễn Tấn Tài; Vũ Mạnh Tuấn; Lê Phạm Thảo Trúc")</f>
        <v>Nguyễn Tấn Tài; Vũ Mạnh Tuấn; Lê Phạm Thảo Trúc</v>
      </c>
      <c r="E26" s="4" t="str">
        <f>IFERROR(__xludf.DUMMYFUNCTION("""COMPUTED_VALUE"""),"Trường Đại Học Sài Gòn")</f>
        <v>Trường Đại Học Sài Gòn</v>
      </c>
      <c r="F26" s="4" t="str">
        <f>IFERROR(__xludf.DUMMYFUNCTION("""COMPUTED_VALUE"""),"HCPL2026-025.png")</f>
        <v>HCPL2026-025.png</v>
      </c>
    </row>
    <row r="27">
      <c r="A27" s="4" t="str">
        <f>IFERROR(__xludf.DUMMYFUNCTION("""COMPUTED_VALUE"""),"HCPL2026-026")</f>
        <v>HCPL2026-026</v>
      </c>
      <c r="B27" s="4" t="str">
        <f>IFERROR(__xludf.DUMMYFUNCTION("""COMPUTED_VALUE"""),"Hành chính pháp lý")</f>
        <v>Hành chính pháp lý</v>
      </c>
      <c r="C27" s="4" t="str">
        <f>IFERROR(__xludf.DUMMYFUNCTION("""COMPUTED_VALUE"""),"Pháp luật về sử dụng hình ảnh của người chưa thành niên trong hoạt động thương mại - Kinh nghiệm quốc tế và bài học cho Việt Nam")</f>
        <v>Pháp luật về sử dụng hình ảnh của người chưa thành niên trong hoạt động thương mại - Kinh nghiệm quốc tế và bài học cho Việt Nam</v>
      </c>
      <c r="D27" s="4" t="str">
        <f>IFERROR(__xludf.DUMMYFUNCTION("""COMPUTED_VALUE"""),"Chử Linh Trang; Lưu Hồng Hà; Phan Lê Na; Vũ Bảo Nhi")</f>
        <v>Chử Linh Trang; Lưu Hồng Hà; Phan Lê Na; Vũ Bảo Nhi</v>
      </c>
      <c r="E27" s="4" t="str">
        <f>IFERROR(__xludf.DUMMYFUNCTION("""COMPUTED_VALUE"""),"Trường Đai học Ngoại Thương")</f>
        <v>Trường Đai học Ngoại Thương</v>
      </c>
      <c r="F27" s="4" t="str">
        <f>IFERROR(__xludf.DUMMYFUNCTION("""COMPUTED_VALUE"""),"HCPL2026-026.png")</f>
        <v>HCPL2026-026.png</v>
      </c>
    </row>
    <row r="28">
      <c r="A28" s="4" t="str">
        <f>IFERROR(__xludf.DUMMYFUNCTION("""COMPUTED_VALUE"""),"HCPL2026-027")</f>
        <v>HCPL2026-027</v>
      </c>
      <c r="B28" s="4" t="str">
        <f>IFERROR(__xludf.DUMMYFUNCTION("""COMPUTED_VALUE"""),"Hành chính pháp lý")</f>
        <v>Hành chính pháp lý</v>
      </c>
      <c r="C28" s="4" t="str">
        <f>IFERROR(__xludf.DUMMYFUNCTION("""COMPUTED_VALUE"""),"Nghiên cứu bồi thường thệt hại đối với vợ/chồng trong trường hợp vi phạm nghĩa vụ thủy chung theo quy định của pháp luật")</f>
        <v>Nghiên cứu bồi thường thệt hại đối với vợ/chồng trong trường hợp vi phạm nghĩa vụ thủy chung theo quy định của pháp luật</v>
      </c>
      <c r="D28" s="4" t="str">
        <f>IFERROR(__xludf.DUMMYFUNCTION("""COMPUTED_VALUE"""),"Nguyễn Việt Hương; Quán Minh Ánh; Bế Thị Linh Đan; Hà Khánh Ngọc; Tạ Thị Thu Quỳnh")</f>
        <v>Nguyễn Việt Hương; Quán Minh Ánh; Bế Thị Linh Đan; Hà Khánh Ngọc; Tạ Thị Thu Quỳnh</v>
      </c>
      <c r="E28" s="4" t="str">
        <f>IFERROR(__xludf.DUMMYFUNCTION("""COMPUTED_VALUE"""),"Trường Đại học Tài nguyên và môi trường Hà Nội")</f>
        <v>Trường Đại học Tài nguyên và môi trường Hà Nội</v>
      </c>
      <c r="F28" s="4" t="str">
        <f>IFERROR(__xludf.DUMMYFUNCTION("""COMPUTED_VALUE"""),"HCPL2026-027.png")</f>
        <v>HCPL2026-027.png</v>
      </c>
    </row>
    <row r="29">
      <c r="A29" s="4" t="str">
        <f>IFERROR(__xludf.DUMMYFUNCTION("""COMPUTED_VALUE"""),"HCPL2026-028")</f>
        <v>HCPL2026-028</v>
      </c>
      <c r="B29" s="4" t="str">
        <f>IFERROR(__xludf.DUMMYFUNCTION("""COMPUTED_VALUE"""),"Hành chính pháp lý")</f>
        <v>Hành chính pháp lý</v>
      </c>
      <c r="C29" s="4" t="str">
        <f>IFERROR(__xludf.DUMMYFUNCTION("""COMPUTED_VALUE"""),"Bảo hộ bản quyền sáng tạo nội dung số tại Việt Nam - thực trạng và giải pháp hoàn thiện pháp luật")</f>
        <v>Bảo hộ bản quyền sáng tạo nội dung số tại Việt Nam - thực trạng và giải pháp hoàn thiện pháp luật</v>
      </c>
      <c r="D29" s="4" t="str">
        <f>IFERROR(__xludf.DUMMYFUNCTION("""COMPUTED_VALUE"""),"Nguyễn Thị Hồng Thủy; Nguyễn Ngọc Hà")</f>
        <v>Nguyễn Thị Hồng Thủy; Nguyễn Ngọc Hà</v>
      </c>
      <c r="E29" s="4" t="str">
        <f>IFERROR(__xludf.DUMMYFUNCTION("""COMPUTED_VALUE"""),"Trường Đại học Tài chính- Ngân hàng Hà Nội")</f>
        <v>Trường Đại học Tài chính- Ngân hàng Hà Nội</v>
      </c>
      <c r="F29" s="4" t="str">
        <f>IFERROR(__xludf.DUMMYFUNCTION("""COMPUTED_VALUE"""),"HCPL2026-028.png")</f>
        <v>HCPL2026-028.png</v>
      </c>
    </row>
    <row r="30">
      <c r="A30" s="4" t="str">
        <f>IFERROR(__xludf.DUMMYFUNCTION("""COMPUTED_VALUE"""),"HCPL2026-029")</f>
        <v>HCPL2026-029</v>
      </c>
      <c r="B30" s="4" t="str">
        <f>IFERROR(__xludf.DUMMYFUNCTION("""COMPUTED_VALUE"""),"Hành chính pháp lý")</f>
        <v>Hành chính pháp lý</v>
      </c>
      <c r="C30" s="4" t="str">
        <f>IFERROR(__xludf.DUMMYFUNCTION("""COMPUTED_VALUE"""),"Hoàn thiện pháp luật Việt Nam về giải quyết xung đột giữa chủ sở hữu và người thứ ba ngay tình")</f>
        <v>Hoàn thiện pháp luật Việt Nam về giải quyết xung đột giữa chủ sở hữu và người thứ ba ngay tình</v>
      </c>
      <c r="D30" s="4" t="str">
        <f>IFERROR(__xludf.DUMMYFUNCTION("""COMPUTED_VALUE"""),"Trần Công Đạt; Nguyễn Huy Hoàng; Cao Trà My; Nguyễn Tùng Chi")</f>
        <v>Trần Công Đạt; Nguyễn Huy Hoàng; Cao Trà My; Nguyễn Tùng Chi</v>
      </c>
      <c r="E30" s="4" t="str">
        <f>IFERROR(__xludf.DUMMYFUNCTION("""COMPUTED_VALUE"""),"Trường Đại học Luật, ĐHQGHN")</f>
        <v>Trường Đại học Luật, ĐHQGHN</v>
      </c>
      <c r="F30" s="4" t="str">
        <f>IFERROR(__xludf.DUMMYFUNCTION("""COMPUTED_VALUE"""),"HCPL2026-029.png")</f>
        <v>HCPL2026-029.png</v>
      </c>
    </row>
    <row r="31">
      <c r="A31" s="4" t="str">
        <f>IFERROR(__xludf.DUMMYFUNCTION("""COMPUTED_VALUE"""),"HCPL2026-030")</f>
        <v>HCPL2026-030</v>
      </c>
      <c r="B31" s="4" t="str">
        <f>IFERROR(__xludf.DUMMYFUNCTION("""COMPUTED_VALUE"""),"Hành chính pháp lý")</f>
        <v>Hành chính pháp lý</v>
      </c>
      <c r="C31" s="4" t="str">
        <f>IFERROR(__xludf.DUMMYFUNCTION("""COMPUTED_VALUE"""),"Hiệu lực của hợp đồng trong Metaverse theo pháp luật của Liên minh Châu Âu, Singapore, Hàn Quốc và bài học cho Việt Nam")</f>
        <v>Hiệu lực của hợp đồng trong Metaverse theo pháp luật của Liên minh Châu Âu, Singapore, Hàn Quốc và bài học cho Việt Nam</v>
      </c>
      <c r="D31" s="4" t="str">
        <f>IFERROR(__xludf.DUMMYFUNCTION("""COMPUTED_VALUE"""),"Đỗ Cao Diệu Hoa ; Lê Nguyễn Tường Vy")</f>
        <v>Đỗ Cao Diệu Hoa ; Lê Nguyễn Tường Vy</v>
      </c>
      <c r="E31" s="4" t="str">
        <f>IFERROR(__xludf.DUMMYFUNCTION("""COMPUTED_VALUE"""),"Trường Đại học Luật TPHCM")</f>
        <v>Trường Đại học Luật TPHCM</v>
      </c>
      <c r="F31" s="4" t="str">
        <f>IFERROR(__xludf.DUMMYFUNCTION("""COMPUTED_VALUE"""),"HCPL2026-030.png")</f>
        <v>HCPL2026-030.png</v>
      </c>
    </row>
    <row r="32">
      <c r="A32" s="4" t="str">
        <f>IFERROR(__xludf.DUMMYFUNCTION("""COMPUTED_VALUE"""),"HCPL2026-031")</f>
        <v>HCPL2026-031</v>
      </c>
      <c r="B32" s="4" t="str">
        <f>IFERROR(__xludf.DUMMYFUNCTION("""COMPUTED_VALUE"""),"Hành chính pháp lý")</f>
        <v>Hành chính pháp lý</v>
      </c>
      <c r="C32" s="4" t="str">
        <f>IFERROR(__xludf.DUMMYFUNCTION("""COMPUTED_VALUE"""),"Bảo hộ nhãn hiệu mùi hương: Kinh nghiệm của Liên minh Châu Âu (EU) và một số định hướng cho pháp luật Việt Nam")</f>
        <v>Bảo hộ nhãn hiệu mùi hương: Kinh nghiệm của Liên minh Châu Âu (EU) và một số định hướng cho pháp luật Việt Nam</v>
      </c>
      <c r="D32" s="4" t="str">
        <f>IFERROR(__xludf.DUMMYFUNCTION("""COMPUTED_VALUE"""),"Nguyễn Ngọc Ánh; Tạ Thu Hiền; Mai Phương Thuý; Lê Thị Thuỳ Linh; Bùi Huyền Trang")</f>
        <v>Nguyễn Ngọc Ánh; Tạ Thu Hiền; Mai Phương Thuý; Lê Thị Thuỳ Linh; Bùi Huyền Trang</v>
      </c>
      <c r="E32" s="4" t="str">
        <f>IFERROR(__xludf.DUMMYFUNCTION("""COMPUTED_VALUE"""),"Trường Đại học Luật, ĐHQGHN")</f>
        <v>Trường Đại học Luật, ĐHQGHN</v>
      </c>
      <c r="F32" s="4" t="str">
        <f>IFERROR(__xludf.DUMMYFUNCTION("""COMPUTED_VALUE"""),"HCPL2026-031.png")</f>
        <v>HCPL2026-031.png</v>
      </c>
    </row>
    <row r="33">
      <c r="A33" s="4" t="str">
        <f>IFERROR(__xludf.DUMMYFUNCTION("""COMPUTED_VALUE"""),"HCPL2026-032")</f>
        <v>HCPL2026-032</v>
      </c>
      <c r="B33" s="4" t="str">
        <f>IFERROR(__xludf.DUMMYFUNCTION("""COMPUTED_VALUE"""),"Hành chính pháp lý")</f>
        <v>Hành chính pháp lý</v>
      </c>
      <c r="C33" s="4" t="str">
        <f>IFERROR(__xludf.DUMMYFUNCTION("""COMPUTED_VALUE"""),"BỒI THƯỜNG THIỆT HẠI DO PHƯƠNG TIỆN BAY KHÔNG NGƯỜI LÁI GÂY RA THEO PHÁP LUẬT VIỆT NAM")</f>
        <v>BỒI THƯỜNG THIỆT HẠI DO PHƯƠNG TIỆN BAY KHÔNG NGƯỜI LÁI GÂY RA THEO PHÁP LUẬT VIỆT NAM</v>
      </c>
      <c r="D33" s="4" t="str">
        <f>IFERROR(__xludf.DUMMYFUNCTION("""COMPUTED_VALUE"""),"Nguyễn Hồng Ngọc; Huỳnh Thị Ngọc Phi Lin; Nguyễn Minh Ngọc; Đặng Tấn Nhân; Nguyễn Mai Diễm Quỳnh")</f>
        <v>Nguyễn Hồng Ngọc; Huỳnh Thị Ngọc Phi Lin; Nguyễn Minh Ngọc; Đặng Tấn Nhân; Nguyễn Mai Diễm Quỳnh</v>
      </c>
      <c r="E33" s="4" t="str">
        <f>IFERROR(__xludf.DUMMYFUNCTION("""COMPUTED_VALUE"""),"Trường Đại học Luật TPHCM")</f>
        <v>Trường Đại học Luật TPHCM</v>
      </c>
      <c r="F33" s="4" t="str">
        <f>IFERROR(__xludf.DUMMYFUNCTION("""COMPUTED_VALUE"""),"HCPL2026-032.png")</f>
        <v>HCPL2026-032.png</v>
      </c>
    </row>
    <row r="34">
      <c r="A34" s="4" t="str">
        <f>IFERROR(__xludf.DUMMYFUNCTION("""COMPUTED_VALUE"""),"HCPL2026-033")</f>
        <v>HCPL2026-033</v>
      </c>
      <c r="B34" s="4" t="str">
        <f>IFERROR(__xludf.DUMMYFUNCTION("""COMPUTED_VALUE"""),"Hành chính pháp lý")</f>
        <v>Hành chính pháp lý</v>
      </c>
      <c r="C34" s="4" t="str">
        <f>IFERROR(__xludf.DUMMYFUNCTION("""COMPUTED_VALUE"""),"Bản dạng số trong xã hội số - Nhận thức mới về đối tượng của quyền và định hướng lập pháp tại Việt Nam trong kỷ nguyên mới")</f>
        <v>Bản dạng số trong xã hội số - Nhận thức mới về đối tượng của quyền và định hướng lập pháp tại Việt Nam trong kỷ nguyên mới</v>
      </c>
      <c r="D34" s="4" t="str">
        <f>IFERROR(__xludf.DUMMYFUNCTION("""COMPUTED_VALUE"""),"Nguyễn Hiểu Linh; Nguyễn Vũ Hà Phương; Nguyễn Mạnh Khôi; Dương Tiểu Linh")</f>
        <v>Nguyễn Hiểu Linh; Nguyễn Vũ Hà Phương; Nguyễn Mạnh Khôi; Dương Tiểu Linh</v>
      </c>
      <c r="E34" s="4" t="str">
        <f>IFERROR(__xludf.DUMMYFUNCTION("""COMPUTED_VALUE"""),"Trường Đại học Quốc Gia Hà Nội")</f>
        <v>Trường Đại học Quốc Gia Hà Nội</v>
      </c>
      <c r="F34" s="4" t="str">
        <f>IFERROR(__xludf.DUMMYFUNCTION("""COMPUTED_VALUE"""),"HCPL2026-033.png")</f>
        <v>HCPL2026-033.png</v>
      </c>
    </row>
    <row r="35">
      <c r="A35" s="4" t="str">
        <f>IFERROR(__xludf.DUMMYFUNCTION("""COMPUTED_VALUE"""),"HCPL2026-034")</f>
        <v>HCPL2026-034</v>
      </c>
      <c r="B35" s="4" t="str">
        <f>IFERROR(__xludf.DUMMYFUNCTION("""COMPUTED_VALUE"""),"Hành chính pháp lý")</f>
        <v>Hành chính pháp lý</v>
      </c>
      <c r="C35" s="4" t="str">
        <f>IFERROR(__xludf.DUMMYFUNCTION("""COMPUTED_VALUE"""),"Bảo vệ quyền nhân thân của trẻ em được sinh ra bằng kỹ thuật hỗ trợ sinh sản - Cơ chế pháp lý của một số quốc gia và kinh nghiệm chi Việt Nam")</f>
        <v>Bảo vệ quyền nhân thân của trẻ em được sinh ra bằng kỹ thuật hỗ trợ sinh sản - Cơ chế pháp lý của một số quốc gia và kinh nghiệm chi Việt Nam</v>
      </c>
      <c r="D35" s="4" t="str">
        <f>IFERROR(__xludf.DUMMYFUNCTION("""COMPUTED_VALUE"""),"Trần Khôi Nguyên; Phan Lê Huy Minh; Đặng Thị Thuỳ Trang; Nguyễn Tú Uyên")</f>
        <v>Trần Khôi Nguyên; Phan Lê Huy Minh; Đặng Thị Thuỳ Trang; Nguyễn Tú Uyên</v>
      </c>
      <c r="E35" s="4" t="str">
        <f>IFERROR(__xludf.DUMMYFUNCTION("""COMPUTED_VALUE"""),"Trường Đại học Luật TPHCM")</f>
        <v>Trường Đại học Luật TPHCM</v>
      </c>
      <c r="F35" s="4" t="str">
        <f>IFERROR(__xludf.DUMMYFUNCTION("""COMPUTED_VALUE"""),"HCPL2026-034.png")</f>
        <v>HCPL2026-034.png</v>
      </c>
    </row>
    <row r="36">
      <c r="A36" s="4" t="str">
        <f>IFERROR(__xludf.DUMMYFUNCTION("""COMPUTED_VALUE"""),"HCPL2026-035")</f>
        <v>HCPL2026-035</v>
      </c>
      <c r="B36" s="4" t="str">
        <f>IFERROR(__xludf.DUMMYFUNCTION("""COMPUTED_VALUE"""),"Hành chính pháp lý")</f>
        <v>Hành chính pháp lý</v>
      </c>
      <c r="C36" s="4" t="str">
        <f>IFERROR(__xludf.DUMMYFUNCTION("""COMPUTED_VALUE"""),"Quyền của trẻ em sinh ra từ người mẹ đơn thân tự nguyện bằng phương pháp thụ tinh trong ống nghiệm tại Việt Nam")</f>
        <v>Quyền của trẻ em sinh ra từ người mẹ đơn thân tự nguyện bằng phương pháp thụ tinh trong ống nghiệm tại Việt Nam</v>
      </c>
      <c r="D36" s="4" t="str">
        <f>IFERROR(__xludf.DUMMYFUNCTION("""COMPUTED_VALUE"""),"Bùi Ngọc Hiếu; Vũ Thị Hương Giang; Vũ Quang Vinh")</f>
        <v>Bùi Ngọc Hiếu; Vũ Thị Hương Giang; Vũ Quang Vinh</v>
      </c>
      <c r="E36" s="4" t="str">
        <f>IFERROR(__xludf.DUMMYFUNCTION("""COMPUTED_VALUE"""),"Trường Đại học Luật, ĐHQGHN")</f>
        <v>Trường Đại học Luật, ĐHQGHN</v>
      </c>
      <c r="F36" s="4" t="str">
        <f>IFERROR(__xludf.DUMMYFUNCTION("""COMPUTED_VALUE"""),"HCPL2026-035.png")</f>
        <v>HCPL2026-035.png</v>
      </c>
    </row>
    <row r="37">
      <c r="A37" s="4" t="str">
        <f>IFERROR(__xludf.DUMMYFUNCTION("""COMPUTED_VALUE"""),"HCPL2026-036")</f>
        <v>HCPL2026-036</v>
      </c>
      <c r="B37" s="4" t="str">
        <f>IFERROR(__xludf.DUMMYFUNCTION("""COMPUTED_VALUE"""),"Hành chính pháp lý")</f>
        <v>Hành chính pháp lý</v>
      </c>
      <c r="C37" s="4" t="str">
        <f>IFERROR(__xludf.DUMMYFUNCTION("""COMPUTED_VALUE"""),"Kinh nghiệm quốc tế về bảo vệ quyền lợi nhà đầu tư trên thị trường giao dịch tài sản số và bài học cho Việt Nam")</f>
        <v>Kinh nghiệm quốc tế về bảo vệ quyền lợi nhà đầu tư trên thị trường giao dịch tài sản số và bài học cho Việt Nam</v>
      </c>
      <c r="D37" s="4" t="str">
        <f>IFERROR(__xludf.DUMMYFUNCTION("""COMPUTED_VALUE"""),"Bùi Đình Tuấn Mạnh; Lưu Ngọc Diệu Linh; Lương Thị Kim Chúc; Đinh Phương Anh")</f>
        <v>Bùi Đình Tuấn Mạnh; Lưu Ngọc Diệu Linh; Lương Thị Kim Chúc; Đinh Phương Anh</v>
      </c>
      <c r="E37" s="4" t="str">
        <f>IFERROR(__xludf.DUMMYFUNCTION("""COMPUTED_VALUE"""),"Học viện Ngân Hàng")</f>
        <v>Học viện Ngân Hàng</v>
      </c>
      <c r="F37" s="4" t="str">
        <f>IFERROR(__xludf.DUMMYFUNCTION("""COMPUTED_VALUE"""),"HCPL2026-036.png")</f>
        <v>HCPL2026-036.png</v>
      </c>
    </row>
    <row r="38">
      <c r="A38" s="4" t="str">
        <f>IFERROR(__xludf.DUMMYFUNCTION("""COMPUTED_VALUE"""),"HCPL2026-037")</f>
        <v>HCPL2026-037</v>
      </c>
      <c r="B38" s="4" t="str">
        <f>IFERROR(__xludf.DUMMYFUNCTION("""COMPUTED_VALUE"""),"Hành chính pháp lý")</f>
        <v>Hành chính pháp lý</v>
      </c>
      <c r="C38" s="4" t="str">
        <f>IFERROR(__xludf.DUMMYFUNCTION("""COMPUTED_VALUE"""),"Bảo đảm tính thống nhất giữa việc hướng dẫn áp dụng pháp luật của Tòa án nhân dân tối cao với Bộ luật Dân sự năm 2015")</f>
        <v>Bảo đảm tính thống nhất giữa việc hướng dẫn áp dụng pháp luật của Tòa án nhân dân tối cao với Bộ luật Dân sự năm 2015</v>
      </c>
      <c r="D38" s="4" t="str">
        <f>IFERROR(__xludf.DUMMYFUNCTION("""COMPUTED_VALUE"""),"Nguyễn Đặng Hải Linh; Đào Thị Thu Hằng; Lã Thị Ngọc Linh")</f>
        <v>Nguyễn Đặng Hải Linh; Đào Thị Thu Hằng; Lã Thị Ngọc Linh</v>
      </c>
      <c r="E38" s="4" t="str">
        <f>IFERROR(__xludf.DUMMYFUNCTION("""COMPUTED_VALUE"""),"Trường Đại học luật Hà Nội")</f>
        <v>Trường Đại học luật Hà Nội</v>
      </c>
      <c r="F38" s="4" t="str">
        <f>IFERROR(__xludf.DUMMYFUNCTION("""COMPUTED_VALUE"""),"HCPL2026-037.png")</f>
        <v>HCPL2026-037.png</v>
      </c>
    </row>
    <row r="39">
      <c r="A39" s="4" t="str">
        <f>IFERROR(__xludf.DUMMYFUNCTION("""COMPUTED_VALUE"""),"HCPL2026-038")</f>
        <v>HCPL2026-038</v>
      </c>
      <c r="B39" s="4" t="str">
        <f>IFERROR(__xludf.DUMMYFUNCTION("""COMPUTED_VALUE"""),"Hành chính pháp lý")</f>
        <v>Hành chính pháp lý</v>
      </c>
      <c r="C39" s="4" t="str">
        <f>IFERROR(__xludf.DUMMYFUNCTION("""COMPUTED_VALUE"""),"QUYỀN CỦA NẠN NHÂN BỊ MUA BÁN THEO QUY ĐỊNH PHÁP LUẬT VIỆT NAM")</f>
        <v>QUYỀN CỦA NẠN NHÂN BỊ MUA BÁN THEO QUY ĐỊNH PHÁP LUẬT VIỆT NAM</v>
      </c>
      <c r="D39" s="4" t="str">
        <f>IFERROR(__xludf.DUMMYFUNCTION("""COMPUTED_VALUE"""),"Tạ Hải Biên")</f>
        <v>Tạ Hải Biên</v>
      </c>
      <c r="E39" s="4" t="str">
        <f>IFERROR(__xludf.DUMMYFUNCTION("""COMPUTED_VALUE"""),"Trường Đại học Nguyễn Tất Thành")</f>
        <v>Trường Đại học Nguyễn Tất Thành</v>
      </c>
      <c r="F39" s="4" t="str">
        <f>IFERROR(__xludf.DUMMYFUNCTION("""COMPUTED_VALUE"""),"HCPL2026-038.png")</f>
        <v>HCPL2026-038.png</v>
      </c>
    </row>
    <row r="40">
      <c r="A40" s="4" t="str">
        <f>IFERROR(__xludf.DUMMYFUNCTION("""COMPUTED_VALUE"""),"HCPL2026-039")</f>
        <v>HCPL2026-039</v>
      </c>
      <c r="B40" s="4" t="str">
        <f>IFERROR(__xludf.DUMMYFUNCTION("""COMPUTED_VALUE"""),"Hành chính pháp lý")</f>
        <v>Hành chính pháp lý</v>
      </c>
      <c r="C40" s="4" t="str">
        <f>IFERROR(__xludf.DUMMYFUNCTION("""COMPUTED_VALUE"""),"Thực hiện pháp luật về thu hút nhân tài tại khu vực công trong bối cảnh tinh gọn bộ máy từ thực tiễn thành phố Hà Nội")</f>
        <v>Thực hiện pháp luật về thu hút nhân tài tại khu vực công trong bối cảnh tinh gọn bộ máy từ thực tiễn thành phố Hà Nội</v>
      </c>
      <c r="D40" s="4" t="str">
        <f>IFERROR(__xludf.DUMMYFUNCTION("""COMPUTED_VALUE"""),"Phan Minh Lam; Ngô Thị Hải Yến; Nguyễn Phương Thảo; Nguyễn Thị Hương Giang")</f>
        <v>Phan Minh Lam; Ngô Thị Hải Yến; Nguyễn Phương Thảo; Nguyễn Thị Hương Giang</v>
      </c>
      <c r="E40" s="4" t="str">
        <f>IFERROR(__xludf.DUMMYFUNCTION("""COMPUTED_VALUE"""),"Học viện Hành chính và Quản trị công")</f>
        <v>Học viện Hành chính và Quản trị công</v>
      </c>
      <c r="F40" s="4" t="str">
        <f>IFERROR(__xludf.DUMMYFUNCTION("""COMPUTED_VALUE"""),"HCPL2026-039.png")</f>
        <v>HCPL2026-039.png</v>
      </c>
    </row>
    <row r="41">
      <c r="A41" s="4" t="str">
        <f>IFERROR(__xludf.DUMMYFUNCTION("""COMPUTED_VALUE"""),"HCPL2026-040")</f>
        <v>HCPL2026-040</v>
      </c>
      <c r="B41" s="4" t="str">
        <f>IFERROR(__xludf.DUMMYFUNCTION("""COMPUTED_VALUE"""),"Hành chính pháp lý")</f>
        <v>Hành chính pháp lý</v>
      </c>
      <c r="C41" s="4" t="str">
        <f>IFERROR(__xludf.DUMMYFUNCTION("""COMPUTED_VALUE"""),"HOÀN THIỆN PHÁP LUẬT VỀ THUẾ THU NHẬP CÁ NHÂN TỪ TIỀN LƯƠNG, TIỀN CÔNG PHÙ HỢP VỚI KINH TẾ - XÃ HỘI VIỆT NAM")</f>
        <v>HOÀN THIỆN PHÁP LUẬT VỀ THUẾ THU NHẬP CÁ NHÂN TỪ TIỀN LƯƠNG, TIỀN CÔNG PHÙ HỢP VỚI KINH TẾ - XÃ HỘI VIỆT NAM</v>
      </c>
      <c r="D41" s="4" t="str">
        <f>IFERROR(__xludf.DUMMYFUNCTION("""COMPUTED_VALUE"""),"Châu Lê Thảo Vân; Trương Ngọc Yến Nhi")</f>
        <v>Châu Lê Thảo Vân; Trương Ngọc Yến Nhi</v>
      </c>
      <c r="E41" s="4" t="str">
        <f>IFERROR(__xludf.DUMMYFUNCTION("""COMPUTED_VALUE"""),"Trường Đại học Mở TP.HCM")</f>
        <v>Trường Đại học Mở TP.HCM</v>
      </c>
      <c r="F41" s="4" t="str">
        <f>IFERROR(__xludf.DUMMYFUNCTION("""COMPUTED_VALUE"""),"HCPL2026-040.png")</f>
        <v>HCPL2026-040.png</v>
      </c>
    </row>
    <row r="42">
      <c r="A42" s="4" t="str">
        <f>IFERROR(__xludf.DUMMYFUNCTION("""COMPUTED_VALUE"""),"HCPL2026-041")</f>
        <v>HCPL2026-041</v>
      </c>
      <c r="B42" s="4" t="str">
        <f>IFERROR(__xludf.DUMMYFUNCTION("""COMPUTED_VALUE"""),"Hành chính pháp lý")</f>
        <v>Hành chính pháp lý</v>
      </c>
      <c r="C42" s="4" t="str">
        <f>IFERROR(__xludf.DUMMYFUNCTION("""COMPUTED_VALUE"""),"Xác định tư cách tác giả đối với tác phẩm được tạo ra có sử dụng hệ thống trí tuệ nhân tạo")</f>
        <v>Xác định tư cách tác giả đối với tác phẩm được tạo ra có sử dụng hệ thống trí tuệ nhân tạo</v>
      </c>
      <c r="D42" s="4" t="str">
        <f>IFERROR(__xludf.DUMMYFUNCTION("""COMPUTED_VALUE"""),"Hoàng Thị Thiên Cơ; Phạm Nguyên Trang")</f>
        <v>Hoàng Thị Thiên Cơ; Phạm Nguyên Trang</v>
      </c>
      <c r="E42" s="4" t="str">
        <f>IFERROR(__xludf.DUMMYFUNCTION("""COMPUTED_VALUE"""),"Trường Đại học Mở TP.HCM")</f>
        <v>Trường Đại học Mở TP.HCM</v>
      </c>
      <c r="F42" s="4" t="str">
        <f>IFERROR(__xludf.DUMMYFUNCTION("""COMPUTED_VALUE"""),"HCPL2026-041.png")</f>
        <v>HCPL2026-041.png</v>
      </c>
    </row>
    <row r="43">
      <c r="A43" s="4" t="str">
        <f>IFERROR(__xludf.DUMMYFUNCTION("""COMPUTED_VALUE"""),"HCPL2026-042")</f>
        <v>HCPL2026-042</v>
      </c>
      <c r="B43" s="4" t="str">
        <f>IFERROR(__xludf.DUMMYFUNCTION("""COMPUTED_VALUE"""),"Hành chính pháp lý")</f>
        <v>Hành chính pháp lý</v>
      </c>
      <c r="C43" s="4" t="str">
        <f>IFERROR(__xludf.DUMMYFUNCTION("""COMPUTED_VALUE"""),"Giải quyết tranh chấp hoạt động thương mại có liên quan đến đất đai bằng phương thức Trọng tài Thương mại tại Việt Nam hiện nay")</f>
        <v>Giải quyết tranh chấp hoạt động thương mại có liên quan đến đất đai bằng phương thức Trọng tài Thương mại tại Việt Nam hiện nay</v>
      </c>
      <c r="D43" s="4" t="str">
        <f>IFERROR(__xludf.DUMMYFUNCTION("""COMPUTED_VALUE"""),"Nguyễn Thị Mỹ Kim; Võ Chí Tường")</f>
        <v>Nguyễn Thị Mỹ Kim; Võ Chí Tường</v>
      </c>
      <c r="E43" s="4" t="str">
        <f>IFERROR(__xludf.DUMMYFUNCTION("""COMPUTED_VALUE"""),"Trường Đại học Mở TP.HCM")</f>
        <v>Trường Đại học Mở TP.HCM</v>
      </c>
      <c r="F43" s="4" t="str">
        <f>IFERROR(__xludf.DUMMYFUNCTION("""COMPUTED_VALUE"""),"HCPL2026-042.png")</f>
        <v>HCPL2026-042.png</v>
      </c>
    </row>
    <row r="44">
      <c r="A44" s="4" t="str">
        <f>IFERROR(__xludf.DUMMYFUNCTION("""COMPUTED_VALUE"""),"HCPL2026-043")</f>
        <v>HCPL2026-043</v>
      </c>
      <c r="B44" s="4" t="str">
        <f>IFERROR(__xludf.DUMMYFUNCTION("""COMPUTED_VALUE"""),"Hành chính pháp lý")</f>
        <v>Hành chính pháp lý</v>
      </c>
      <c r="C44" s="4" t="str">
        <f>IFERROR(__xludf.DUMMYFUNCTION("""COMPUTED_VALUE"""),"QUYỀN ĐƯỢC SỐNG TRONG MÔI TRƯỜNG TRONG LÀNH TỪ VIỆC PHÁT TRIỂN GIAO THÔNG XANH TRÊN ĐỊA BÀN THÀNH PHỐ HÀ NỘI")</f>
        <v>QUYỀN ĐƯỢC SỐNG TRONG MÔI TRƯỜNG TRONG LÀNH TỪ VIỆC PHÁT TRIỂN GIAO THÔNG XANH TRÊN ĐỊA BÀN THÀNH PHỐ HÀ NỘI</v>
      </c>
      <c r="D44" s="4" t="str">
        <f>IFERROR(__xludf.DUMMYFUNCTION("""COMPUTED_VALUE"""),"Hồ Khánh Linh; Nguyễn Lê Trung; Đặng Gia Bảo; Hoàng Phương Linh; Nguyễn Minh Tuấn")</f>
        <v>Hồ Khánh Linh; Nguyễn Lê Trung; Đặng Gia Bảo; Hoàng Phương Linh; Nguyễn Minh Tuấn</v>
      </c>
      <c r="E44" s="4" t="str">
        <f>IFERROR(__xludf.DUMMYFUNCTION("""COMPUTED_VALUE"""),"Trường Đại học Kiểm sát")</f>
        <v>Trường Đại học Kiểm sát</v>
      </c>
      <c r="F44" s="4" t="str">
        <f>IFERROR(__xludf.DUMMYFUNCTION("""COMPUTED_VALUE"""),"HCPL2026-043.png")</f>
        <v>HCPL2026-043.png</v>
      </c>
    </row>
    <row r="45">
      <c r="A45" s="4" t="str">
        <f>IFERROR(__xludf.DUMMYFUNCTION("""COMPUTED_VALUE"""),"HCPL2026-044")</f>
        <v>HCPL2026-044</v>
      </c>
      <c r="B45" s="4" t="str">
        <f>IFERROR(__xludf.DUMMYFUNCTION("""COMPUTED_VALUE"""),"Hành chính pháp lý")</f>
        <v>Hành chính pháp lý</v>
      </c>
      <c r="C45" s="4" t="str">
        <f>IFERROR(__xludf.DUMMYFUNCTION("""COMPUTED_VALUE"""),"Pháp luật về phòng cháy, chữa cháy trong các cơ sở kinh doanh dịch vụ karaoke, dịch vụ vũ trường qua thực tiễn tại thành phố Huế")</f>
        <v>Pháp luật về phòng cháy, chữa cháy trong các cơ sở kinh doanh dịch vụ karaoke, dịch vụ vũ trường qua thực tiễn tại thành phố Huế</v>
      </c>
      <c r="D45" s="4" t="str">
        <f>IFERROR(__xludf.DUMMYFUNCTION("""COMPUTED_VALUE"""),"Đoàn Huyền Trang; Nguyễn Thị Hà Phương ; Trà Thị Thanh Huyền; Dương Thị Lam ; Bùi Thị Thu Trang")</f>
        <v>Đoàn Huyền Trang; Nguyễn Thị Hà Phương ; Trà Thị Thanh Huyền; Dương Thị Lam ; Bùi Thị Thu Trang</v>
      </c>
      <c r="E45" s="4" t="str">
        <f>IFERROR(__xludf.DUMMYFUNCTION("""COMPUTED_VALUE"""),"Trường Đại học Huế")</f>
        <v>Trường Đại học Huế</v>
      </c>
      <c r="F45" s="4" t="str">
        <f>IFERROR(__xludf.DUMMYFUNCTION("""COMPUTED_VALUE"""),"HCPL2026-044.png")</f>
        <v>HCPL2026-044.png</v>
      </c>
    </row>
    <row r="46">
      <c r="A46" s="4" t="str">
        <f>IFERROR(__xludf.DUMMYFUNCTION("""COMPUTED_VALUE"""),"HCPL2026-045")</f>
        <v>HCPL2026-045</v>
      </c>
      <c r="B46" s="4" t="str">
        <f>IFERROR(__xludf.DUMMYFUNCTION("""COMPUTED_VALUE"""),"Hành chính pháp lý")</f>
        <v>Hành chính pháp lý</v>
      </c>
      <c r="C46" s="4" t="str">
        <f>IFERROR(__xludf.DUMMYFUNCTION("""COMPUTED_VALUE"""),"Nghiên cứu đề xuất các giải pháp phổ biến, giáo dục pháp luật nhằm bảo vệ và phát huy di sản văn hóa Huế cho học sinh trung học phổ thông")</f>
        <v>Nghiên cứu đề xuất các giải pháp phổ biến, giáo dục pháp luật nhằm bảo vệ và phát huy di sản văn hóa Huế cho học sinh trung học phổ thông</v>
      </c>
      <c r="D46" s="4" t="str">
        <f>IFERROR(__xludf.DUMMYFUNCTION("""COMPUTED_VALUE"""),"TRẦN ĐÀM MINH THƯƠNG; TRẦN THANH TRÚC; UNG THỊ THUỲ TRÂM; VÕ CÔNG HOÀN; CAO NGỌC TÂM THƯ")</f>
        <v>TRẦN ĐÀM MINH THƯƠNG; TRẦN THANH TRÚC; UNG THỊ THUỲ TRÂM; VÕ CÔNG HOÀN; CAO NGỌC TÂM THƯ</v>
      </c>
      <c r="E46" s="4" t="str">
        <f>IFERROR(__xludf.DUMMYFUNCTION("""COMPUTED_VALUE"""),"Trường Đại học Huế")</f>
        <v>Trường Đại học Huế</v>
      </c>
      <c r="F46" s="4" t="str">
        <f>IFERROR(__xludf.DUMMYFUNCTION("""COMPUTED_VALUE"""),"HCPL2026-045.png")</f>
        <v>HCPL2026-045.png</v>
      </c>
    </row>
    <row r="47">
      <c r="A47" s="4" t="str">
        <f>IFERROR(__xludf.DUMMYFUNCTION("""COMPUTED_VALUE"""),"HCPL2026-046")</f>
        <v>HCPL2026-046</v>
      </c>
      <c r="B47" s="4" t="str">
        <f>IFERROR(__xludf.DUMMYFUNCTION("""COMPUTED_VALUE"""),"Hành chính pháp lý")</f>
        <v>Hành chính pháp lý</v>
      </c>
      <c r="C47" s="4" t="str">
        <f>IFERROR(__xludf.DUMMYFUNCTION("""COMPUTED_VALUE"""),"Nghiên cứu pháp luật Việt Nam về quản lý, khai thác và sử dụng thông tin, dữ liệu dự báo thời tiết")</f>
        <v>Nghiên cứu pháp luật Việt Nam về quản lý, khai thác và sử dụng thông tin, dữ liệu dự báo thời tiết</v>
      </c>
      <c r="D47" s="4" t="str">
        <f>IFERROR(__xludf.DUMMYFUNCTION("""COMPUTED_VALUE"""),"Phạm Ngọc Huy ; Trịnh Phú Đức; Tạ Thị Minh Thư")</f>
        <v>Phạm Ngọc Huy ; Trịnh Phú Đức; Tạ Thị Minh Thư</v>
      </c>
      <c r="E47" s="4" t="str">
        <f>IFERROR(__xludf.DUMMYFUNCTION("""COMPUTED_VALUE"""),"Trường Đại học Tài nguyên và môi trường Hà Nội")</f>
        <v>Trường Đại học Tài nguyên và môi trường Hà Nội</v>
      </c>
      <c r="F47" s="4" t="str">
        <f>IFERROR(__xludf.DUMMYFUNCTION("""COMPUTED_VALUE"""),"HCPL2026-046.png")</f>
        <v>HCPL2026-046.png</v>
      </c>
    </row>
    <row r="48">
      <c r="A48" s="4" t="str">
        <f>IFERROR(__xludf.DUMMYFUNCTION("""COMPUTED_VALUE"""),"HCPL2026-047")</f>
        <v>HCPL2026-047</v>
      </c>
      <c r="B48" s="4" t="str">
        <f>IFERROR(__xludf.DUMMYFUNCTION("""COMPUTED_VALUE"""),"Hành chính pháp lý")</f>
        <v>Hành chính pháp lý</v>
      </c>
      <c r="C48" s="4" t="str">
        <f>IFERROR(__xludf.DUMMYFUNCTION("""COMPUTED_VALUE"""),"QUYỀN RIÊNG TƯ CỦA TRẺ EM TRÊN KHÔNG GIAN MẠNG THEO PHÁP LUẬT VIỆT NAM VÀ MỘT SỐ KIẾN NGHỊ HOÀN THIỆN")</f>
        <v>QUYỀN RIÊNG TƯ CỦA TRẺ EM TRÊN KHÔNG GIAN MẠNG THEO PHÁP LUẬT VIỆT NAM VÀ MỘT SỐ KIẾN NGHỊ HOÀN THIỆN</v>
      </c>
      <c r="D48" s="4" t="str">
        <f>IFERROR(__xludf.DUMMYFUNCTION("""COMPUTED_VALUE"""),"Bùi Thị Thanh Thảo; Lê Nguyễn Minh Châu; Nguyễn Thị Quỳnh Anh; Hồ Gia Mẫn; Nguyễn Ngọc Uyên")</f>
        <v>Bùi Thị Thanh Thảo; Lê Nguyễn Minh Châu; Nguyễn Thị Quỳnh Anh; Hồ Gia Mẫn; Nguyễn Ngọc Uyên</v>
      </c>
      <c r="E48" s="4" t="str">
        <f>IFERROR(__xludf.DUMMYFUNCTION("""COMPUTED_VALUE"""),"Trường Đại học Luật TPHCM")</f>
        <v>Trường Đại học Luật TPHCM</v>
      </c>
      <c r="F48" s="4" t="str">
        <f>IFERROR(__xludf.DUMMYFUNCTION("""COMPUTED_VALUE"""),"HCPL2026-047.png")</f>
        <v>HCPL2026-047.png</v>
      </c>
    </row>
    <row r="49">
      <c r="A49" s="4" t="str">
        <f>IFERROR(__xludf.DUMMYFUNCTION("""COMPUTED_VALUE"""),"HCPL2026-048")</f>
        <v>HCPL2026-048</v>
      </c>
      <c r="B49" s="4" t="str">
        <f>IFERROR(__xludf.DUMMYFUNCTION("""COMPUTED_VALUE"""),"Hành chính pháp lý")</f>
        <v>Hành chính pháp lý</v>
      </c>
      <c r="C49" s="4" t="str">
        <f>IFERROR(__xludf.DUMMYFUNCTION("""COMPUTED_VALUE"""),"CHỨNG CỨ ĐIỆN TỬ TRONG TỐ TỤNG HÌNH SỰ Ở VIỆT NAM")</f>
        <v>CHỨNG CỨ ĐIỆN TỬ TRONG TỐ TỤNG HÌNH SỰ Ở VIỆT NAM</v>
      </c>
      <c r="D49" s="4" t="str">
        <f>IFERROR(__xludf.DUMMYFUNCTION("""COMPUTED_VALUE"""),"Trần Thị Hồng Diệp")</f>
        <v>Trần Thị Hồng Diệp</v>
      </c>
      <c r="E49" s="4" t="str">
        <f>IFERROR(__xludf.DUMMYFUNCTION("""COMPUTED_VALUE"""),"Trường Đại học Tôn Đức Thắng")</f>
        <v>Trường Đại học Tôn Đức Thắng</v>
      </c>
      <c r="F49" s="4" t="str">
        <f>IFERROR(__xludf.DUMMYFUNCTION("""COMPUTED_VALUE"""),"HCPL2026-048.png")</f>
        <v>HCPL2026-048.png</v>
      </c>
    </row>
    <row r="50">
      <c r="A50" s="4" t="str">
        <f>IFERROR(__xludf.DUMMYFUNCTION("""COMPUTED_VALUE"""),"HCPL2026-049")</f>
        <v>HCPL2026-049</v>
      </c>
      <c r="B50" s="4" t="str">
        <f>IFERROR(__xludf.DUMMYFUNCTION("""COMPUTED_VALUE"""),"Hành chính pháp lý")</f>
        <v>Hành chính pháp lý</v>
      </c>
      <c r="C50" s="4" t="str">
        <f>IFERROR(__xludf.DUMMYFUNCTION("""COMPUTED_VALUE"""),"PHÁP LUẬT VỀ XỬ LÝ HÀNH VI PHÁT TÁN NỘI DUNG TỔNG HỢP GIẢ MẠO KHIÊU DÂM BẰNG TRÍ TUỆ NHÂN TẠO TẠI VIỆT NAM")</f>
        <v>PHÁP LUẬT VỀ XỬ LÝ HÀNH VI PHÁT TÁN NỘI DUNG TỔNG HỢP GIẢ MẠO KHIÊU DÂM BẰNG TRÍ TUỆ NHÂN TẠO TẠI VIỆT NAM</v>
      </c>
      <c r="D50" s="4" t="str">
        <f>IFERROR(__xludf.DUMMYFUNCTION("""COMPUTED_VALUE"""),"Vũ Nguyễn Anh Thư; Lê Minh Trang; Đặng Thị Hà Phương")</f>
        <v>Vũ Nguyễn Anh Thư; Lê Minh Trang; Đặng Thị Hà Phương</v>
      </c>
      <c r="E50" s="4" t="str">
        <f>IFERROR(__xludf.DUMMYFUNCTION("""COMPUTED_VALUE"""),"Học viện Thanh Thiếu niên Việt Nam")</f>
        <v>Học viện Thanh Thiếu niên Việt Nam</v>
      </c>
      <c r="F50" s="4" t="str">
        <f>IFERROR(__xludf.DUMMYFUNCTION("""COMPUTED_VALUE"""),"HCPL2026-049.png")</f>
        <v>HCPL2026-049.png</v>
      </c>
    </row>
    <row r="51">
      <c r="A51" s="4" t="str">
        <f>IFERROR(__xludf.DUMMYFUNCTION("""COMPUTED_VALUE"""),"HCPL2026-050")</f>
        <v>HCPL2026-050</v>
      </c>
      <c r="B51" s="4" t="str">
        <f>IFERROR(__xludf.DUMMYFUNCTION("""COMPUTED_VALUE"""),"Hành chính pháp lý")</f>
        <v>Hành chính pháp lý</v>
      </c>
      <c r="C51" s="4" t="str">
        <f>IFERROR(__xludf.DUMMYFUNCTION("""COMPUTED_VALUE"""),"Thực hiện pháp luật về phòng, chống ma túy tại địa bàn Thành phố Hồ Chí Minh")</f>
        <v>Thực hiện pháp luật về phòng, chống ma túy tại địa bàn Thành phố Hồ Chí Minh</v>
      </c>
      <c r="D51" s="4" t="str">
        <f>IFERROR(__xludf.DUMMYFUNCTION("""COMPUTED_VALUE"""),"Nguyễn Phương Uyên; Nguyễn Hoàng Mỹ Tâm; Phạm Minh Nguyên; Lò Huyền Thương; Nguyễn Văn Đạt")</f>
        <v>Nguyễn Phương Uyên; Nguyễn Hoàng Mỹ Tâm; Phạm Minh Nguyên; Lò Huyền Thương; Nguyễn Văn Đạt</v>
      </c>
      <c r="E51" s="4" t="str">
        <f>IFERROR(__xludf.DUMMYFUNCTION("""COMPUTED_VALUE"""),"Học viện Hành chính và Quản trị công")</f>
        <v>Học viện Hành chính và Quản trị công</v>
      </c>
      <c r="F51" s="4" t="str">
        <f>IFERROR(__xludf.DUMMYFUNCTION("""COMPUTED_VALUE"""),"HCPL2026-050.png")</f>
        <v>HCPL2026-050.png</v>
      </c>
    </row>
    <row r="52">
      <c r="A52" s="4" t="str">
        <f>IFERROR(__xludf.DUMMYFUNCTION("""COMPUTED_VALUE"""),"HCPL2026-051")</f>
        <v>HCPL2026-051</v>
      </c>
      <c r="B52" s="4" t="str">
        <f>IFERROR(__xludf.DUMMYFUNCTION("""COMPUTED_VALUE"""),"Hành chính pháp lý")</f>
        <v>Hành chính pháp lý</v>
      </c>
      <c r="C52" s="4" t="str">
        <f>IFERROR(__xludf.DUMMYFUNCTION("""COMPUTED_VALUE"""),"HOÀN THIỆN CÁC QUY ĐỊNH CỦA LUẬT HÌNH SỰ VIỆT NAM VỀ CÁC TỘI PHẠM TRONG LĨNH VỰC CÔNG NGHỆ THÔNG TIN, MẠNG VIỄN THÔNG ĐÁP ỨNG YÊU CẦU NỘI LUẬT HÓA CÔNG ƯỚC HÀ NỘI")</f>
        <v>HOÀN THIỆN CÁC QUY ĐỊNH CỦA LUẬT HÌNH SỰ VIỆT NAM VỀ CÁC TỘI PHẠM TRONG LĨNH VỰC CÔNG NGHỆ THÔNG TIN, MẠNG VIỄN THÔNG ĐÁP ỨNG YÊU CẦU NỘI LUẬT HÓA CÔNG ƯỚC HÀ NỘI</v>
      </c>
      <c r="D52" s="4" t="str">
        <f>IFERROR(__xludf.DUMMYFUNCTION("""COMPUTED_VALUE"""),"Ngô Anh Quân; Nguyễn Văn Hiền; Kiều Thu Chang; Tống Thanh Huyền")</f>
        <v>Ngô Anh Quân; Nguyễn Văn Hiền; Kiều Thu Chang; Tống Thanh Huyền</v>
      </c>
      <c r="E52" s="4" t="str">
        <f>IFERROR(__xludf.DUMMYFUNCTION("""COMPUTED_VALUE"""),"Trường Đại học Luật Hà Nội")</f>
        <v>Trường Đại học Luật Hà Nội</v>
      </c>
      <c r="F52" s="4" t="str">
        <f>IFERROR(__xludf.DUMMYFUNCTION("""COMPUTED_VALUE"""),"HCPL2026-051.png")</f>
        <v>HCPL2026-051.png</v>
      </c>
    </row>
    <row r="53">
      <c r="A53" s="4" t="str">
        <f>IFERROR(__xludf.DUMMYFUNCTION("""COMPUTED_VALUE"""),"HCPL2026-052")</f>
        <v>HCPL2026-052</v>
      </c>
      <c r="B53" s="4" t="str">
        <f>IFERROR(__xludf.DUMMYFUNCTION("""COMPUTED_VALUE"""),"Hành chính pháp lý")</f>
        <v>Hành chính pháp lý</v>
      </c>
      <c r="C53" s="4" t="str">
        <f>IFERROR(__xludf.DUMMYFUNCTION("""COMPUTED_VALUE"""),"Một số định hướng hoàn thiện mô hình tư pháp người chưa thành niên Việt Nam theo tiêu chuẩn quốc tế")</f>
        <v>Một số định hướng hoàn thiện mô hình tư pháp người chưa thành niên Việt Nam theo tiêu chuẩn quốc tế</v>
      </c>
      <c r="D53" s="4" t="str">
        <f>IFERROR(__xludf.DUMMYFUNCTION("""COMPUTED_VALUE"""),"Đào Quốc Phi; Nguyễn Huỳnh Vân Phi; Bùi Võ Thanh Trịnh")</f>
        <v>Đào Quốc Phi; Nguyễn Huỳnh Vân Phi; Bùi Võ Thanh Trịnh</v>
      </c>
      <c r="E53" s="4" t="str">
        <f>IFERROR(__xludf.DUMMYFUNCTION("""COMPUTED_VALUE"""),"Trường Đại học Nguyễn Tất Thành")</f>
        <v>Trường Đại học Nguyễn Tất Thành</v>
      </c>
      <c r="F53" s="4" t="str">
        <f>IFERROR(__xludf.DUMMYFUNCTION("""COMPUTED_VALUE"""),"HCPL2026-052.png")</f>
        <v>HCPL2026-052.png</v>
      </c>
    </row>
    <row r="54">
      <c r="A54" s="4" t="str">
        <f>IFERROR(__xludf.DUMMYFUNCTION("""COMPUTED_VALUE"""),"HCPL2026-053")</f>
        <v>HCPL2026-053</v>
      </c>
      <c r="B54" s="4" t="str">
        <f>IFERROR(__xludf.DUMMYFUNCTION("""COMPUTED_VALUE"""),"Hành chính pháp lý")</f>
        <v>Hành chính pháp lý</v>
      </c>
      <c r="C54" s="4" t="str">
        <f>IFERROR(__xludf.DUMMYFUNCTION("""COMPUTED_VALUE"""),"PHÁP LUẬT VỀ PHÒNG CHỐNG HÀNH VI MUA BÁN DỮ LIỆU TRÁI PHÉP XUYÊN BIÊN GIỚI TRONG BỐI CẢNH PHÁT TRIỂN NỀN KINH TẾ DỮ LIỆU: KINH NGHIỆM QUỐC TẾ VÀ BÀI HỌC CHO VIỆT NAM")</f>
        <v>PHÁP LUẬT VỀ PHÒNG CHỐNG HÀNH VI MUA BÁN DỮ LIỆU TRÁI PHÉP XUYÊN BIÊN GIỚI TRONG BỐI CẢNH PHÁT TRIỂN NỀN KINH TẾ DỮ LIỆU: KINH NGHIỆM QUỐC TẾ VÀ BÀI HỌC CHO VIỆT NAM</v>
      </c>
      <c r="D54" s="4" t="str">
        <f>IFERROR(__xludf.DUMMYFUNCTION("""COMPUTED_VALUE"""),"Hồ Ngọc Phương; Võ Thị Anh Thư; Liao Tingrong/ 廖庭蓉; Hou Wenxin/ 侯文欣; Qiu Yu Zhi/ 邱钰芝")</f>
        <v>Hồ Ngọc Phương; Võ Thị Anh Thư; Liao Tingrong/ 廖庭蓉; Hou Wenxin/ 侯文欣; Qiu Yu Zhi/ 邱钰芝</v>
      </c>
      <c r="E54" s="4" t="str">
        <f>IFERROR(__xludf.DUMMYFUNCTION("""COMPUTED_VALUE"""),"Trường Đại học Kinh tế- Tài chính TPHCM")</f>
        <v>Trường Đại học Kinh tế- Tài chính TPHCM</v>
      </c>
      <c r="F54" s="4" t="str">
        <f>IFERROR(__xludf.DUMMYFUNCTION("""COMPUTED_VALUE"""),"HCPL2026-053.png")</f>
        <v>HCPL2026-053.png</v>
      </c>
    </row>
    <row r="55">
      <c r="A55" s="4" t="str">
        <f>IFERROR(__xludf.DUMMYFUNCTION("""COMPUTED_VALUE"""),"HCPL2026-054")</f>
        <v>HCPL2026-054</v>
      </c>
      <c r="B55" s="4" t="str">
        <f>IFERROR(__xludf.DUMMYFUNCTION("""COMPUTED_VALUE"""),"Hành chính pháp lý")</f>
        <v>Hành chính pháp lý</v>
      </c>
      <c r="C55" s="4" t="str">
        <f>IFERROR(__xludf.DUMMYFUNCTION("""COMPUTED_VALUE"""),"Pháp luật một số quốc gia về biện pháp giám sát điện tử trong thi hành án hình sự và kinh nghiệm cho việt nam")</f>
        <v>Pháp luật một số quốc gia về biện pháp giám sát điện tử trong thi hành án hình sự và kinh nghiệm cho việt nam</v>
      </c>
      <c r="D55" s="4" t="str">
        <f>IFERROR(__xludf.DUMMYFUNCTION("""COMPUTED_VALUE"""),"HOÀNG THỊ THANH HUYỀN; NGUYỄN NGỌC HUYỀN; NGUYỄN ĐẮC QUANG")</f>
        <v>HOÀNG THỊ THANH HUYỀN; NGUYỄN NGỌC HUYỀN; NGUYỄN ĐẮC QUANG</v>
      </c>
      <c r="E55" s="4" t="str">
        <f>IFERROR(__xludf.DUMMYFUNCTION("""COMPUTED_VALUE"""),"Trường Đại học Kiểm sát")</f>
        <v>Trường Đại học Kiểm sát</v>
      </c>
      <c r="F55" s="4" t="str">
        <f>IFERROR(__xludf.DUMMYFUNCTION("""COMPUTED_VALUE"""),"HCPL2026-054.png")</f>
        <v>HCPL2026-054.png</v>
      </c>
    </row>
    <row r="56">
      <c r="A56" s="4" t="str">
        <f>IFERROR(__xludf.DUMMYFUNCTION("""COMPUTED_VALUE"""),"HCPL2026-055")</f>
        <v>HCPL2026-055</v>
      </c>
      <c r="B56" s="4" t="str">
        <f>IFERROR(__xludf.DUMMYFUNCTION("""COMPUTED_VALUE"""),"Hành chính pháp lý")</f>
        <v>Hành chính pháp lý</v>
      </c>
      <c r="C56" s="4" t="str">
        <f>IFERROR(__xludf.DUMMYFUNCTION("""COMPUTED_VALUE"""),"Tội mua bán người trong pháp luật một số quốc gia và kinh nghiệm cho Việt Nam")</f>
        <v>Tội mua bán người trong pháp luật một số quốc gia và kinh nghiệm cho Việt Nam</v>
      </c>
      <c r="D56" s="4" t="str">
        <f>IFERROR(__xludf.DUMMYFUNCTION("""COMPUTED_VALUE"""),"Lê Phương Thu; Vũ Thị Thùy Ly; Đoàn Nguyễn Bảo Ngọc; Lê Lương Minh")</f>
        <v>Lê Phương Thu; Vũ Thị Thùy Ly; Đoàn Nguyễn Bảo Ngọc; Lê Lương Minh</v>
      </c>
      <c r="E56" s="4" t="str">
        <f>IFERROR(__xludf.DUMMYFUNCTION("""COMPUTED_VALUE"""),"Trường Đại học Kiểm sát")</f>
        <v>Trường Đại học Kiểm sát</v>
      </c>
      <c r="F56" s="4" t="str">
        <f>IFERROR(__xludf.DUMMYFUNCTION("""COMPUTED_VALUE"""),"HCPL2026-055.png")</f>
        <v>HCPL2026-055.png</v>
      </c>
    </row>
    <row r="57">
      <c r="A57" s="4" t="str">
        <f>IFERROR(__xludf.DUMMYFUNCTION("""COMPUTED_VALUE"""),"HCPL2026-056")</f>
        <v>HCPL2026-056</v>
      </c>
      <c r="B57" s="4" t="str">
        <f>IFERROR(__xludf.DUMMYFUNCTION("""COMPUTED_VALUE"""),"Hành chính pháp lý")</f>
        <v>Hành chính pháp lý</v>
      </c>
      <c r="C57" s="4" t="str">
        <f>IFERROR(__xludf.DUMMYFUNCTION("""COMPUTED_VALUE"""),"Tài sản mã hoá và tịch thu tài sản mã hoá có liên quan đến tội phạm trong bối cảnh chuyển đổi số ở Việt Nam hiện nay – Những vấn đề pháp lý đặt ra và kiến nghị hoàn thiện pháp luật")</f>
        <v>Tài sản mã hoá và tịch thu tài sản mã hoá có liên quan đến tội phạm trong bối cảnh chuyển đổi số ở Việt Nam hiện nay – Những vấn đề pháp lý đặt ra và kiến nghị hoàn thiện pháp luật</v>
      </c>
      <c r="D57" s="4" t="str">
        <f>IFERROR(__xludf.DUMMYFUNCTION("""COMPUTED_VALUE"""),"Hoàng Minh Nguyệt; Tạ Lê Thục Hiền ; Trần Lam Trường ; Đào Duy Minh ; Nguyễn Văn Quân")</f>
        <v>Hoàng Minh Nguyệt; Tạ Lê Thục Hiền ; Trần Lam Trường ; Đào Duy Minh ; Nguyễn Văn Quân</v>
      </c>
      <c r="E57" s="4" t="str">
        <f>IFERROR(__xludf.DUMMYFUNCTION("""COMPUTED_VALUE"""),"Học viện Toà án")</f>
        <v>Học viện Toà án</v>
      </c>
      <c r="F57" s="4" t="str">
        <f>IFERROR(__xludf.DUMMYFUNCTION("""COMPUTED_VALUE"""),"HCPL2026-056.png")</f>
        <v>HCPL2026-056.png</v>
      </c>
    </row>
    <row r="58">
      <c r="A58" s="4" t="str">
        <f>IFERROR(__xludf.DUMMYFUNCTION("""COMPUTED_VALUE"""),"HCPL2026-057")</f>
        <v>HCPL2026-057</v>
      </c>
      <c r="B58" s="4" t="str">
        <f>IFERROR(__xludf.DUMMYFUNCTION("""COMPUTED_VALUE"""),"Hành chính pháp lý")</f>
        <v>Hành chính pháp lý</v>
      </c>
      <c r="C58" s="4" t="str">
        <f>IFERROR(__xludf.DUMMYFUNCTION("""COMPUTED_VALUE"""),"Quyền miễn trừ trách nhiệm của nạn nhân mua bán người khi thực hiện hành vi vi phạm trong quá trình bị mua bán")</f>
        <v>Quyền miễn trừ trách nhiệm của nạn nhân mua bán người khi thực hiện hành vi vi phạm trong quá trình bị mua bán</v>
      </c>
      <c r="D58" s="4" t="str">
        <f>IFERROR(__xludf.DUMMYFUNCTION("""COMPUTED_VALUE"""),"Trịnh Bình Minh; Bùi Quốc Thắng; Vi Thái Nhật Hoàng; Trần Hoàng Phúc; Nguyễn Thị Trâm Anh")</f>
        <v>Trịnh Bình Minh; Bùi Quốc Thắng; Vi Thái Nhật Hoàng; Trần Hoàng Phúc; Nguyễn Thị Trâm Anh</v>
      </c>
      <c r="E58" s="4" t="str">
        <f>IFERROR(__xludf.DUMMYFUNCTION("""COMPUTED_VALUE"""),"Học viện Toà án")</f>
        <v>Học viện Toà án</v>
      </c>
      <c r="F58" s="4" t="str">
        <f>IFERROR(__xludf.DUMMYFUNCTION("""COMPUTED_VALUE"""),"HCPL2026-057.png")</f>
        <v>HCPL2026-057.png</v>
      </c>
    </row>
    <row r="59">
      <c r="A59" s="4" t="str">
        <f>IFERROR(__xludf.DUMMYFUNCTION("""COMPUTED_VALUE"""),"HCPL2026-058")</f>
        <v>HCPL2026-058</v>
      </c>
      <c r="B59" s="4" t="str">
        <f>IFERROR(__xludf.DUMMYFUNCTION("""COMPUTED_VALUE"""),"Hành chính pháp lý")</f>
        <v>Hành chính pháp lý</v>
      </c>
      <c r="C59" s="4" t="str">
        <f>IFERROR(__xludf.DUMMYFUNCTION("""COMPUTED_VALUE"""),"THÚC ĐẨY TỐ GIÁC TỘI PHẠM TẠI VIỆT NAM DỰA TRÊN LÝ THUYẾT ĐỘNG CƠ BẢO VỆ (PMT): HOÀN THIỆN PHÁP LUẬT THÔNG QUA BẰNG CHỨNG THỰC NGHIỆM VÀ KINH NGHIỆM QUỐC TẾ")</f>
        <v>THÚC ĐẨY TỐ GIÁC TỘI PHẠM TẠI VIỆT NAM DỰA TRÊN LÝ THUYẾT ĐỘNG CƠ BẢO VỆ (PMT): HOÀN THIỆN PHÁP LUẬT THÔNG QUA BẰNG CHỨNG THỰC NGHIỆM VÀ KINH NGHIỆM QUỐC TẾ</v>
      </c>
      <c r="D59" s="4" t="str">
        <f>IFERROR(__xludf.DUMMYFUNCTION("""COMPUTED_VALUE"""),"Nguyễn Hoàng Thảo Anh; Phạm Hồng Hiển; Bành Đức Gia Khánh")</f>
        <v>Nguyễn Hoàng Thảo Anh; Phạm Hồng Hiển; Bành Đức Gia Khánh</v>
      </c>
      <c r="E59" s="4" t="str">
        <f>IFERROR(__xludf.DUMMYFUNCTION("""COMPUTED_VALUE"""),"Đại học Kinh tế TPHCM")</f>
        <v>Đại học Kinh tế TPHCM</v>
      </c>
      <c r="F59" s="4" t="str">
        <f>IFERROR(__xludf.DUMMYFUNCTION("""COMPUTED_VALUE"""),"HCPL2026-058.png")</f>
        <v>HCPL2026-058.png</v>
      </c>
    </row>
    <row r="60">
      <c r="A60" s="4" t="str">
        <f>IFERROR(__xludf.DUMMYFUNCTION("""COMPUTED_VALUE"""),"HCPL2026-059")</f>
        <v>HCPL2026-059</v>
      </c>
      <c r="B60" s="4" t="str">
        <f>IFERROR(__xludf.DUMMYFUNCTION("""COMPUTED_VALUE"""),"Hành chính pháp lý")</f>
        <v>Hành chính pháp lý</v>
      </c>
      <c r="C60" s="4" t="str">
        <f>IFERROR(__xludf.DUMMYFUNCTION("""COMPUTED_VALUE"""),"Tội sản xuất, buôn bán hàng giả theo quy định của Bộ luật hình sự Việt Nam tại Thành phố Hồ Chí Minh")</f>
        <v>Tội sản xuất, buôn bán hàng giả theo quy định của Bộ luật hình sự Việt Nam tại Thành phố Hồ Chí Minh</v>
      </c>
      <c r="D60" s="4" t="str">
        <f>IFERROR(__xludf.DUMMYFUNCTION("""COMPUTED_VALUE"""),"Cao Hạnh Nhi; Nguyễn Đức Kiên; Nguyễn Thiên Thư")</f>
        <v>Cao Hạnh Nhi; Nguyễn Đức Kiên; Nguyễn Thiên Thư</v>
      </c>
      <c r="E60" s="4" t="str">
        <f>IFERROR(__xludf.DUMMYFUNCTION("""COMPUTED_VALUE"""),"Trường Đại học Công thương TPHCM")</f>
        <v>Trường Đại học Công thương TPHCM</v>
      </c>
      <c r="F60" s="4" t="str">
        <f>IFERROR(__xludf.DUMMYFUNCTION("""COMPUTED_VALUE"""),"HCPL2026-059.png")</f>
        <v>HCPL2026-059.png</v>
      </c>
    </row>
    <row r="61">
      <c r="A61" s="4" t="str">
        <f>IFERROR(__xludf.DUMMYFUNCTION("""COMPUTED_VALUE"""),"HCPL2026-060")</f>
        <v>HCPL2026-060</v>
      </c>
      <c r="B61" s="4" t="str">
        <f>IFERROR(__xludf.DUMMYFUNCTION("""COMPUTED_VALUE"""),"Hành chính pháp lý")</f>
        <v>Hành chính pháp lý</v>
      </c>
      <c r="C61" s="4" t="str">
        <f>IFERROR(__xludf.DUMMYFUNCTION("""COMPUTED_VALUE"""),"Bảo vệ trẻ em trước những hành vi sản xuất, sở hữu, phân phối CSAM - Pháp luật một số quốc gia trên thế giới và kinh nghiệm cho Việt Nam")</f>
        <v>Bảo vệ trẻ em trước những hành vi sản xuất, sở hữu, phân phối CSAM - Pháp luật một số quốc gia trên thế giới và kinh nghiệm cho Việt Nam</v>
      </c>
      <c r="D61" s="4" t="str">
        <f>IFERROR(__xludf.DUMMYFUNCTION("""COMPUTED_VALUE"""),"Nguyễn Ngọc Linh; Võ Hà Chi; Nguyễn Diệu Hương")</f>
        <v>Nguyễn Ngọc Linh; Võ Hà Chi; Nguyễn Diệu Hương</v>
      </c>
      <c r="E61" s="4" t="str">
        <f>IFERROR(__xludf.DUMMYFUNCTION("""COMPUTED_VALUE"""),"Trường Đại học Luật Hà Nội")</f>
        <v>Trường Đại học Luật Hà Nội</v>
      </c>
      <c r="F61" s="4" t="str">
        <f>IFERROR(__xludf.DUMMYFUNCTION("""COMPUTED_VALUE"""),"HCPL2026-060.png")</f>
        <v>HCPL2026-060.png</v>
      </c>
    </row>
    <row r="62">
      <c r="A62" s="4" t="str">
        <f>IFERROR(__xludf.DUMMYFUNCTION("""COMPUTED_VALUE"""),"HCPL2026-061")</f>
        <v>HCPL2026-061</v>
      </c>
      <c r="B62" s="4" t="str">
        <f>IFERROR(__xludf.DUMMYFUNCTION("""COMPUTED_VALUE"""),"Hành chính pháp lý")</f>
        <v>Hành chính pháp lý</v>
      </c>
      <c r="C62" s="4" t="str">
        <f>IFERROR(__xludf.DUMMYFUNCTION("""COMPUTED_VALUE"""),"Thỏa thuận nhận tội trong pháp luật một số quốc gia và kinh nghiệm cho Việt Nam")</f>
        <v>Thỏa thuận nhận tội trong pháp luật một số quốc gia và kinh nghiệm cho Việt Nam</v>
      </c>
      <c r="D62" s="4" t="str">
        <f>IFERROR(__xludf.DUMMYFUNCTION("""COMPUTED_VALUE"""),"Đinh Tú Bình, Trương Đỗ Thiên Anh; Lại Hoàng Hải; Lê Hải Lâm; Phạm Thị Kim Luyến")</f>
        <v>Đinh Tú Bình, Trương Đỗ Thiên Anh; Lại Hoàng Hải; Lê Hải Lâm; Phạm Thị Kim Luyến</v>
      </c>
      <c r="E62" s="4" t="str">
        <f>IFERROR(__xludf.DUMMYFUNCTION("""COMPUTED_VALUE"""),"Trường Đại học Kiểm sát")</f>
        <v>Trường Đại học Kiểm sát</v>
      </c>
      <c r="F62" s="4" t="str">
        <f>IFERROR(__xludf.DUMMYFUNCTION("""COMPUTED_VALUE"""),"HCPL2026-061.png")</f>
        <v>HCPL2026-061.png</v>
      </c>
    </row>
    <row r="63">
      <c r="A63" s="4" t="str">
        <f>IFERROR(__xludf.DUMMYFUNCTION("""COMPUTED_VALUE"""),"HCPL2026-062")</f>
        <v>HCPL2026-062</v>
      </c>
      <c r="B63" s="4" t="str">
        <f>IFERROR(__xludf.DUMMYFUNCTION("""COMPUTED_VALUE"""),"Hành chính pháp lý")</f>
        <v>Hành chính pháp lý</v>
      </c>
      <c r="C63" s="4" t="str">
        <f>IFERROR(__xludf.DUMMYFUNCTION("""COMPUTED_VALUE"""),"XÓA ÁN TÍCH TRONG XÃ HỘI SỐ: BẢO ĐẢM TÁI HÒA NHẬP CỘNG ĐỒNG CỦA NGƯỜI CHẤP HÀNH XONG ÁN PHẠT TÙ TẠI VIỆT NAM")</f>
        <v>XÓA ÁN TÍCH TRONG XÃ HỘI SỐ: BẢO ĐẢM TÁI HÒA NHẬP CỘNG ĐỒNG CỦA NGƯỜI CHẤP HÀNH XONG ÁN PHẠT TÙ TẠI VIỆT NAM</v>
      </c>
      <c r="D63" s="4" t="str">
        <f>IFERROR(__xludf.DUMMYFUNCTION("""COMPUTED_VALUE"""),"Đỗ Thái Như ; Phạm Trần Trung Kiên")</f>
        <v>Đỗ Thái Như ; Phạm Trần Trung Kiên</v>
      </c>
      <c r="E63" s="4" t="str">
        <f>IFERROR(__xludf.DUMMYFUNCTION("""COMPUTED_VALUE"""),"Trường Đại học Bình Dương")</f>
        <v>Trường Đại học Bình Dương</v>
      </c>
      <c r="F63" s="4" t="str">
        <f>IFERROR(__xludf.DUMMYFUNCTION("""COMPUTED_VALUE"""),"HCPL2026-062.png")</f>
        <v>HCPL2026-062.png</v>
      </c>
    </row>
    <row r="64">
      <c r="A64" s="4" t="str">
        <f>IFERROR(__xludf.DUMMYFUNCTION("""COMPUTED_VALUE"""),"HCPL2026-063")</f>
        <v>HCPL2026-063</v>
      </c>
      <c r="B64" s="4" t="str">
        <f>IFERROR(__xludf.DUMMYFUNCTION("""COMPUTED_VALUE"""),"Hành chính pháp lý")</f>
        <v>Hành chính pháp lý</v>
      </c>
      <c r="C64" s="4" t="str">
        <f>IFERROR(__xludf.DUMMYFUNCTION("""COMPUTED_VALUE"""),"Nghiên cứu quy định pháp luật hình sự về tội sản xuất, buôn bán hàng giả là lương thực, thực phẩm, phụ gia thực phẩm")</f>
        <v>Nghiên cứu quy định pháp luật hình sự về tội sản xuất, buôn bán hàng giả là lương thực, thực phẩm, phụ gia thực phẩm</v>
      </c>
      <c r="D64" s="4" t="str">
        <f>IFERROR(__xludf.DUMMYFUNCTION("""COMPUTED_VALUE"""),"Dương Cầm Khuê; Nguyễn Bá Nam ; Nguyễn Văn Quang; Nguyễn Mạnh Hùng; Bạc Thị Quỳnh Châu")</f>
        <v>Dương Cầm Khuê; Nguyễn Bá Nam ; Nguyễn Văn Quang; Nguyễn Mạnh Hùng; Bạc Thị Quỳnh Châu</v>
      </c>
      <c r="E64" s="4" t="str">
        <f>IFERROR(__xludf.DUMMYFUNCTION("""COMPUTED_VALUE"""),"Trường Đại học Tài nguyên và môi trường Hà Nội")</f>
        <v>Trường Đại học Tài nguyên và môi trường Hà Nội</v>
      </c>
      <c r="F64" s="4" t="str">
        <f>IFERROR(__xludf.DUMMYFUNCTION("""COMPUTED_VALUE"""),"HCPL2026-063.png")</f>
        <v>HCPL2026-063.png</v>
      </c>
    </row>
    <row r="65">
      <c r="A65" s="4" t="str">
        <f>IFERROR(__xludf.DUMMYFUNCTION("""COMPUTED_VALUE"""),"HCPL2026-064")</f>
        <v>HCPL2026-064</v>
      </c>
      <c r="B65" s="4" t="str">
        <f>IFERROR(__xludf.DUMMYFUNCTION("""COMPUTED_VALUE"""),"Hành chính pháp lý")</f>
        <v>Hành chính pháp lý</v>
      </c>
      <c r="C65" s="4" t="str">
        <f>IFERROR(__xludf.DUMMYFUNCTION("""COMPUTED_VALUE"""),"Mang thai hộ vì mục đích thương mại – vấn đề pháp lý đặt ra, bài học từ một số quốc gia và giải pháp hoàn thiện pháp luật Việt Nam")</f>
        <v>Mang thai hộ vì mục đích thương mại – vấn đề pháp lý đặt ra, bài học từ một số quốc gia và giải pháp hoàn thiện pháp luật Việt Nam</v>
      </c>
      <c r="D65" s="4" t="str">
        <f>IFERROR(__xludf.DUMMYFUNCTION("""COMPUTED_VALUE"""),"Đinh Thùy Dương; Phan Ngọc Thảo Vy; Lê Nguyễn Triều An")</f>
        <v>Đinh Thùy Dương; Phan Ngọc Thảo Vy; Lê Nguyễn Triều An</v>
      </c>
      <c r="E65" s="4" t="str">
        <f>IFERROR(__xludf.DUMMYFUNCTION("""COMPUTED_VALUE"""),"Trường Đại học Tài chính- Ngân hàng Hà Nội")</f>
        <v>Trường Đại học Tài chính- Ngân hàng Hà Nội</v>
      </c>
      <c r="F65" s="4" t="str">
        <f>IFERROR(__xludf.DUMMYFUNCTION("""COMPUTED_VALUE"""),"HCPL2026-064.png")</f>
        <v>HCPL2026-064.png</v>
      </c>
    </row>
    <row r="66">
      <c r="A66" s="4" t="str">
        <f>IFERROR(__xludf.DUMMYFUNCTION("""COMPUTED_VALUE"""),"HCPL2026-065")</f>
        <v>HCPL2026-065</v>
      </c>
      <c r="B66" s="4" t="str">
        <f>IFERROR(__xludf.DUMMYFUNCTION("""COMPUTED_VALUE"""),"Hành chính pháp lý")</f>
        <v>Hành chính pháp lý</v>
      </c>
      <c r="C66" s="4" t="str">
        <f>IFERROR(__xludf.DUMMYFUNCTION("""COMPUTED_VALUE"""),"QUÁ TRÌNH THU HẸP HÌNH PHẠT TỬ HÌNH TẠI VIỆT NAM – THỰC TIỄN TẠI TỈNH LÂM ĐỒNG")</f>
        <v>QUÁ TRÌNH THU HẸP HÌNH PHẠT TỬ HÌNH TẠI VIỆT NAM – THỰC TIỄN TẠI TỈNH LÂM ĐỒNG</v>
      </c>
      <c r="D66" s="4" t="str">
        <f>IFERROR(__xludf.DUMMYFUNCTION("""COMPUTED_VALUE"""),"NGUYỄN TRƯƠNG NHẬT ANH; VÕ ĐẶNG HỒNG NHUNG")</f>
        <v>NGUYỄN TRƯƠNG NHẬT ANH; VÕ ĐẶNG HỒNG NHUNG</v>
      </c>
      <c r="E66" s="4" t="str">
        <f>IFERROR(__xludf.DUMMYFUNCTION("""COMPUTED_VALUE"""),"Trường Đại học Đà Lạt")</f>
        <v>Trường Đại học Đà Lạt</v>
      </c>
      <c r="F66" s="4" t="str">
        <f>IFERROR(__xludf.DUMMYFUNCTION("""COMPUTED_VALUE"""),"HCPL2026-065.png")</f>
        <v>HCPL2026-065.png</v>
      </c>
    </row>
    <row r="67">
      <c r="A67" s="4" t="str">
        <f>IFERROR(__xludf.DUMMYFUNCTION("""COMPUTED_VALUE"""),"HCPL2026-066")</f>
        <v>HCPL2026-066</v>
      </c>
      <c r="B67" s="4" t="str">
        <f>IFERROR(__xludf.DUMMYFUNCTION("""COMPUTED_VALUE"""),"Hành chính pháp lý")</f>
        <v>Hành chính pháp lý</v>
      </c>
      <c r="C67" s="4" t="str">
        <f>IFERROR(__xludf.DUMMYFUNCTION("""COMPUTED_VALUE"""),"Giám sát điện tử trong tư pháp người chưa thành niên – pháp luật một số quốc gia và kinh nghiệm cho Việt Nam")</f>
        <v>Giám sát điện tử trong tư pháp người chưa thành niên – pháp luật một số quốc gia và kinh nghiệm cho Việt Nam</v>
      </c>
      <c r="D67" s="4" t="str">
        <f>IFERROR(__xludf.DUMMYFUNCTION("""COMPUTED_VALUE"""),"Nguyễn Công Minh; Nguyễn Mạnh Khôi")</f>
        <v>Nguyễn Công Minh; Nguyễn Mạnh Khôi</v>
      </c>
      <c r="E67" s="4" t="str">
        <f>IFERROR(__xludf.DUMMYFUNCTION("""COMPUTED_VALUE"""),"Đại học Luật, ĐHQGHN")</f>
        <v>Đại học Luật, ĐHQGHN</v>
      </c>
      <c r="F67" s="4" t="str">
        <f>IFERROR(__xludf.DUMMYFUNCTION("""COMPUTED_VALUE"""),"HCPL2026-066.png")</f>
        <v>HCPL2026-066.png</v>
      </c>
    </row>
    <row r="68">
      <c r="A68" s="4" t="str">
        <f>IFERROR(__xludf.DUMMYFUNCTION("""COMPUTED_VALUE"""),"HCPL2026-067")</f>
        <v>HCPL2026-067</v>
      </c>
      <c r="B68" s="4" t="str">
        <f>IFERROR(__xludf.DUMMYFUNCTION("""COMPUTED_VALUE"""),"Hành chính pháp lý")</f>
        <v>Hành chính pháp lý</v>
      </c>
      <c r="C68" s="4" t="str">
        <f>IFERROR(__xludf.DUMMYFUNCTION("""COMPUTED_VALUE"""),"Nhận diện và phòng, chống tội phạm rửa tiền bằng tiền mã hóa")</f>
        <v>Nhận diện và phòng, chống tội phạm rửa tiền bằng tiền mã hóa</v>
      </c>
      <c r="D68" s="4" t="str">
        <f>IFERROR(__xludf.DUMMYFUNCTION("""COMPUTED_VALUE"""),"Đỗ Thị Như Ý; Nguyễn Hương Giang")</f>
        <v>Đỗ Thị Như Ý; Nguyễn Hương Giang</v>
      </c>
      <c r="E68" s="4" t="str">
        <f>IFERROR(__xludf.DUMMYFUNCTION("""COMPUTED_VALUE"""),"Đại học Luật, ĐHQGHN")</f>
        <v>Đại học Luật, ĐHQGHN</v>
      </c>
      <c r="F68" s="4" t="str">
        <f>IFERROR(__xludf.DUMMYFUNCTION("""COMPUTED_VALUE"""),"HCPL2026-067.png")</f>
        <v>HCPL2026-067.png</v>
      </c>
    </row>
    <row r="69">
      <c r="A69" s="4" t="str">
        <f>IFERROR(__xludf.DUMMYFUNCTION("""COMPUTED_VALUE"""),"HCPL2026-068")</f>
        <v>HCPL2026-068</v>
      </c>
      <c r="B69" s="4" t="str">
        <f>IFERROR(__xludf.DUMMYFUNCTION("""COMPUTED_VALUE"""),"Hành chính pháp lý")</f>
        <v>Hành chính pháp lý</v>
      </c>
      <c r="C69" s="4" t="str">
        <f>IFERROR(__xludf.DUMMYFUNCTION("""COMPUTED_VALUE"""),"Hoàn thiện quy định về loại trừ trách nhiệm hình sự vì rủi ro trong nghiên cứu, thử nghiệm, áp dụng khoa học kĩ thuật và công nghệ trong điều 25 BLHS tại Việt Nam")</f>
        <v>Hoàn thiện quy định về loại trừ trách nhiệm hình sự vì rủi ro trong nghiên cứu, thử nghiệm, áp dụng khoa học kĩ thuật và công nghệ trong điều 25 BLHS tại Việt Nam</v>
      </c>
      <c r="D69" s="4" t="str">
        <f>IFERROR(__xludf.DUMMYFUNCTION("""COMPUTED_VALUE"""),"Trần Nguyễn Huy Long")</f>
        <v>Trần Nguyễn Huy Long</v>
      </c>
      <c r="E69" s="4" t="str">
        <f>IFERROR(__xludf.DUMMYFUNCTION("""COMPUTED_VALUE"""),"Học viện An ninh nhân dân")</f>
        <v>Học viện An ninh nhân dân</v>
      </c>
      <c r="F69" s="4" t="str">
        <f>IFERROR(__xludf.DUMMYFUNCTION("""COMPUTED_VALUE"""),"HCPL2026-068.png")</f>
        <v>HCPL2026-068.png</v>
      </c>
    </row>
    <row r="70">
      <c r="A70" s="4" t="str">
        <f>IFERROR(__xludf.DUMMYFUNCTION("""COMPUTED_VALUE"""),"HCPL2026-069")</f>
        <v>HCPL2026-069</v>
      </c>
      <c r="B70" s="4" t="str">
        <f>IFERROR(__xludf.DUMMYFUNCTION("""COMPUTED_VALUE"""),"Hành chính pháp lý")</f>
        <v>Hành chính pháp lý</v>
      </c>
      <c r="C70" s="4" t="str">
        <f>IFERROR(__xludf.DUMMYFUNCTION("""COMPUTED_VALUE"""),"Đánh giá rủi ro phạm tội của người chưa thành niên – Kinh nghiệm từ Canada và Singapore")</f>
        <v>Đánh giá rủi ro phạm tội của người chưa thành niên – Kinh nghiệm từ Canada và Singapore</v>
      </c>
      <c r="D70" s="4" t="str">
        <f>IFERROR(__xludf.DUMMYFUNCTION("""COMPUTED_VALUE"""),"Nguyễn Lâm Bảo Ngọc; Trần Ngọc Thúy Nghi")</f>
        <v>Nguyễn Lâm Bảo Ngọc; Trần Ngọc Thúy Nghi</v>
      </c>
      <c r="E70" s="4" t="str">
        <f>IFERROR(__xludf.DUMMYFUNCTION("""COMPUTED_VALUE"""),"Trường Đại học Luật TPHCM")</f>
        <v>Trường Đại học Luật TPHCM</v>
      </c>
      <c r="F70" s="4" t="str">
        <f>IFERROR(__xludf.DUMMYFUNCTION("""COMPUTED_VALUE"""),"HCPL2026-069.png")</f>
        <v>HCPL2026-069.png</v>
      </c>
    </row>
    <row r="71">
      <c r="A71" s="4" t="str">
        <f>IFERROR(__xludf.DUMMYFUNCTION("""COMPUTED_VALUE"""),"HCPL2026-070")</f>
        <v>HCPL2026-070</v>
      </c>
      <c r="B71" s="4" t="str">
        <f>IFERROR(__xludf.DUMMYFUNCTION("""COMPUTED_VALUE"""),"Hành chính pháp lý")</f>
        <v>Hành chính pháp lý</v>
      </c>
      <c r="C71" s="4" t="str">
        <f>IFERROR(__xludf.DUMMYFUNCTION("""COMPUTED_VALUE"""),"TỘI PHẠM HÓA HÀNH VI GIAN LẬN TÍN CHỈ CARBON THEO PHÁP LUẬT MỘT SỐ QUỐC GIA VÀ KINH NGHIỆM CHO VIỆT NAM")</f>
        <v>TỘI PHẠM HÓA HÀNH VI GIAN LẬN TÍN CHỈ CARBON THEO PHÁP LUẬT MỘT SỐ QUỐC GIA VÀ KINH NGHIỆM CHO VIỆT NAM</v>
      </c>
      <c r="D71" s="4" t="str">
        <f>IFERROR(__xludf.DUMMYFUNCTION("""COMPUTED_VALUE"""),"Trang Tín Đạt; Nguyễn Hữu Phú; Trần Thị Lệ Quyên.; Phạm Quỳnh Châu")</f>
        <v>Trang Tín Đạt; Nguyễn Hữu Phú; Trần Thị Lệ Quyên.; Phạm Quỳnh Châu</v>
      </c>
      <c r="E71" s="4" t="str">
        <f>IFERROR(__xludf.DUMMYFUNCTION("""COMPUTED_VALUE"""),"Trường Đại học Luật TPHCM")</f>
        <v>Trường Đại học Luật TPHCM</v>
      </c>
      <c r="F71" s="4" t="str">
        <f>IFERROR(__xludf.DUMMYFUNCTION("""COMPUTED_VALUE"""),"HCPL2026-070.png")</f>
        <v>HCPL2026-070.png</v>
      </c>
    </row>
    <row r="72">
      <c r="A72" s="4" t="str">
        <f>IFERROR(__xludf.DUMMYFUNCTION("""COMPUTED_VALUE"""),"HCPL2026-071")</f>
        <v>HCPL2026-071</v>
      </c>
      <c r="B72" s="4" t="str">
        <f>IFERROR(__xludf.DUMMYFUNCTION("""COMPUTED_VALUE"""),"Hành chính pháp lý")</f>
        <v>Hành chính pháp lý</v>
      </c>
      <c r="C72" s="4" t="str">
        <f>IFERROR(__xludf.DUMMYFUNCTION("""COMPUTED_VALUE"""),"PHÁP LUẬT VỀ HÀNH VI THAO TÚNG THỊ TRƯỜNG CHỨNG KHOÁN QUA MẠNG XÃ HỘI VÀ CÁC HỘI NHÓM TRỰC TUYẾN TẠI VIỆT NAM")</f>
        <v>PHÁP LUẬT VỀ HÀNH VI THAO TÚNG THỊ TRƯỜNG CHỨNG KHOÁN QUA MẠNG XÃ HỘI VÀ CÁC HỘI NHÓM TRỰC TUYẾN TẠI VIỆT NAM</v>
      </c>
      <c r="D72" s="4" t="str">
        <f>IFERROR(__xludf.DUMMYFUNCTION("""COMPUTED_VALUE"""),"Nguyễn Ngọc Thanh Trang; Trần Duy Phương Nhi; Nguyễn Phạm Đức Nguyên")</f>
        <v>Nguyễn Ngọc Thanh Trang; Trần Duy Phương Nhi; Nguyễn Phạm Đức Nguyên</v>
      </c>
      <c r="E72" s="4" t="str">
        <f>IFERROR(__xludf.DUMMYFUNCTION("""COMPUTED_VALUE"""),"Trường Đại học Hoa Sen")</f>
        <v>Trường Đại học Hoa Sen</v>
      </c>
      <c r="F72" s="4" t="str">
        <f>IFERROR(__xludf.DUMMYFUNCTION("""COMPUTED_VALUE"""),"HCPL2026-071.png")</f>
        <v>HCPL2026-071.png</v>
      </c>
    </row>
    <row r="73">
      <c r="A73" s="4" t="str">
        <f>IFERROR(__xludf.DUMMYFUNCTION("""COMPUTED_VALUE"""),"HCPL2026-072")</f>
        <v>HCPL2026-072</v>
      </c>
      <c r="B73" s="4" t="str">
        <f>IFERROR(__xludf.DUMMYFUNCTION("""COMPUTED_VALUE"""),"Hành chính pháp lý")</f>
        <v>Hành chính pháp lý</v>
      </c>
      <c r="C73" s="4" t="str">
        <f>IFERROR(__xludf.DUMMYFUNCTION("""COMPUTED_VALUE"""),"VAI TRÒ CỦA CHẾ ĐỊNH TÍN CHỈ CARBON TRONG VIỆC THÚC ĐẨY DOANH NGHIỆP SMES VIỆT NAM THỰC HIỆN MỤC TIÊU PHÁT TRIỂN BỀN VỮNG (ESG): KIẾN NGHỊ HOÀN THIỆN KHUNG PHÁP LÝ")</f>
        <v>VAI TRÒ CỦA CHẾ ĐỊNH TÍN CHỈ CARBON TRONG VIỆC THÚC ĐẨY DOANH NGHIỆP SMES VIỆT NAM THỰC HIỆN MỤC TIÊU PHÁT TRIỂN BỀN VỮNG (ESG): KIẾN NGHỊ HOÀN THIỆN KHUNG PHÁP LÝ</v>
      </c>
      <c r="D73" s="4" t="str">
        <f>IFERROR(__xludf.DUMMYFUNCTION("""COMPUTED_VALUE"""),"Trần Thu Hiền; Lê Anh Thư ; Phạm Thị Minh Thu")</f>
        <v>Trần Thu Hiền; Lê Anh Thư ; Phạm Thị Minh Thu</v>
      </c>
      <c r="E73" s="4" t="str">
        <f>IFERROR(__xludf.DUMMYFUNCTION("""COMPUTED_VALUE"""),"Trường Đại học Hoa Sen")</f>
        <v>Trường Đại học Hoa Sen</v>
      </c>
      <c r="F73" s="4" t="str">
        <f>IFERROR(__xludf.DUMMYFUNCTION("""COMPUTED_VALUE"""),"HCPL2026-072.png")</f>
        <v>HCPL2026-072.png</v>
      </c>
    </row>
    <row r="74">
      <c r="A74" s="4" t="str">
        <f>IFERROR(__xludf.DUMMYFUNCTION("""COMPUTED_VALUE"""),"HCPL2026-073")</f>
        <v>HCPL2026-073</v>
      </c>
      <c r="B74" s="4" t="str">
        <f>IFERROR(__xludf.DUMMYFUNCTION("""COMPUTED_VALUE"""),"Hành chính pháp lý")</f>
        <v>Hành chính pháp lý</v>
      </c>
      <c r="C74" s="4" t="str">
        <f>IFERROR(__xludf.DUMMYFUNCTION("""COMPUTED_VALUE"""),"ĐỊA VỊ PHÁP LÝ CỦA HỘ KINH DOANH THEO PHÁP LUẬT VIỆT NAM VÀ THỰC TIỄN TRÊN ĐỊA BÀN THÀNH PHỐ HÀ NỘI")</f>
        <v>ĐỊA VỊ PHÁP LÝ CỦA HỘ KINH DOANH THEO PHÁP LUẬT VIỆT NAM VÀ THỰC TIỄN TRÊN ĐỊA BÀN THÀNH PHỐ HÀ NỘI</v>
      </c>
      <c r="D74" s="4" t="str">
        <f>IFERROR(__xludf.DUMMYFUNCTION("""COMPUTED_VALUE"""),"Nguyễn Tài Minh Hiếu; Nguyễn Khánh Ly; Trịnh Bảo Ngọc")</f>
        <v>Nguyễn Tài Minh Hiếu; Nguyễn Khánh Ly; Trịnh Bảo Ngọc</v>
      </c>
      <c r="E74" s="4" t="str">
        <f>IFERROR(__xludf.DUMMYFUNCTION("""COMPUTED_VALUE"""),"Học viện Thanh Thiếu niên Việt Nam")</f>
        <v>Học viện Thanh Thiếu niên Việt Nam</v>
      </c>
      <c r="F74" s="4" t="str">
        <f>IFERROR(__xludf.DUMMYFUNCTION("""COMPUTED_VALUE"""),"HCPL2026-073.png")</f>
        <v>HCPL2026-073.png</v>
      </c>
    </row>
    <row r="75">
      <c r="A75" s="4" t="str">
        <f>IFERROR(__xludf.DUMMYFUNCTION("""COMPUTED_VALUE"""),"HCPL2026-074")</f>
        <v>HCPL2026-074</v>
      </c>
      <c r="B75" s="4" t="str">
        <f>IFERROR(__xludf.DUMMYFUNCTION("""COMPUTED_VALUE"""),"Hành chính pháp lý")</f>
        <v>Hành chính pháp lý</v>
      </c>
      <c r="C75" s="4" t="str">
        <f>IFERROR(__xludf.DUMMYFUNCTION("""COMPUTED_VALUE"""),"THE PROTECTION OF CLIENT ASSETS ON DIGITAL ASSET EXCHANGES UNDER EU REGULATIONS - LESSONS AND EXPERIENCES FOR VIETNAM")</f>
        <v>THE PROTECTION OF CLIENT ASSETS ON DIGITAL ASSET EXCHANGES UNDER EU REGULATIONS - LESSONS AND EXPERIENCES FOR VIETNAM</v>
      </c>
      <c r="D75" s="4" t="str">
        <f>IFERROR(__xludf.DUMMYFUNCTION("""COMPUTED_VALUE"""),"Hà Gia Bảo; Võ Nguyễn Bảo Uyên; Nguyễn Thị Tố Như")</f>
        <v>Hà Gia Bảo; Võ Nguyễn Bảo Uyên; Nguyễn Thị Tố Như</v>
      </c>
      <c r="E75" s="4" t="str">
        <f>IFERROR(__xludf.DUMMYFUNCTION("""COMPUTED_VALUE"""),"Trường Đại học Tôn Đức Thắng")</f>
        <v>Trường Đại học Tôn Đức Thắng</v>
      </c>
      <c r="F75" s="4" t="str">
        <f>IFERROR(__xludf.DUMMYFUNCTION("""COMPUTED_VALUE"""),"HCPL2026-074.png")</f>
        <v>HCPL2026-074.png</v>
      </c>
    </row>
    <row r="76">
      <c r="A76" s="4" t="str">
        <f>IFERROR(__xludf.DUMMYFUNCTION("""COMPUTED_VALUE"""),"HCPL2026-075")</f>
        <v>HCPL2026-075</v>
      </c>
      <c r="B76" s="4" t="str">
        <f>IFERROR(__xludf.DUMMYFUNCTION("""COMPUTED_VALUE"""),"Hành chính pháp lý")</f>
        <v>Hành chính pháp lý</v>
      </c>
      <c r="C76" s="4" t="str">
        <f>IFERROR(__xludf.DUMMYFUNCTION("""COMPUTED_VALUE"""),"Pháp luật về đầu tư trực tiếp nước ngoài ở Việt Nam trong bối cảnh tăng trưởng kinh tế xanh")</f>
        <v>Pháp luật về đầu tư trực tiếp nước ngoài ở Việt Nam trong bối cảnh tăng trưởng kinh tế xanh</v>
      </c>
      <c r="D76" s="4" t="str">
        <f>IFERROR(__xludf.DUMMYFUNCTION("""COMPUTED_VALUE"""),"Nguyễn Ngân An; Lê Thị Hoàng Anh; Nguyễn Mai Anh")</f>
        <v>Nguyễn Ngân An; Lê Thị Hoàng Anh; Nguyễn Mai Anh</v>
      </c>
      <c r="E76" s="4" t="str">
        <f>IFERROR(__xludf.DUMMYFUNCTION("""COMPUTED_VALUE"""),"Trường Đại học Mở Hà Nội")</f>
        <v>Trường Đại học Mở Hà Nội</v>
      </c>
      <c r="F76" s="4" t="str">
        <f>IFERROR(__xludf.DUMMYFUNCTION("""COMPUTED_VALUE"""),"HCPL2026-075.png")</f>
        <v>HCPL2026-075.png</v>
      </c>
    </row>
    <row r="77">
      <c r="A77" s="4" t="str">
        <f>IFERROR(__xludf.DUMMYFUNCTION("""COMPUTED_VALUE"""),"HCPL2026-076")</f>
        <v>HCPL2026-076</v>
      </c>
      <c r="B77" s="4" t="str">
        <f>IFERROR(__xludf.DUMMYFUNCTION("""COMPUTED_VALUE"""),"Hành chính pháp lý")</f>
        <v>Hành chính pháp lý</v>
      </c>
      <c r="C77" s="4" t="str">
        <f>IFERROR(__xludf.DUMMYFUNCTION("""COMPUTED_VALUE"""),"Kiện phái sinh - phương thức bảo vệ quyền lợi của công ty trong giai đoạn hội nhập kinh tế quốc tế tại Việt Nam")</f>
        <v>Kiện phái sinh - phương thức bảo vệ quyền lợi của công ty trong giai đoạn hội nhập kinh tế quốc tế tại Việt Nam</v>
      </c>
      <c r="D77" s="4" t="str">
        <f>IFERROR(__xludf.DUMMYFUNCTION("""COMPUTED_VALUE"""),"Trần Lưu Ly; Lê Thị Diệu Huyền; Nguyễn Trung Hiếu")</f>
        <v>Trần Lưu Ly; Lê Thị Diệu Huyền; Nguyễn Trung Hiếu</v>
      </c>
      <c r="E77" s="4" t="str">
        <f>IFERROR(__xludf.DUMMYFUNCTION("""COMPUTED_VALUE"""),"Trường Đại học Mở Hà Nội")</f>
        <v>Trường Đại học Mở Hà Nội</v>
      </c>
      <c r="F77" s="4" t="str">
        <f>IFERROR(__xludf.DUMMYFUNCTION("""COMPUTED_VALUE"""),"HCPL2026-076.png")</f>
        <v>HCPL2026-076.png</v>
      </c>
    </row>
    <row r="78">
      <c r="A78" s="4" t="str">
        <f>IFERROR(__xludf.DUMMYFUNCTION("""COMPUTED_VALUE"""),"HCPL2026-077")</f>
        <v>HCPL2026-077</v>
      </c>
      <c r="B78" s="4" t="str">
        <f>IFERROR(__xludf.DUMMYFUNCTION("""COMPUTED_VALUE"""),"Hành chính pháp lý")</f>
        <v>Hành chính pháp lý</v>
      </c>
      <c r="C78" s="4" t="str">
        <f>IFERROR(__xludf.DUMMYFUNCTION("""COMPUTED_VALUE"""),"Cơ chế hỗ trợ đầu tư cho doanh nghiệp chịu thuế tối thiểu toàn cầu: Kinh nghiệm quốc tế và hàm ý chính sách cho Việt Nam")</f>
        <v>Cơ chế hỗ trợ đầu tư cho doanh nghiệp chịu thuế tối thiểu toàn cầu: Kinh nghiệm quốc tế và hàm ý chính sách cho Việt Nam</v>
      </c>
      <c r="D78" s="4" t="str">
        <f>IFERROR(__xludf.DUMMYFUNCTION("""COMPUTED_VALUE"""),"Nguyễn Minh Tâm; Vũ Minh Anh")</f>
        <v>Nguyễn Minh Tâm; Vũ Minh Anh</v>
      </c>
      <c r="E78" s="4" t="str">
        <f>IFERROR(__xludf.DUMMYFUNCTION("""COMPUTED_VALUE"""),"Học viện Ngoại giao")</f>
        <v>Học viện Ngoại giao</v>
      </c>
      <c r="F78" s="4" t="str">
        <f>IFERROR(__xludf.DUMMYFUNCTION("""COMPUTED_VALUE"""),"HCPL2026-077.png")</f>
        <v>HCPL2026-077.png</v>
      </c>
    </row>
    <row r="79">
      <c r="A79" s="4" t="str">
        <f>IFERROR(__xludf.DUMMYFUNCTION("""COMPUTED_VALUE"""),"HCPL2026-078")</f>
        <v>HCPL2026-078</v>
      </c>
      <c r="B79" s="4" t="str">
        <f>IFERROR(__xludf.DUMMYFUNCTION("""COMPUTED_VALUE"""),"Hành chính pháp lý")</f>
        <v>Hành chính pháp lý</v>
      </c>
      <c r="C79" s="4" t="str">
        <f>IFERROR(__xludf.DUMMYFUNCTION("""COMPUTED_VALUE"""),"TÁC ĐỘNG CỦA TRÍ TUỆ NHÂN TẠO ĐẾN QUYỀN ĐƯỢC LÀM VIỆC TẠI VIỆT NAM - TỪ LÝ LUẬN ĐẾN THỰC TIỄN VÀ KIẾN NGHỊ")</f>
        <v>TÁC ĐỘNG CỦA TRÍ TUỆ NHÂN TẠO ĐẾN QUYỀN ĐƯỢC LÀM VIỆC TẠI VIỆT NAM - TỪ LÝ LUẬN ĐẾN THỰC TIỄN VÀ KIẾN NGHỊ</v>
      </c>
      <c r="D79" s="4" t="str">
        <f>IFERROR(__xludf.DUMMYFUNCTION("""COMPUTED_VALUE"""),"Huỳnh Trường Thịnh")</f>
        <v>Huỳnh Trường Thịnh</v>
      </c>
      <c r="E79" s="4" t="str">
        <f>IFERROR(__xludf.DUMMYFUNCTION("""COMPUTED_VALUE"""),"Trường Đại học Nguyễn Tất Thành")</f>
        <v>Trường Đại học Nguyễn Tất Thành</v>
      </c>
      <c r="F79" s="4" t="str">
        <f>IFERROR(__xludf.DUMMYFUNCTION("""COMPUTED_VALUE"""),"HCPL2026-078.png")</f>
        <v>HCPL2026-078.png</v>
      </c>
    </row>
    <row r="80">
      <c r="A80" s="4" t="str">
        <f>IFERROR(__xludf.DUMMYFUNCTION("""COMPUTED_VALUE"""),"HCPL2026-079")</f>
        <v>HCPL2026-079</v>
      </c>
      <c r="B80" s="4" t="str">
        <f>IFERROR(__xludf.DUMMYFUNCTION("""COMPUTED_VALUE"""),"Hành chính pháp lý")</f>
        <v>Hành chính pháp lý</v>
      </c>
      <c r="C80" s="4" t="str">
        <f>IFERROR(__xludf.DUMMYFUNCTION("""COMPUTED_VALUE"""),"Bảo đảm quyền của nạn nhân tội phạm bằng mô hình tư pháp phục hồi: Kinh nghiệm quốc tế và phương hướng hoàn thiện pháp luật Việt Nam")</f>
        <v>Bảo đảm quyền của nạn nhân tội phạm bằng mô hình tư pháp phục hồi: Kinh nghiệm quốc tế và phương hướng hoàn thiện pháp luật Việt Nam</v>
      </c>
      <c r="D80" s="4" t="str">
        <f>IFERROR(__xludf.DUMMYFUNCTION("""COMPUTED_VALUE"""),"Nguyễn Minh Hiền; Nguyễn Như Anh")</f>
        <v>Nguyễn Minh Hiền; Nguyễn Như Anh</v>
      </c>
      <c r="E80" s="4" t="str">
        <f>IFERROR(__xludf.DUMMYFUNCTION("""COMPUTED_VALUE"""),"Trường Đại học Nguyễn Tất Thành")</f>
        <v>Trường Đại học Nguyễn Tất Thành</v>
      </c>
      <c r="F80" s="4" t="str">
        <f>IFERROR(__xludf.DUMMYFUNCTION("""COMPUTED_VALUE"""),"HCPL2026-079.png")</f>
        <v>HCPL2026-079.png</v>
      </c>
    </row>
    <row r="81">
      <c r="A81" s="4" t="str">
        <f>IFERROR(__xludf.DUMMYFUNCTION("""COMPUTED_VALUE"""),"HCPL2026-080")</f>
        <v>HCPL2026-080</v>
      </c>
      <c r="B81" s="4" t="str">
        <f>IFERROR(__xludf.DUMMYFUNCTION("""COMPUTED_VALUE"""),"Hành chính pháp lý")</f>
        <v>Hành chính pháp lý</v>
      </c>
      <c r="C81" s="4" t="str">
        <f>IFERROR(__xludf.DUMMYFUNCTION("""COMPUTED_VALUE"""),"TIỀN MÃ HÓA VỚI TƯ CÁCH LÀ TÀI SẢN BẢO ĐẢM TRONG PHÁP LUẬT DÂN SỰ VÀ HOẠT ĐỘNG CẤP TÍN DỤNG TẠI VIỆT NAM.")</f>
        <v>TIỀN MÃ HÓA VỚI TƯ CÁCH LÀ TÀI SẢN BẢO ĐẢM TRONG PHÁP LUẬT DÂN SỰ VÀ HOẠT ĐỘNG CẤP TÍN DỤNG TẠI VIỆT NAM.</v>
      </c>
      <c r="D81" s="4" t="str">
        <f>IFERROR(__xludf.DUMMYFUNCTION("""COMPUTED_VALUE"""),"Phạm Anh Khoa; Phạm Thị Phương; Lê Quỳnh Giao")</f>
        <v>Phạm Anh Khoa; Phạm Thị Phương; Lê Quỳnh Giao</v>
      </c>
      <c r="E81" s="4" t="str">
        <f>IFERROR(__xludf.DUMMYFUNCTION("""COMPUTED_VALUE"""),"Trường Đại học Nguyễn Tất Thành")</f>
        <v>Trường Đại học Nguyễn Tất Thành</v>
      </c>
      <c r="F81" s="4" t="str">
        <f>IFERROR(__xludf.DUMMYFUNCTION("""COMPUTED_VALUE"""),"HCPL2026-080.png")</f>
        <v>HCPL2026-080.png</v>
      </c>
    </row>
    <row r="82">
      <c r="A82" s="4" t="str">
        <f>IFERROR(__xludf.DUMMYFUNCTION("""COMPUTED_VALUE"""),"HCPL2026-081")</f>
        <v>HCPL2026-081</v>
      </c>
      <c r="B82" s="4" t="str">
        <f>IFERROR(__xludf.DUMMYFUNCTION("""COMPUTED_VALUE"""),"Hành chính pháp lý")</f>
        <v>Hành chính pháp lý</v>
      </c>
      <c r="C82" s="4" t="str">
        <f>IFERROR(__xludf.DUMMYFUNCTION("""COMPUTED_VALUE"""),"BẢO VỆ QUYỀN LỢI NGƯỜI TIÊU DÙNG TRONG HOẠT ĐỘNG QUẢNG CÁO THƯƠNG MẠI TRÊN MÔI TRƯỜNG SỐ: MỘT SỐ KHUYẾN NGHỊ HOÀN THIỆN CHO VIỆT NAM TỪ KINH NGHIỆM CỦA CÁC QUỐC GIA")</f>
        <v>BẢO VỆ QUYỀN LỢI NGƯỜI TIÊU DÙNG TRONG HOẠT ĐỘNG QUẢNG CÁO THƯƠNG MẠI TRÊN MÔI TRƯỜNG SỐ: MỘT SỐ KHUYẾN NGHỊ HOÀN THIỆN CHO VIỆT NAM TỪ KINH NGHIỆM CỦA CÁC QUỐC GIA</v>
      </c>
      <c r="D82" s="4" t="str">
        <f>IFERROR(__xludf.DUMMYFUNCTION("""COMPUTED_VALUE"""),"Trần Thanh Hòa; Võ Thị Mỹ Uyên")</f>
        <v>Trần Thanh Hòa; Võ Thị Mỹ Uyên</v>
      </c>
      <c r="E82" s="4" t="str">
        <f>IFERROR(__xludf.DUMMYFUNCTION("""COMPUTED_VALUE"""),"Trường Đại học Nguyễn Tất Thành")</f>
        <v>Trường Đại học Nguyễn Tất Thành</v>
      </c>
      <c r="F82" s="4" t="str">
        <f>IFERROR(__xludf.DUMMYFUNCTION("""COMPUTED_VALUE"""),"HCPL2026-081.png")</f>
        <v>HCPL2026-081.png</v>
      </c>
    </row>
    <row r="83">
      <c r="A83" s="4" t="str">
        <f>IFERROR(__xludf.DUMMYFUNCTION("""COMPUTED_VALUE"""),"HCPL2026-082")</f>
        <v>HCPL2026-082</v>
      </c>
      <c r="B83" s="4" t="str">
        <f>IFERROR(__xludf.DUMMYFUNCTION("""COMPUTED_VALUE"""),"Hành chính pháp lý")</f>
        <v>Hành chính pháp lý</v>
      </c>
      <c r="C83" s="4" t="str">
        <f>IFERROR(__xludf.DUMMYFUNCTION("""COMPUTED_VALUE"""),"QUYỀN ĐỐI VỚI GIỌNG NÓI CÁ NHÂN TRONG KỶ NGUYÊN TRÍ TUỆ NHÂN TẠO: KINH NGHIỆM QUỐC TẾ VÀ GỢI MỞ CHO VIỆT NAM")</f>
        <v>QUYỀN ĐỐI VỚI GIỌNG NÓI CÁ NHÂN TRONG KỶ NGUYÊN TRÍ TUỆ NHÂN TẠO: KINH NGHIỆM QUỐC TẾ VÀ GỢI MỞ CHO VIỆT NAM</v>
      </c>
      <c r="D83" s="4" t="str">
        <f>IFERROR(__xludf.DUMMYFUNCTION("""COMPUTED_VALUE"""),"Trần Văn Tuấn")</f>
        <v>Trần Văn Tuấn</v>
      </c>
      <c r="E83" s="4" t="str">
        <f>IFERROR(__xludf.DUMMYFUNCTION("""COMPUTED_VALUE"""),"Trường Đại học Nguyễn Tất Thành")</f>
        <v>Trường Đại học Nguyễn Tất Thành</v>
      </c>
      <c r="F83" s="4" t="str">
        <f>IFERROR(__xludf.DUMMYFUNCTION("""COMPUTED_VALUE"""),"HCPL2026-082.png")</f>
        <v>HCPL2026-082.png</v>
      </c>
    </row>
    <row r="84">
      <c r="A84" s="4" t="str">
        <f>IFERROR(__xludf.DUMMYFUNCTION("""COMPUTED_VALUE"""),"HCPL2026-083")</f>
        <v>HCPL2026-083</v>
      </c>
      <c r="B84" s="4" t="str">
        <f>IFERROR(__xludf.DUMMYFUNCTION("""COMPUTED_VALUE"""),"Hành chính pháp lý")</f>
        <v>Hành chính pháp lý</v>
      </c>
      <c r="C84" s="4" t="str">
        <f>IFERROR(__xludf.DUMMYFUNCTION("""COMPUTED_VALUE"""),"Trách nhiệm của doanh nghiệp trong việc bảo vệ dữ liệu cá nhân của người lao động trong quan hệ lao động theo pháp luật Việt Nam")</f>
        <v>Trách nhiệm của doanh nghiệp trong việc bảo vệ dữ liệu cá nhân của người lao động trong quan hệ lao động theo pháp luật Việt Nam</v>
      </c>
      <c r="D84" s="4" t="str">
        <f>IFERROR(__xludf.DUMMYFUNCTION("""COMPUTED_VALUE"""),"Trần Hoàng Khang; Trần Thị Mỹ Lê; Điểu Hà My; Lê Hồng Ngọc; Phạm Ngọc Phương Trinh")</f>
        <v>Trần Hoàng Khang; Trần Thị Mỹ Lê; Điểu Hà My; Lê Hồng Ngọc; Phạm Ngọc Phương Trinh</v>
      </c>
      <c r="E84" s="4" t="str">
        <f>IFERROR(__xludf.DUMMYFUNCTION("""COMPUTED_VALUE"""),"Trường Đại học Công nghiệp TPHCM")</f>
        <v>Trường Đại học Công nghiệp TPHCM</v>
      </c>
      <c r="F84" s="4" t="str">
        <f>IFERROR(__xludf.DUMMYFUNCTION("""COMPUTED_VALUE"""),"HCPL2026-083.png")</f>
        <v>HCPL2026-083.png</v>
      </c>
    </row>
    <row r="85">
      <c r="A85" s="4" t="str">
        <f>IFERROR(__xludf.DUMMYFUNCTION("""COMPUTED_VALUE"""),"HCPL2026-084")</f>
        <v>HCPL2026-084</v>
      </c>
      <c r="B85" s="4" t="str">
        <f>IFERROR(__xludf.DUMMYFUNCTION("""COMPUTED_VALUE"""),"Hành chính pháp lý")</f>
        <v>Hành chính pháp lý</v>
      </c>
      <c r="C85" s="4" t="str">
        <f>IFERROR(__xludf.DUMMYFUNCTION("""COMPUTED_VALUE"""),"BẢO VỆ QUYỀN ĐỐI VỚI HÌNH ẢNH CỦA CÁ NHÂN TRƯỚC CÔNG NGHỆ DEEPFAKE THEO PHÁP LUẬT VIỆT NAM")</f>
        <v>BẢO VỆ QUYỀN ĐỐI VỚI HÌNH ẢNH CỦA CÁ NHÂN TRƯỚC CÔNG NGHỆ DEEPFAKE THEO PHÁP LUẬT VIỆT NAM</v>
      </c>
      <c r="D85" s="4" t="str">
        <f>IFERROR(__xludf.DUMMYFUNCTION("""COMPUTED_VALUE"""),"Nguyễn Thị Quỳnh Như; Võ Hồng Huế; Nguyễn Như Huỳnh; Vũ Minh Quang; Nguyễn Thúy Quỳnh")</f>
        <v>Nguyễn Thị Quỳnh Như; Võ Hồng Huế; Nguyễn Như Huỳnh; Vũ Minh Quang; Nguyễn Thúy Quỳnh</v>
      </c>
      <c r="E85" s="4" t="str">
        <f>IFERROR(__xludf.DUMMYFUNCTION("""COMPUTED_VALUE"""),"Trường Đại học Công nghiệp TPHCM")</f>
        <v>Trường Đại học Công nghiệp TPHCM</v>
      </c>
      <c r="F85" s="4" t="str">
        <f>IFERROR(__xludf.DUMMYFUNCTION("""COMPUTED_VALUE"""),"HCPL2026-084.png")</f>
        <v>HCPL2026-084.png</v>
      </c>
    </row>
    <row r="86">
      <c r="A86" s="4" t="str">
        <f>IFERROR(__xludf.DUMMYFUNCTION("""COMPUTED_VALUE"""),"HCPL2026-085")</f>
        <v>HCPL2026-085</v>
      </c>
      <c r="B86" s="4" t="str">
        <f>IFERROR(__xludf.DUMMYFUNCTION("""COMPUTED_VALUE"""),"Hành chính pháp lý")</f>
        <v>Hành chính pháp lý</v>
      </c>
      <c r="C86" s="4" t="str">
        <f>IFERROR(__xludf.DUMMYFUNCTION("""COMPUTED_VALUE"""),"Pháp luật về bảo vệ người tiêu dùng từ thực tiễn sử dụng xăng sinh học. Kinh nghiêm từ Liên minh EU và đề xuất hoàn thiện.")</f>
        <v>Pháp luật về bảo vệ người tiêu dùng từ thực tiễn sử dụng xăng sinh học. Kinh nghiêm từ Liên minh EU và đề xuất hoàn thiện.</v>
      </c>
      <c r="D86" s="4" t="str">
        <f>IFERROR(__xludf.DUMMYFUNCTION("""COMPUTED_VALUE"""),"Trần Thị Mỹ Tiên; Lê Hoài Anh Trí")</f>
        <v>Trần Thị Mỹ Tiên; Lê Hoài Anh Trí</v>
      </c>
      <c r="E86" s="4" t="str">
        <f>IFERROR(__xludf.DUMMYFUNCTION("""COMPUTED_VALUE"""),"Trường Đại học Công nghiệp TPHCM")</f>
        <v>Trường Đại học Công nghiệp TPHCM</v>
      </c>
      <c r="F86" s="4" t="str">
        <f>IFERROR(__xludf.DUMMYFUNCTION("""COMPUTED_VALUE"""),"HCPL2026-085.png")</f>
        <v>HCPL2026-085.png</v>
      </c>
    </row>
    <row r="87">
      <c r="A87" s="4" t="str">
        <f>IFERROR(__xludf.DUMMYFUNCTION("""COMPUTED_VALUE"""),"HCPL2026-086")</f>
        <v>HCPL2026-086</v>
      </c>
      <c r="B87" s="4" t="str">
        <f>IFERROR(__xludf.DUMMYFUNCTION("""COMPUTED_VALUE"""),"Hành chính pháp lý")</f>
        <v>Hành chính pháp lý</v>
      </c>
      <c r="C87" s="4" t="str">
        <f>IFERROR(__xludf.DUMMYFUNCTION("""COMPUTED_VALUE"""),"PHÁP LUẬT VIỆT NAM VỀ GIAO KẾT VÀ THỰC HIỆN HỢP ĐỒNG LAO ĐỘNG ĐIỆN TỬ: THỰC TRẠNG PHÁP LUẬT VÀ GIẢI PHÁP TRIỂN KHAI TRONG THỰC TIỄN")</f>
        <v>PHÁP LUẬT VIỆT NAM VỀ GIAO KẾT VÀ THỰC HIỆN HỢP ĐỒNG LAO ĐỘNG ĐIỆN TỬ: THỰC TRẠNG PHÁP LUẬT VÀ GIẢI PHÁP TRIỂN KHAI TRONG THỰC TIỄN</v>
      </c>
      <c r="D87" s="4" t="str">
        <f>IFERROR(__xludf.DUMMYFUNCTION("""COMPUTED_VALUE"""),"Lê Bùi Bảo Linh; Nguyễn Thái Hưng; Trương Khánh Linh")</f>
        <v>Lê Bùi Bảo Linh; Nguyễn Thái Hưng; Trương Khánh Linh</v>
      </c>
      <c r="E87" s="4" t="str">
        <f>IFERROR(__xludf.DUMMYFUNCTION("""COMPUTED_VALUE"""),"Trường Đại học Công nghiệp TPHCM")</f>
        <v>Trường Đại học Công nghiệp TPHCM</v>
      </c>
      <c r="F87" s="4" t="str">
        <f>IFERROR(__xludf.DUMMYFUNCTION("""COMPUTED_VALUE"""),"HCPL2026-086.png")</f>
        <v>HCPL2026-086.png</v>
      </c>
    </row>
    <row r="88">
      <c r="A88" s="4" t="str">
        <f>IFERROR(__xludf.DUMMYFUNCTION("""COMPUTED_VALUE"""),"HCPL2026-087")</f>
        <v>HCPL2026-087</v>
      </c>
      <c r="B88" s="4" t="str">
        <f>IFERROR(__xludf.DUMMYFUNCTION("""COMPUTED_VALUE"""),"Hành chính pháp lý")</f>
        <v>Hành chính pháp lý</v>
      </c>
      <c r="C88" s="4" t="str">
        <f>IFERROR(__xludf.DUMMYFUNCTION("""COMPUTED_VALUE"""),"Bảo hộ quyền sở hữu trí tuệ đối với tri thức truyền thống theo pháp luật Việt Nam và một số kinh nghiệm quốc tế")</f>
        <v>Bảo hộ quyền sở hữu trí tuệ đối với tri thức truyền thống theo pháp luật Việt Nam và một số kinh nghiệm quốc tế</v>
      </c>
      <c r="D88" s="4" t="str">
        <f>IFERROR(__xludf.DUMMYFUNCTION("""COMPUTED_VALUE"""),"Lê Phạm Anh Kiệt ; Mai Thị Hồng Ngọc")</f>
        <v>Lê Phạm Anh Kiệt ; Mai Thị Hồng Ngọc</v>
      </c>
      <c r="E88" s="4" t="str">
        <f>IFERROR(__xludf.DUMMYFUNCTION("""COMPUTED_VALUE"""),"Trường Đại học Công nghệ TP.HCM")</f>
        <v>Trường Đại học Công nghệ TP.HCM</v>
      </c>
      <c r="F88" s="4" t="str">
        <f>IFERROR(__xludf.DUMMYFUNCTION("""COMPUTED_VALUE"""),"HCPL2026-087.png")</f>
        <v>HCPL2026-087.png</v>
      </c>
    </row>
    <row r="89">
      <c r="A89" s="4" t="str">
        <f>IFERROR(__xludf.DUMMYFUNCTION("""COMPUTED_VALUE"""),"HCPL2026-088")</f>
        <v>HCPL2026-088</v>
      </c>
      <c r="B89" s="4" t="str">
        <f>IFERROR(__xludf.DUMMYFUNCTION("""COMPUTED_VALUE"""),"Hành chính pháp lý")</f>
        <v>Hành chính pháp lý</v>
      </c>
      <c r="C89" s="4" t="str">
        <f>IFERROR(__xludf.DUMMYFUNCTION("""COMPUTED_VALUE"""),"Pháp luật điều chỉnh dòng vốn đầu tư gián tiếp nước ngoài tại Việt Nam")</f>
        <v>Pháp luật điều chỉnh dòng vốn đầu tư gián tiếp nước ngoài tại Việt Nam</v>
      </c>
      <c r="D89" s="4" t="str">
        <f>IFERROR(__xludf.DUMMYFUNCTION("""COMPUTED_VALUE"""),"Nguyễn Thị Thảo Tuyên; Lại Thị Thư")</f>
        <v>Nguyễn Thị Thảo Tuyên; Lại Thị Thư</v>
      </c>
      <c r="E89" s="4" t="str">
        <f>IFERROR(__xludf.DUMMYFUNCTION("""COMPUTED_VALUE"""),"Trường Đại học Công nghệ TP.HCM")</f>
        <v>Trường Đại học Công nghệ TP.HCM</v>
      </c>
      <c r="F89" s="4" t="str">
        <f>IFERROR(__xludf.DUMMYFUNCTION("""COMPUTED_VALUE"""),"HCPL2026-088.png")</f>
        <v>HCPL2026-088.png</v>
      </c>
    </row>
    <row r="90">
      <c r="A90" s="4" t="str">
        <f>IFERROR(__xludf.DUMMYFUNCTION("""COMPUTED_VALUE"""),"HCPL2026-089")</f>
        <v>HCPL2026-089</v>
      </c>
      <c r="B90" s="4" t="str">
        <f>IFERROR(__xludf.DUMMYFUNCTION("""COMPUTED_VALUE"""),"Hành chính pháp lý")</f>
        <v>Hành chính pháp lý</v>
      </c>
      <c r="C90" s="4" t="str">
        <f>IFERROR(__xludf.DUMMYFUNCTION("""COMPUTED_VALUE"""),"Áp dụng nguyên tắc “Primacy of Facts” để xác định quan hệ lao động trong nền kinh tế nền tảng: Kinh nghiệm quốc tế và kiến nghị cho Việt Nam")</f>
        <v>Áp dụng nguyên tắc “Primacy of Facts” để xác định quan hệ lao động trong nền kinh tế nền tảng: Kinh nghiệm quốc tế và kiến nghị cho Việt Nam</v>
      </c>
      <c r="D90" s="4" t="str">
        <f>IFERROR(__xludf.DUMMYFUNCTION("""COMPUTED_VALUE"""),"Phan Phước Thái Nguyên; Nguyễn Trà My; Huỳnh Thảo Nhi; Huỳnh Quốc Kỳ")</f>
        <v>Phan Phước Thái Nguyên; Nguyễn Trà My; Huỳnh Thảo Nhi; Huỳnh Quốc Kỳ</v>
      </c>
      <c r="E90" s="4" t="str">
        <f>IFERROR(__xludf.DUMMYFUNCTION("""COMPUTED_VALUE"""),"Trường Đại học Kinh tế- Tài chính TPHCM")</f>
        <v>Trường Đại học Kinh tế- Tài chính TPHCM</v>
      </c>
      <c r="F90" s="4" t="str">
        <f>IFERROR(__xludf.DUMMYFUNCTION("""COMPUTED_VALUE"""),"HCPL2026-089.png")</f>
        <v>HCPL2026-089.png</v>
      </c>
    </row>
    <row r="91">
      <c r="A91" s="4" t="str">
        <f>IFERROR(__xludf.DUMMYFUNCTION("""COMPUTED_VALUE"""),"HCPL2026-090")</f>
        <v>HCPL2026-090</v>
      </c>
      <c r="B91" s="4" t="str">
        <f>IFERROR(__xludf.DUMMYFUNCTION("""COMPUTED_VALUE"""),"Hành chính pháp lý")</f>
        <v>Hành chính pháp lý</v>
      </c>
      <c r="C91" s="4" t="str">
        <f>IFERROR(__xludf.DUMMYFUNCTION("""COMPUTED_VALUE"""),"Pháp luật về Nhà ở xã hội dành cho người thu nhập thấp và thực tiễn tại Thành phố Hồ Chí Minh")</f>
        <v>Pháp luật về Nhà ở xã hội dành cho người thu nhập thấp và thực tiễn tại Thành phố Hồ Chí Minh</v>
      </c>
      <c r="D91" s="4" t="str">
        <f>IFERROR(__xludf.DUMMYFUNCTION("""COMPUTED_VALUE"""),"Nguyễn Vũ Gia Hân; Nguyễn Phụng Bảo Châu")</f>
        <v>Nguyễn Vũ Gia Hân; Nguyễn Phụng Bảo Châu</v>
      </c>
      <c r="E91" s="4" t="str">
        <f>IFERROR(__xludf.DUMMYFUNCTION("""COMPUTED_VALUE"""),"Trường Đại học Công nghiệp TPHCM")</f>
        <v>Trường Đại học Công nghiệp TPHCM</v>
      </c>
      <c r="F91" s="4" t="str">
        <f>IFERROR(__xludf.DUMMYFUNCTION("""COMPUTED_VALUE"""),"HCPL2026-090.png")</f>
        <v>HCPL2026-090.png</v>
      </c>
    </row>
    <row r="92">
      <c r="A92" s="4" t="str">
        <f>IFERROR(__xludf.DUMMYFUNCTION("""COMPUTED_VALUE"""),"HCPL2026-091")</f>
        <v>HCPL2026-091</v>
      </c>
      <c r="B92" s="4" t="str">
        <f>IFERROR(__xludf.DUMMYFUNCTION("""COMPUTED_VALUE"""),"Hành chính pháp lý")</f>
        <v>Hành chính pháp lý</v>
      </c>
      <c r="C92" s="4" t="str">
        <f>IFERROR(__xludf.DUMMYFUNCTION("""COMPUTED_VALUE"""),"Pháp luật về quyền thu giữ tài sản bảo đảm để xử lý nợ vay - Thực trạng xử lý tài sản bảo đảm tại các ngân hàng thương mại trên địa bàn tỉnh Vĩnh Long")</f>
        <v>Pháp luật về quyền thu giữ tài sản bảo đảm để xử lý nợ vay - Thực trạng xử lý tài sản bảo đảm tại các ngân hàng thương mại trên địa bàn tỉnh Vĩnh Long</v>
      </c>
      <c r="D92" s="4" t="str">
        <f>IFERROR(__xludf.DUMMYFUNCTION("""COMPUTED_VALUE"""),"Trần Đặng Việt Pháp")</f>
        <v>Trần Đặng Việt Pháp</v>
      </c>
      <c r="E92" s="4" t="str">
        <f>IFERROR(__xludf.DUMMYFUNCTION("""COMPUTED_VALUE"""),"Trường Đại học Cửu Long")</f>
        <v>Trường Đại học Cửu Long</v>
      </c>
      <c r="F92" s="4" t="str">
        <f>IFERROR(__xludf.DUMMYFUNCTION("""COMPUTED_VALUE"""),"HCPL2026-091.png")</f>
        <v>HCPL2026-091.png</v>
      </c>
    </row>
    <row r="93">
      <c r="A93" s="4" t="str">
        <f>IFERROR(__xludf.DUMMYFUNCTION("""COMPUTED_VALUE"""),"HCPL2026-092")</f>
        <v>HCPL2026-092</v>
      </c>
      <c r="B93" s="4" t="str">
        <f>IFERROR(__xludf.DUMMYFUNCTION("""COMPUTED_VALUE"""),"Hành chính pháp lý")</f>
        <v>Hành chính pháp lý</v>
      </c>
      <c r="C93" s="4" t="str">
        <f>IFERROR(__xludf.DUMMYFUNCTION("""COMPUTED_VALUE"""),"THỰC TIỄN XÉT XỬ VỀ VI PHẠM HỢP ĐỒNG HIỆU QUẢ TẠI ANH, MỸ - GỢI MỞ CHO PHÁP LUẬT VIỆT NAM")</f>
        <v>THỰC TIỄN XÉT XỬ VỀ VI PHẠM HỢP ĐỒNG HIỆU QUẢ TẠI ANH, MỸ - GỢI MỞ CHO PHÁP LUẬT VIỆT NAM</v>
      </c>
      <c r="D93" s="4" t="str">
        <f>IFERROR(__xludf.DUMMYFUNCTION("""COMPUTED_VALUE"""),"Nguyễn Tuấn Tú; Đặng Quang Hoàng Tú; Nguyễn Tấn Thanh Danh")</f>
        <v>Nguyễn Tuấn Tú; Đặng Quang Hoàng Tú; Nguyễn Tấn Thanh Danh</v>
      </c>
      <c r="E93" s="4" t="str">
        <f>IFERROR(__xludf.DUMMYFUNCTION("""COMPUTED_VALUE"""),"Trường Đại học Mở TP.HCM")</f>
        <v>Trường Đại học Mở TP.HCM</v>
      </c>
      <c r="F93" s="4" t="str">
        <f>IFERROR(__xludf.DUMMYFUNCTION("""COMPUTED_VALUE"""),"HCPL2026-092.png")</f>
        <v>HCPL2026-092.png</v>
      </c>
    </row>
    <row r="94">
      <c r="A94" s="4" t="str">
        <f>IFERROR(__xludf.DUMMYFUNCTION("""COMPUTED_VALUE"""),"HCPL2026-093")</f>
        <v>HCPL2026-093</v>
      </c>
      <c r="B94" s="4" t="str">
        <f>IFERROR(__xludf.DUMMYFUNCTION("""COMPUTED_VALUE"""),"Hành chính pháp lý")</f>
        <v>Hành chính pháp lý</v>
      </c>
      <c r="C94" s="4" t="str">
        <f>IFERROR(__xludf.DUMMYFUNCTION("""COMPUTED_VALUE"""),"SỬ DỤNG TRÍ TUỆ NHÂN TẠO (AI) TRONG THỰC HÀNH LUẬT CHO SINH VIÊN")</f>
        <v>SỬ DỤNG TRÍ TUỆ NHÂN TẠO (AI) TRONG THỰC HÀNH LUẬT CHO SINH VIÊN</v>
      </c>
      <c r="D94" s="4" t="str">
        <f>IFERROR(__xludf.DUMMYFUNCTION("""COMPUTED_VALUE"""),"Nguyễn Thị Thảo; Nguyễn Ngọc Kim Chi; Nguyễn Thị Xuân Diệu; Phạm Lê Kiều Yến")</f>
        <v>Nguyễn Thị Thảo; Nguyễn Ngọc Kim Chi; Nguyễn Thị Xuân Diệu; Phạm Lê Kiều Yến</v>
      </c>
      <c r="E94" s="4" t="str">
        <f>IFERROR(__xludf.DUMMYFUNCTION("""COMPUTED_VALUE"""),"Trường Đại học Luật, Đại học Huế")</f>
        <v>Trường Đại học Luật, Đại học Huế</v>
      </c>
      <c r="F94" s="4" t="str">
        <f>IFERROR(__xludf.DUMMYFUNCTION("""COMPUTED_VALUE"""),"HCPL2026-093.png")</f>
        <v>HCPL2026-093.png</v>
      </c>
    </row>
    <row r="95">
      <c r="A95" s="4" t="str">
        <f>IFERROR(__xludf.DUMMYFUNCTION("""COMPUTED_VALUE"""),"HCPL2026-094")</f>
        <v>HCPL2026-094</v>
      </c>
      <c r="B95" s="4" t="str">
        <f>IFERROR(__xludf.DUMMYFUNCTION("""COMPUTED_VALUE"""),"Hành chính pháp lý")</f>
        <v>Hành chính pháp lý</v>
      </c>
      <c r="C95" s="4" t="str">
        <f>IFERROR(__xludf.DUMMYFUNCTION("""COMPUTED_VALUE"""),"Pháp luật về phát triển năng lượng mặt trời hướng đến mục tiêu phát triển bền vững: Kinh nghiệm Quốc tế và gợi mở cho Việt Nam")</f>
        <v>Pháp luật về phát triển năng lượng mặt trời hướng đến mục tiêu phát triển bền vững: Kinh nghiệm Quốc tế và gợi mở cho Việt Nam</v>
      </c>
      <c r="D95" s="4" t="str">
        <f>IFERROR(__xludf.DUMMYFUNCTION("""COMPUTED_VALUE"""),"Bùi Diễm Nhi; Nguyễn Minh Ngọc; Nguyễn Lưu Tuệ Minh")</f>
        <v>Bùi Diễm Nhi; Nguyễn Minh Ngọc; Nguyễn Lưu Tuệ Minh</v>
      </c>
      <c r="E95" s="4" t="str">
        <f>IFERROR(__xludf.DUMMYFUNCTION("""COMPUTED_VALUE"""),"Học viện Phụ nữ Việt Nam")</f>
        <v>Học viện Phụ nữ Việt Nam</v>
      </c>
      <c r="F95" s="4" t="str">
        <f>IFERROR(__xludf.DUMMYFUNCTION("""COMPUTED_VALUE"""),"HCPL2026-094.png")</f>
        <v>HCPL2026-094.png</v>
      </c>
    </row>
    <row r="96">
      <c r="A96" s="4" t="str">
        <f>IFERROR(__xludf.DUMMYFUNCTION("""COMPUTED_VALUE"""),"HCPL2026-095")</f>
        <v>HCPL2026-095</v>
      </c>
      <c r="B96" s="4" t="str">
        <f>IFERROR(__xludf.DUMMYFUNCTION("""COMPUTED_VALUE"""),"Hành chính pháp lý")</f>
        <v>Hành chính pháp lý</v>
      </c>
      <c r="C96" s="4" t="str">
        <f>IFERROR(__xludf.DUMMYFUNCTION("""COMPUTED_VALUE"""),"Pháp luật về quyền tác giả đối với sản phẩm có sử dụng trí tuệ nhân tạo - Thực trạng, thực tiễn thực hiện và kiến nghị hoàn thiện")</f>
        <v>Pháp luật về quyền tác giả đối với sản phẩm có sử dụng trí tuệ nhân tạo - Thực trạng, thực tiễn thực hiện và kiến nghị hoàn thiện</v>
      </c>
      <c r="D96" s="4" t="str">
        <f>IFERROR(__xludf.DUMMYFUNCTION("""COMPUTED_VALUE"""),"Trần Thu Huyền")</f>
        <v>Trần Thu Huyền</v>
      </c>
      <c r="E96" s="4" t="str">
        <f>IFERROR(__xludf.DUMMYFUNCTION("""COMPUTED_VALUE"""),"Học viện Phụ nữ Việt Nam")</f>
        <v>Học viện Phụ nữ Việt Nam</v>
      </c>
      <c r="F96" s="4" t="str">
        <f>IFERROR(__xludf.DUMMYFUNCTION("""COMPUTED_VALUE"""),"HCPL2026-095.png")</f>
        <v>HCPL2026-095.png</v>
      </c>
    </row>
    <row r="97">
      <c r="A97" s="4" t="str">
        <f>IFERROR(__xludf.DUMMYFUNCTION("""COMPUTED_VALUE"""),"HCPL2026-096")</f>
        <v>HCPL2026-096</v>
      </c>
      <c r="B97" s="4" t="str">
        <f>IFERROR(__xludf.DUMMYFUNCTION("""COMPUTED_VALUE"""),"Hành chính pháp lý")</f>
        <v>Hành chính pháp lý</v>
      </c>
      <c r="C97" s="4" t="str">
        <f>IFERROR(__xludf.DUMMYFUNCTION("""COMPUTED_VALUE"""),"Hoàn thiện pháp luật thuế giá trị gia tăng đối với hoạt động kinh doanh thương mại điện tử ở Việt Nam hiện nay")</f>
        <v>Hoàn thiện pháp luật thuế giá trị gia tăng đối với hoạt động kinh doanh thương mại điện tử ở Việt Nam hiện nay</v>
      </c>
      <c r="D97" s="4" t="str">
        <f>IFERROR(__xludf.DUMMYFUNCTION("""COMPUTED_VALUE"""),"Vi Thị Hoàng Anh; Bùi Việt Anh; Trần Linh Chi ; Nguyễn Hoàng Luân")</f>
        <v>Vi Thị Hoàng Anh; Bùi Việt Anh; Trần Linh Chi ; Nguyễn Hoàng Luân</v>
      </c>
      <c r="E97" s="4" t="str">
        <f>IFERROR(__xludf.DUMMYFUNCTION("""COMPUTED_VALUE"""),"Trường Đại học Kiểm sát")</f>
        <v>Trường Đại học Kiểm sát</v>
      </c>
      <c r="F97" s="4" t="str">
        <f>IFERROR(__xludf.DUMMYFUNCTION("""COMPUTED_VALUE"""),"HCPL2026-096.png")</f>
        <v>HCPL2026-096.png</v>
      </c>
    </row>
    <row r="98">
      <c r="A98" s="4" t="str">
        <f>IFERROR(__xludf.DUMMYFUNCTION("""COMPUTED_VALUE"""),"HCPL2026-097")</f>
        <v>HCPL2026-097</v>
      </c>
      <c r="B98" s="4" t="str">
        <f>IFERROR(__xludf.DUMMYFUNCTION("""COMPUTED_VALUE"""),"Hành chính pháp lý")</f>
        <v>Hành chính pháp lý</v>
      </c>
      <c r="C98" s="4" t="str">
        <f>IFERROR(__xludf.DUMMYFUNCTION("""COMPUTED_VALUE"""),"MÔ HÌNH TRUNG TÂM TRỌNG TÀI QUỐC TẾ TRONG TRUNG TÂM TÀI CHÍNH QUỐC TẾ: KINH NGHIỆM QUỐC TẾ VÀ KIẾN NGHỊ CHO VIỆT NAM")</f>
        <v>MÔ HÌNH TRUNG TÂM TRỌNG TÀI QUỐC TẾ TRONG TRUNG TÂM TÀI CHÍNH QUỐC TẾ: KINH NGHIỆM QUỐC TẾ VÀ KIẾN NGHỊ CHO VIỆT NAM</v>
      </c>
      <c r="D98" s="4" t="str">
        <f>IFERROR(__xludf.DUMMYFUNCTION("""COMPUTED_VALUE"""),"Nguyễn Khánh Tuyền; Nguyễn Xuân Thu; Nguyễn Thùy Linh; Doãn Mai Gia Khánh")</f>
        <v>Nguyễn Khánh Tuyền; Nguyễn Xuân Thu; Nguyễn Thùy Linh; Doãn Mai Gia Khánh</v>
      </c>
      <c r="E98" s="4" t="str">
        <f>IFERROR(__xludf.DUMMYFUNCTION("""COMPUTED_VALUE"""),"Trường Đại học Kinh tế- Luật, ĐHQG-HCM")</f>
        <v>Trường Đại học Kinh tế- Luật, ĐHQG-HCM</v>
      </c>
      <c r="F98" s="4" t="str">
        <f>IFERROR(__xludf.DUMMYFUNCTION("""COMPUTED_VALUE"""),"HCPL2026-097.png")</f>
        <v>HCPL2026-097.png</v>
      </c>
    </row>
    <row r="99">
      <c r="A99" s="4" t="str">
        <f>IFERROR(__xludf.DUMMYFUNCTION("""COMPUTED_VALUE"""),"HCPL2026-098")</f>
        <v>HCPL2026-098</v>
      </c>
      <c r="B99" s="4" t="str">
        <f>IFERROR(__xludf.DUMMYFUNCTION("""COMPUTED_VALUE"""),"Hành chính pháp lý")</f>
        <v>Hành chính pháp lý</v>
      </c>
      <c r="C99" s="4" t="str">
        <f>IFERROR(__xludf.DUMMYFUNCTION("""COMPUTED_VALUE"""),"Pháp luật điều chỉnh dịch vụ tư vấn tự động (Robo-advisor) trong lĩnh vực chứng khoán tại Việt Nam.")</f>
        <v>Pháp luật điều chỉnh dịch vụ tư vấn tự động (Robo-advisor) trong lĩnh vực chứng khoán tại Việt Nam.</v>
      </c>
      <c r="D99" s="4" t="str">
        <f>IFERROR(__xludf.DUMMYFUNCTION("""COMPUTED_VALUE"""),"Thân Từ Yến Như; Nguyễn Ngọc Thành; Nguyễn Thị Ngọc Quỳnh; Trần Thị Mai Hương")</f>
        <v>Thân Từ Yến Như; Nguyễn Ngọc Thành; Nguyễn Thị Ngọc Quỳnh; Trần Thị Mai Hương</v>
      </c>
      <c r="E99" s="4" t="str">
        <f>IFERROR(__xludf.DUMMYFUNCTION("""COMPUTED_VALUE"""),"Trường Đại học Kinh tế- Luật, ĐHQG-HCM")</f>
        <v>Trường Đại học Kinh tế- Luật, ĐHQG-HCM</v>
      </c>
      <c r="F99" s="4" t="str">
        <f>IFERROR(__xludf.DUMMYFUNCTION("""COMPUTED_VALUE"""),"HCPL2026-098.png")</f>
        <v>HCPL2026-098.png</v>
      </c>
    </row>
    <row r="100">
      <c r="A100" s="4" t="str">
        <f>IFERROR(__xludf.DUMMYFUNCTION("""COMPUTED_VALUE"""),"HCPL2026-099")</f>
        <v>HCPL2026-099</v>
      </c>
      <c r="B100" s="4" t="str">
        <f>IFERROR(__xludf.DUMMYFUNCTION("""COMPUTED_VALUE"""),"Hành chính pháp lý")</f>
        <v>Hành chính pháp lý</v>
      </c>
      <c r="C100" s="4" t="str">
        <f>IFERROR(__xludf.DUMMYFUNCTION("""COMPUTED_VALUE"""),"Mô hình quỹ sáng chế - Kinh nghiệm của các nước Đông Á và bài học cho Việt Nam.")</f>
        <v>Mô hình quỹ sáng chế - Kinh nghiệm của các nước Đông Á và bài học cho Việt Nam.</v>
      </c>
      <c r="D100" s="4" t="str">
        <f>IFERROR(__xludf.DUMMYFUNCTION("""COMPUTED_VALUE"""),"Phan Nhật Mỹ; Tạ Nguyễn Phúc Khang; Thái Đào Bảo An; Trần Ngọc Liên")</f>
        <v>Phan Nhật Mỹ; Tạ Nguyễn Phúc Khang; Thái Đào Bảo An; Trần Ngọc Liên</v>
      </c>
      <c r="E100" s="4" t="str">
        <f>IFERROR(__xludf.DUMMYFUNCTION("""COMPUTED_VALUE"""),"Trường Đại học Kinh tế- Luật, ĐHQG-HCM")</f>
        <v>Trường Đại học Kinh tế- Luật, ĐHQG-HCM</v>
      </c>
      <c r="F100" s="4" t="str">
        <f>IFERROR(__xludf.DUMMYFUNCTION("""COMPUTED_VALUE"""),"HCPL2026-099.png")</f>
        <v>HCPL2026-099.png</v>
      </c>
    </row>
    <row r="101">
      <c r="A101" s="4" t="str">
        <f>IFERROR(__xludf.DUMMYFUNCTION("""COMPUTED_VALUE"""),"HCPL2026-100")</f>
        <v>HCPL2026-100</v>
      </c>
      <c r="B101" s="4" t="str">
        <f>IFERROR(__xludf.DUMMYFUNCTION("""COMPUTED_VALUE"""),"Hành chính pháp lý")</f>
        <v>Hành chính pháp lý</v>
      </c>
      <c r="C101" s="4" t="str">
        <f>IFERROR(__xludf.DUMMYFUNCTION("""COMPUTED_VALUE"""),"Pháp luật về kiểm soát hành vi “CSR-Washing” - Kinh nghiệm từ các quốc gia trên thế giới và kiến nghị giải pháp cho Việt Nam")</f>
        <v>Pháp luật về kiểm soát hành vi “CSR-Washing” - Kinh nghiệm từ các quốc gia trên thế giới và kiến nghị giải pháp cho Việt Nam</v>
      </c>
      <c r="D101" s="4" t="str">
        <f>IFERROR(__xludf.DUMMYFUNCTION("""COMPUTED_VALUE"""),"Võ Lê Bảo Trâm; Võ Thùy Trâm; Lê Thị Hải Yến; Võ Thị Thu Hương")</f>
        <v>Võ Lê Bảo Trâm; Võ Thùy Trâm; Lê Thị Hải Yến; Võ Thị Thu Hương</v>
      </c>
      <c r="E101" s="4" t="str">
        <f>IFERROR(__xludf.DUMMYFUNCTION("""COMPUTED_VALUE"""),"Trường Đại học Kinh tế- Luật, ĐHQG-HCM")</f>
        <v>Trường Đại học Kinh tế- Luật, ĐHQG-HCM</v>
      </c>
      <c r="F101" s="4" t="str">
        <f>IFERROR(__xludf.DUMMYFUNCTION("""COMPUTED_VALUE"""),"HCPL2026-100.png")</f>
        <v>HCPL2026-100.png</v>
      </c>
    </row>
    <row r="102">
      <c r="A102" s="4" t="str">
        <f>IFERROR(__xludf.DUMMYFUNCTION("""COMPUTED_VALUE"""),"HCPL2026-101")</f>
        <v>HCPL2026-101</v>
      </c>
      <c r="B102" s="4" t="str">
        <f>IFERROR(__xludf.DUMMYFUNCTION("""COMPUTED_VALUE"""),"Hành chính pháp lý")</f>
        <v>Hành chính pháp lý</v>
      </c>
      <c r="C102" s="4" t="str">
        <f>IFERROR(__xludf.DUMMYFUNCTION("""COMPUTED_VALUE"""),"KHUNG PHÁP LÝ VỀ ƯU ĐÃI THUẾ THU NHẬP DOANH NGHIỆP ĐỐI VỚI DOANH NGHIỆP TRONG LĨNH VỰC TRÍ TUỆ NHÂN TẠO TẠI VIỆT NAM: THỰC TRẠNG VÀ GIẢI PHÁP HOÀN THIỆN")</f>
        <v>KHUNG PHÁP LÝ VỀ ƯU ĐÃI THUẾ THU NHẬP DOANH NGHIỆP ĐỐI VỚI DOANH NGHIỆP TRONG LĨNH VỰC TRÍ TUỆ NHÂN TẠO TẠI VIỆT NAM: THỰC TRẠNG VÀ GIẢI PHÁP HOÀN THIỆN</v>
      </c>
      <c r="D102" s="4" t="str">
        <f>IFERROR(__xludf.DUMMYFUNCTION("""COMPUTED_VALUE"""),"Trần Bảo Hân; Bùi Trúc Ly")</f>
        <v>Trần Bảo Hân; Bùi Trúc Ly</v>
      </c>
      <c r="E102" s="4" t="str">
        <f>IFERROR(__xludf.DUMMYFUNCTION("""COMPUTED_VALUE"""),"Trường Đại học Kinh tế- Luật, ĐHQG-HCM")</f>
        <v>Trường Đại học Kinh tế- Luật, ĐHQG-HCM</v>
      </c>
      <c r="F102" s="4" t="str">
        <f>IFERROR(__xludf.DUMMYFUNCTION("""COMPUTED_VALUE"""),"HCPL2026-101.png")</f>
        <v>HCPL2026-101.png</v>
      </c>
    </row>
    <row r="103">
      <c r="A103" s="4" t="str">
        <f>IFERROR(__xludf.DUMMYFUNCTION("""COMPUTED_VALUE"""),"HCPL2026-102")</f>
        <v>HCPL2026-102</v>
      </c>
      <c r="B103" s="4" t="str">
        <f>IFERROR(__xludf.DUMMYFUNCTION("""COMPUTED_VALUE"""),"Hành chính pháp lý")</f>
        <v>Hành chính pháp lý</v>
      </c>
      <c r="C103" s="4" t="str">
        <f>IFERROR(__xludf.DUMMYFUNCTION("""COMPUTED_VALUE"""),"Thỏa thuận bồi thường thiệt hại ước tính trong hợp đồng thương mại: Kinh nghiệm một số quốc gia và gợi mở cho pháp luật Việt Nam.")</f>
        <v>Thỏa thuận bồi thường thiệt hại ước tính trong hợp đồng thương mại: Kinh nghiệm một số quốc gia và gợi mở cho pháp luật Việt Nam.</v>
      </c>
      <c r="D103" s="4" t="str">
        <f>IFERROR(__xludf.DUMMYFUNCTION("""COMPUTED_VALUE"""),"Trần Đoàn Khánh Y; Phan Phùng Minh")</f>
        <v>Trần Đoàn Khánh Y; Phan Phùng Minh</v>
      </c>
      <c r="E103" s="4" t="str">
        <f>IFERROR(__xludf.DUMMYFUNCTION("""COMPUTED_VALUE"""),"Trường Đại học Kinh tế- Luật, ĐHQG-HCM")</f>
        <v>Trường Đại học Kinh tế- Luật, ĐHQG-HCM</v>
      </c>
      <c r="F103" s="4" t="str">
        <f>IFERROR(__xludf.DUMMYFUNCTION("""COMPUTED_VALUE"""),"HCPL2026-102.png")</f>
        <v>HCPL2026-102.png</v>
      </c>
    </row>
    <row r="104">
      <c r="A104" s="4" t="str">
        <f>IFERROR(__xludf.DUMMYFUNCTION("""COMPUTED_VALUE"""),"HCPL2026-103")</f>
        <v>HCPL2026-103</v>
      </c>
      <c r="B104" s="4" t="str">
        <f>IFERROR(__xludf.DUMMYFUNCTION("""COMPUTED_VALUE"""),"Hành chính pháp lý")</f>
        <v>Hành chính pháp lý</v>
      </c>
      <c r="C104" s="4" t="str">
        <f>IFERROR(__xludf.DUMMYFUNCTION("""COMPUTED_VALUE"""),"Pháp luật về kiểm soát thỏa thuận hạn chế cạnh tranh thông qua thuật toán - Kinh nghiệm quốc tế và bài học cho Việt Nam")</f>
        <v>Pháp luật về kiểm soát thỏa thuận hạn chế cạnh tranh thông qua thuật toán - Kinh nghiệm quốc tế và bài học cho Việt Nam</v>
      </c>
      <c r="D104" s="4" t="str">
        <f>IFERROR(__xludf.DUMMYFUNCTION("""COMPUTED_VALUE"""),"Nguyễn Hồng Ngọc; Ngô Nguyễn Cẩm Hương; Đỗ Thị Kiều Nhi")</f>
        <v>Nguyễn Hồng Ngọc; Ngô Nguyễn Cẩm Hương; Đỗ Thị Kiều Nhi</v>
      </c>
      <c r="E104" s="4" t="str">
        <f>IFERROR(__xludf.DUMMYFUNCTION("""COMPUTED_VALUE"""),"Trường Đại học Kinh tế, Đại học Đà Nẵng")</f>
        <v>Trường Đại học Kinh tế, Đại học Đà Nẵng</v>
      </c>
      <c r="F104" s="4" t="str">
        <f>IFERROR(__xludf.DUMMYFUNCTION("""COMPUTED_VALUE"""),"HCPL2026-103.png")</f>
        <v>HCPL2026-103.png</v>
      </c>
    </row>
    <row r="105">
      <c r="A105" s="4" t="str">
        <f>IFERROR(__xludf.DUMMYFUNCTION("""COMPUTED_VALUE"""),"HCPL2026-104")</f>
        <v>HCPL2026-104</v>
      </c>
      <c r="B105" s="4" t="str">
        <f>IFERROR(__xludf.DUMMYFUNCTION("""COMPUTED_VALUE"""),"Hành chính pháp lý")</f>
        <v>Hành chính pháp lý</v>
      </c>
      <c r="C105" s="4" t="str">
        <f>IFERROR(__xludf.DUMMYFUNCTION("""COMPUTED_VALUE"""),"Cơ chế pháp lý về công khai thông tin môi trường của doanh nghiệp trong chuỗi cung ứng xanh: So sánh pháp luật Việt Nam và Pháp")</f>
        <v>Cơ chế pháp lý về công khai thông tin môi trường của doanh nghiệp trong chuỗi cung ứng xanh: So sánh pháp luật Việt Nam và Pháp</v>
      </c>
      <c r="D105" s="4" t="str">
        <f>IFERROR(__xludf.DUMMYFUNCTION("""COMPUTED_VALUE"""),"Trần Ngọc Anh Thư; Nguyễn Ngọc Bảo Hân; Nguyễn Thanh Ngân")</f>
        <v>Trần Ngọc Anh Thư; Nguyễn Ngọc Bảo Hân; Nguyễn Thanh Ngân</v>
      </c>
      <c r="E105" s="4" t="str">
        <f>IFERROR(__xludf.DUMMYFUNCTION("""COMPUTED_VALUE"""),"Trường Đại học Kinh tế- Luật, ĐHQG-HCM")</f>
        <v>Trường Đại học Kinh tế- Luật, ĐHQG-HCM</v>
      </c>
      <c r="F105" s="4" t="str">
        <f>IFERROR(__xludf.DUMMYFUNCTION("""COMPUTED_VALUE"""),"HCPL2026-104.png")</f>
        <v>HCPL2026-104.png</v>
      </c>
    </row>
    <row r="106">
      <c r="A106" s="4" t="str">
        <f>IFERROR(__xludf.DUMMYFUNCTION("""COMPUTED_VALUE"""),"HCPL2026-105")</f>
        <v>HCPL2026-105</v>
      </c>
      <c r="B106" s="4" t="str">
        <f>IFERROR(__xludf.DUMMYFUNCTION("""COMPUTED_VALUE"""),"Hành chính pháp lý")</f>
        <v>Hành chính pháp lý</v>
      </c>
      <c r="C106" s="4" t="str">
        <f>IFERROR(__xludf.DUMMYFUNCTION("""COMPUTED_VALUE"""),"Hoàn thiện pháp luật về cơ chế đánh giá độc lập Trái phiếu Xanh: Kinh nghiệm quốc tế và bài học cho Việt Nam")</f>
        <v>Hoàn thiện pháp luật về cơ chế đánh giá độc lập Trái phiếu Xanh: Kinh nghiệm quốc tế và bài học cho Việt Nam</v>
      </c>
      <c r="D106" s="4" t="str">
        <f>IFERROR(__xludf.DUMMYFUNCTION("""COMPUTED_VALUE"""),"Lưu Thanh Vy; Trần Vũ Trọng Hiếu; Võ Đặng Khánh Thy; Trịnh Gia Hân; Đặng Vĩnh Trường")</f>
        <v>Lưu Thanh Vy; Trần Vũ Trọng Hiếu; Võ Đặng Khánh Thy; Trịnh Gia Hân; Đặng Vĩnh Trường</v>
      </c>
      <c r="E106" s="4" t="str">
        <f>IFERROR(__xludf.DUMMYFUNCTION("""COMPUTED_VALUE"""),"Trường Đại học Kinh tế- Luật, ĐHQG-HCM")</f>
        <v>Trường Đại học Kinh tế- Luật, ĐHQG-HCM</v>
      </c>
      <c r="F106" s="4" t="str">
        <f>IFERROR(__xludf.DUMMYFUNCTION("""COMPUTED_VALUE"""),"HCPL2026-105.png")</f>
        <v>HCPL2026-105.png</v>
      </c>
    </row>
    <row r="107">
      <c r="A107" s="4" t="str">
        <f>IFERROR(__xludf.DUMMYFUNCTION("""COMPUTED_VALUE"""),"HCPL2026-106")</f>
        <v>HCPL2026-106</v>
      </c>
      <c r="B107" s="4" t="str">
        <f>IFERROR(__xludf.DUMMYFUNCTION("""COMPUTED_VALUE"""),"Hành chính pháp lý")</f>
        <v>Hành chính pháp lý</v>
      </c>
      <c r="C107" s="4" t="str">
        <f>IFERROR(__xludf.DUMMYFUNCTION("""COMPUTED_VALUE"""),"BẢO VỆ SINH VIÊN THỰC TẬP BẮT BUỘC TRONG QUAN HỆ NHÀ TRƯỜNG - DOANH NGHIỆP: KHOẢNG TRỐNG PHÁP LUẬT VIỆT NAM VÀ CƠ CHẾ TRÁCH NHIỆM BA BÊN")</f>
        <v>BẢO VỆ SINH VIÊN THỰC TẬP BẮT BUỘC TRONG QUAN HỆ NHÀ TRƯỜNG - DOANH NGHIỆP: KHOẢNG TRỐNG PHÁP LUẬT VIỆT NAM VÀ CƠ CHẾ TRÁCH NHIỆM BA BÊN</v>
      </c>
      <c r="D107" s="4" t="str">
        <f>IFERROR(__xludf.DUMMYFUNCTION("""COMPUTED_VALUE"""),"Lê Văn Quân; Lê Minh Tình; Nguyễn Thị Thùy Tiên; Hồ Ngọc Hà")</f>
        <v>Lê Văn Quân; Lê Minh Tình; Nguyễn Thị Thùy Tiên; Hồ Ngọc Hà</v>
      </c>
      <c r="E107" s="4" t="str">
        <f>IFERROR(__xludf.DUMMYFUNCTION("""COMPUTED_VALUE"""),"Trường Đại học Kinh tế TPHCM")</f>
        <v>Trường Đại học Kinh tế TPHCM</v>
      </c>
      <c r="F107" s="4" t="str">
        <f>IFERROR(__xludf.DUMMYFUNCTION("""COMPUTED_VALUE"""),"HCPL2026-106.png")</f>
        <v>HCPL2026-106.png</v>
      </c>
    </row>
    <row r="108">
      <c r="A108" s="4" t="str">
        <f>IFERROR(__xludf.DUMMYFUNCTION("""COMPUTED_VALUE"""),"HCPL2026-107")</f>
        <v>HCPL2026-107</v>
      </c>
      <c r="B108" s="4" t="str">
        <f>IFERROR(__xludf.DUMMYFUNCTION("""COMPUTED_VALUE"""),"Hành chính pháp lý")</f>
        <v>Hành chính pháp lý</v>
      </c>
      <c r="C108" s="4" t="str">
        <f>IFERROR(__xludf.DUMMYFUNCTION("""COMPUTED_VALUE"""),"HÀI HOÀ HOÁ QUYỀN SỬA CHỮA VÀ QUYỀN SỞ HỮU TRÍ TUỆ ĐỐI VỚI SẢN PHẨM CÔNG NGHỆ: KINH NGHIỆM QUỐC TẾ VÀ ĐỊNH HƯỚNG HOÀN THIỆN PHÁP LUẬT VIỆT NAM")</f>
        <v>HÀI HOÀ HOÁ QUYỀN SỬA CHỮA VÀ QUYỀN SỞ HỮU TRÍ TUỆ ĐỐI VỚI SẢN PHẨM CÔNG NGHỆ: KINH NGHIỆM QUỐC TẾ VÀ ĐỊNH HƯỚNG HOÀN THIỆN PHÁP LUẬT VIỆT NAM</v>
      </c>
      <c r="D108" s="4" t="str">
        <f>IFERROR(__xludf.DUMMYFUNCTION("""COMPUTED_VALUE"""),"Nguyễn Trung Tín; Lê Minh Tình")</f>
        <v>Nguyễn Trung Tín; Lê Minh Tình</v>
      </c>
      <c r="E108" s="4" t="str">
        <f>IFERROR(__xludf.DUMMYFUNCTION("""COMPUTED_VALUE"""),"Trường Đại học Kinh tế TPHCM")</f>
        <v>Trường Đại học Kinh tế TPHCM</v>
      </c>
      <c r="F108" s="4" t="str">
        <f>IFERROR(__xludf.DUMMYFUNCTION("""COMPUTED_VALUE"""),"HCPL2026-107.png")</f>
        <v>HCPL2026-107.png</v>
      </c>
    </row>
    <row r="109">
      <c r="A109" s="4" t="str">
        <f>IFERROR(__xludf.DUMMYFUNCTION("""COMPUTED_VALUE"""),"HCPL2026-108")</f>
        <v>HCPL2026-108</v>
      </c>
      <c r="B109" s="4" t="str">
        <f>IFERROR(__xludf.DUMMYFUNCTION("""COMPUTED_VALUE"""),"Hành chính pháp lý")</f>
        <v>Hành chính pháp lý</v>
      </c>
      <c r="C109" s="4" t="str">
        <f>IFERROR(__xludf.DUMMYFUNCTION("""COMPUTED_VALUE"""),"ĐIỀU CHỈNH MÔ THỨC THIẾT KẾ THAO TÚNG (DARK PATTERNS) TRONG MÔI TRƯỜNG SỐ TẠI VIỆT NAM: NGHIÊN CỨU THỰC CHỨNG VÀ HOÀN THIỆN KHUNG TRÁCH NHIỆM PHÁP LÝ")</f>
        <v>ĐIỀU CHỈNH MÔ THỨC THIẾT KẾ THAO TÚNG (DARK PATTERNS) TRONG MÔI TRƯỜNG SỐ TẠI VIỆT NAM: NGHIÊN CỨU THỰC CHỨNG VÀ HOÀN THIỆN KHUNG TRÁCH NHIỆM PHÁP LÝ</v>
      </c>
      <c r="D109" s="4" t="str">
        <f>IFERROR(__xludf.DUMMYFUNCTION("""COMPUTED_VALUE"""),"Phạm Hồng Hiển; Phạm Đinh Thanh Huyền; Hoàng Thị Ngọc Trân; Lâm Bảo Nhi")</f>
        <v>Phạm Hồng Hiển; Phạm Đinh Thanh Huyền; Hoàng Thị Ngọc Trân; Lâm Bảo Nhi</v>
      </c>
      <c r="E109" s="4" t="str">
        <f>IFERROR(__xludf.DUMMYFUNCTION("""COMPUTED_VALUE"""),"Trường Đại học Kinh tế TPHCM")</f>
        <v>Trường Đại học Kinh tế TPHCM</v>
      </c>
      <c r="F109" s="4" t="str">
        <f>IFERROR(__xludf.DUMMYFUNCTION("""COMPUTED_VALUE"""),"HCPL2026-108.png")</f>
        <v>HCPL2026-108.png</v>
      </c>
    </row>
    <row r="110">
      <c r="A110" s="4" t="str">
        <f>IFERROR(__xludf.DUMMYFUNCTION("""COMPUTED_VALUE"""),"HCPL2026-109")</f>
        <v>HCPL2026-109</v>
      </c>
      <c r="B110" s="4" t="str">
        <f>IFERROR(__xludf.DUMMYFUNCTION("""COMPUTED_VALUE"""),"Hành chính pháp lý")</f>
        <v>Hành chính pháp lý</v>
      </c>
      <c r="C110" s="4" t="str">
        <f>IFERROR(__xludf.DUMMYFUNCTION("""COMPUTED_VALUE"""),"Pháp luật một số quốc gia về ứng dụng trí tuệ nhân tạo trong giải quyết tranh chấp thương mại tại Toà án và kinh nghiệm cho Việt Nam")</f>
        <v>Pháp luật một số quốc gia về ứng dụng trí tuệ nhân tạo trong giải quyết tranh chấp thương mại tại Toà án và kinh nghiệm cho Việt Nam</v>
      </c>
      <c r="D110" s="4" t="str">
        <f>IFERROR(__xludf.DUMMYFUNCTION("""COMPUTED_VALUE"""),"Trịnh Phúc Hiếu; Đỗ Ngọc Quỳnh Anh; Nguyễn Quang Huy")</f>
        <v>Trịnh Phúc Hiếu; Đỗ Ngọc Quỳnh Anh; Nguyễn Quang Huy</v>
      </c>
      <c r="E110" s="4" t="str">
        <f>IFERROR(__xludf.DUMMYFUNCTION("""COMPUTED_VALUE"""),"Trường Đại học Luật Hà Nội")</f>
        <v>Trường Đại học Luật Hà Nội</v>
      </c>
      <c r="F110" s="4" t="str">
        <f>IFERROR(__xludf.DUMMYFUNCTION("""COMPUTED_VALUE"""),"HCPL2026-109.png")</f>
        <v>HCPL2026-109.png</v>
      </c>
    </row>
    <row r="111">
      <c r="A111" s="4" t="str">
        <f>IFERROR(__xludf.DUMMYFUNCTION("""COMPUTED_VALUE"""),"HCPL2026-110")</f>
        <v>HCPL2026-110</v>
      </c>
      <c r="B111" s="4" t="str">
        <f>IFERROR(__xludf.DUMMYFUNCTION("""COMPUTED_VALUE"""),"Hành chính pháp lý")</f>
        <v>Hành chính pháp lý</v>
      </c>
      <c r="C111" s="4" t="str">
        <f>IFERROR(__xludf.DUMMYFUNCTION("""COMPUTED_VALUE"""),"Bảo đảm quyền lợi của người lao động “làm thêm giờ vô hình” trong doanh nghiệp Việt Nam")</f>
        <v>Bảo đảm quyền lợi của người lao động “làm thêm giờ vô hình” trong doanh nghiệp Việt Nam</v>
      </c>
      <c r="D111" s="4" t="str">
        <f>IFERROR(__xludf.DUMMYFUNCTION("""COMPUTED_VALUE"""),"Phan Đức Quang; Nguyễn Thị Mai Sương; Nguyễn Thuỵ Ngọc Hiền")</f>
        <v>Phan Đức Quang; Nguyễn Thị Mai Sương; Nguyễn Thuỵ Ngọc Hiền</v>
      </c>
      <c r="E111" s="4" t="str">
        <f>IFERROR(__xludf.DUMMYFUNCTION("""COMPUTED_VALUE"""),"Học viện Toà án")</f>
        <v>Học viện Toà án</v>
      </c>
      <c r="F111" s="4" t="str">
        <f>IFERROR(__xludf.DUMMYFUNCTION("""COMPUTED_VALUE"""),"HCPL2026-110.png")</f>
        <v>HCPL2026-110.png</v>
      </c>
    </row>
    <row r="112">
      <c r="A112" s="4" t="str">
        <f>IFERROR(__xludf.DUMMYFUNCTION("""COMPUTED_VALUE"""),"HCPL2026-111")</f>
        <v>HCPL2026-111</v>
      </c>
      <c r="B112" s="4" t="str">
        <f>IFERROR(__xludf.DUMMYFUNCTION("""COMPUTED_VALUE"""),"Hành chính pháp lý")</f>
        <v>Hành chính pháp lý</v>
      </c>
      <c r="C112" s="4" t="str">
        <f>IFERROR(__xludf.DUMMYFUNCTION("""COMPUTED_VALUE"""),"Trách nhiệm thanh toán nợ của doanh nghiệp đối với hàng hoá, dịch vụ trong hoạt động thương mại theo pháp luật Việt Nam")</f>
        <v>Trách nhiệm thanh toán nợ của doanh nghiệp đối với hàng hoá, dịch vụ trong hoạt động thương mại theo pháp luật Việt Nam</v>
      </c>
      <c r="D112" s="4" t="str">
        <f>IFERROR(__xludf.DUMMYFUNCTION("""COMPUTED_VALUE"""),"Nguyễn Ngọc Quỳnh Như; Phan Ngọc Như Quỳnh")</f>
        <v>Nguyễn Ngọc Quỳnh Như; Phan Ngọc Như Quỳnh</v>
      </c>
      <c r="E112" s="4" t="str">
        <f>IFERROR(__xludf.DUMMYFUNCTION("""COMPUTED_VALUE"""),"Trường Đại học Công thương TPHCM")</f>
        <v>Trường Đại học Công thương TPHCM</v>
      </c>
      <c r="F112" s="4" t="str">
        <f>IFERROR(__xludf.DUMMYFUNCTION("""COMPUTED_VALUE"""),"HCPL2026-111.png")</f>
        <v>HCPL2026-111.png</v>
      </c>
    </row>
    <row r="113">
      <c r="A113" s="4" t="str">
        <f>IFERROR(__xludf.DUMMYFUNCTION("""COMPUTED_VALUE"""),"HCPL2026-112")</f>
        <v>HCPL2026-112</v>
      </c>
      <c r="B113" s="4" t="str">
        <f>IFERROR(__xludf.DUMMYFUNCTION("""COMPUTED_VALUE"""),"Hành chính pháp lý")</f>
        <v>Hành chính pháp lý</v>
      </c>
      <c r="C113" s="4" t="str">
        <f>IFERROR(__xludf.DUMMYFUNCTION("""COMPUTED_VALUE"""),"Bồi thường tai nạn lao động theo pháp luật Việt Nam")</f>
        <v>Bồi thường tai nạn lao động theo pháp luật Việt Nam</v>
      </c>
      <c r="D113" s="4" t="str">
        <f>IFERROR(__xludf.DUMMYFUNCTION("""COMPUTED_VALUE"""),"Ngô Đặng Gia An; Nguyễn Như Quỳnh; Nguyễn Vũ Phượng Hoàng; Nguyễn Thị Ngọc Hân; Nguyễn Lê Hoàng Thịnh")</f>
        <v>Ngô Đặng Gia An; Nguyễn Như Quỳnh; Nguyễn Vũ Phượng Hoàng; Nguyễn Thị Ngọc Hân; Nguyễn Lê Hoàng Thịnh</v>
      </c>
      <c r="E113" s="4" t="str">
        <f>IFERROR(__xludf.DUMMYFUNCTION("""COMPUTED_VALUE"""),"Trường Đại học Ngoại ngữ-Tin học TP.Hồ Chí Minh")</f>
        <v>Trường Đại học Ngoại ngữ-Tin học TP.Hồ Chí Minh</v>
      </c>
      <c r="F113" s="4" t="str">
        <f>IFERROR(__xludf.DUMMYFUNCTION("""COMPUTED_VALUE"""),"HCPL2026-112.png")</f>
        <v>HCPL2026-112.png</v>
      </c>
    </row>
    <row r="114">
      <c r="A114" s="4" t="str">
        <f>IFERROR(__xludf.DUMMYFUNCTION("""COMPUTED_VALUE"""),"HCPL2026-113")</f>
        <v>HCPL2026-113</v>
      </c>
      <c r="B114" s="4" t="str">
        <f>IFERROR(__xludf.DUMMYFUNCTION("""COMPUTED_VALUE"""),"Hành chính pháp lý")</f>
        <v>Hành chính pháp lý</v>
      </c>
      <c r="C114" s="4" t="str">
        <f>IFERROR(__xludf.DUMMYFUNCTION("""COMPUTED_VALUE"""),"Pháp luật về Thương mại điện tử xanh trong bối cảnh thúc đẩy Kinh tế tuần hoàn: Thực trạng và kiến nghị")</f>
        <v>Pháp luật về Thương mại điện tử xanh trong bối cảnh thúc đẩy Kinh tế tuần hoàn: Thực trạng và kiến nghị</v>
      </c>
      <c r="D114" s="4" t="str">
        <f>IFERROR(__xludf.DUMMYFUNCTION("""COMPUTED_VALUE"""),"Bùi Thị Bảo Ngọc; Trương Quế Mai")</f>
        <v>Bùi Thị Bảo Ngọc; Trương Quế Mai</v>
      </c>
      <c r="E114" s="4" t="str">
        <f>IFERROR(__xludf.DUMMYFUNCTION("""COMPUTED_VALUE"""),"Trường Đại học Lạc Hồng")</f>
        <v>Trường Đại học Lạc Hồng</v>
      </c>
      <c r="F114" s="4" t="str">
        <f>IFERROR(__xludf.DUMMYFUNCTION("""COMPUTED_VALUE"""),"HCPL2026-113.png")</f>
        <v>HCPL2026-113.png</v>
      </c>
    </row>
    <row r="115">
      <c r="A115" s="4" t="str">
        <f>IFERROR(__xludf.DUMMYFUNCTION("""COMPUTED_VALUE"""),"HCPL2026-114")</f>
        <v>HCPL2026-114</v>
      </c>
      <c r="B115" s="4" t="str">
        <f>IFERROR(__xludf.DUMMYFUNCTION("""COMPUTED_VALUE"""),"Hành chính pháp lý")</f>
        <v>Hành chính pháp lý</v>
      </c>
      <c r="C115" s="4" t="str">
        <f>IFERROR(__xludf.DUMMYFUNCTION("""COMPUTED_VALUE"""),"Pháp luật bảo vệ người tiêu dùng trong hoạt động livestream bán hàng tại Việt Nam")</f>
        <v>Pháp luật bảo vệ người tiêu dùng trong hoạt động livestream bán hàng tại Việt Nam</v>
      </c>
      <c r="D115" s="4" t="str">
        <f>IFERROR(__xludf.DUMMYFUNCTION("""COMPUTED_VALUE"""),"Nguyễn Thị Thanh Thảo; Mai Quỳnh Tố Trinh")</f>
        <v>Nguyễn Thị Thanh Thảo; Mai Quỳnh Tố Trinh</v>
      </c>
      <c r="E115" s="4" t="str">
        <f>IFERROR(__xludf.DUMMYFUNCTION("""COMPUTED_VALUE"""),"Trường Đại học Lạc Hồng")</f>
        <v>Trường Đại học Lạc Hồng</v>
      </c>
      <c r="F115" s="4" t="str">
        <f>IFERROR(__xludf.DUMMYFUNCTION("""COMPUTED_VALUE"""),"HCPL2026-114.png")</f>
        <v>HCPL2026-114.png</v>
      </c>
    </row>
    <row r="116">
      <c r="A116" s="4" t="str">
        <f>IFERROR(__xludf.DUMMYFUNCTION("""COMPUTED_VALUE"""),"HCPL2026-115")</f>
        <v>HCPL2026-115</v>
      </c>
      <c r="B116" s="4" t="str">
        <f>IFERROR(__xludf.DUMMYFUNCTION("""COMPUTED_VALUE"""),"Hành chính pháp lý")</f>
        <v>Hành chính pháp lý</v>
      </c>
      <c r="C116" s="4" t="str">
        <f>IFERROR(__xludf.DUMMYFUNCTION("""COMPUTED_VALUE"""),"Pháp luật về thị trường tài sản mã hóa - Kinh nghiệm trên thế giới và bài học cho Việt Nam")</f>
        <v>Pháp luật về thị trường tài sản mã hóa - Kinh nghiệm trên thế giới và bài học cho Việt Nam</v>
      </c>
      <c r="D116" s="4" t="str">
        <f>IFERROR(__xludf.DUMMYFUNCTION("""COMPUTED_VALUE"""),"Hoàng Ngọc Điệp; Trần Đức An")</f>
        <v>Hoàng Ngọc Điệp; Trần Đức An</v>
      </c>
      <c r="E116" s="4" t="str">
        <f>IFERROR(__xludf.DUMMYFUNCTION("""COMPUTED_VALUE"""),"Trường Đại học Ngoại thương")</f>
        <v>Trường Đại học Ngoại thương</v>
      </c>
      <c r="F116" s="4" t="str">
        <f>IFERROR(__xludf.DUMMYFUNCTION("""COMPUTED_VALUE"""),"HCPL2026-115.png")</f>
        <v>HCPL2026-115.png</v>
      </c>
    </row>
    <row r="117">
      <c r="A117" s="4" t="str">
        <f>IFERROR(__xludf.DUMMYFUNCTION("""COMPUTED_VALUE"""),"HCPL2026-116")</f>
        <v>HCPL2026-116</v>
      </c>
      <c r="B117" s="4" t="str">
        <f>IFERROR(__xludf.DUMMYFUNCTION("""COMPUTED_VALUE"""),"Hành chính pháp lý")</f>
        <v>Hành chính pháp lý</v>
      </c>
      <c r="C117" s="4" t="str">
        <f>IFERROR(__xludf.DUMMYFUNCTION("""COMPUTED_VALUE"""),"Tiền ảo Việt Nam - những hệ luỵ và định hướng hoàn thiện pháp luật ở Việt Nam hiện nay")</f>
        <v>Tiền ảo Việt Nam - những hệ luỵ và định hướng hoàn thiện pháp luật ở Việt Nam hiện nay</v>
      </c>
      <c r="D117" s="4" t="str">
        <f>IFERROR(__xludf.DUMMYFUNCTION("""COMPUTED_VALUE"""),"Trương Hương Giang")</f>
        <v>Trương Hương Giang</v>
      </c>
      <c r="E117" s="4" t="str">
        <f>IFERROR(__xludf.DUMMYFUNCTION("""COMPUTED_VALUE"""),"Trường Đại học Tài chính- Ngân hàng Hà Nội")</f>
        <v>Trường Đại học Tài chính- Ngân hàng Hà Nội</v>
      </c>
      <c r="F117" s="4" t="str">
        <f>IFERROR(__xludf.DUMMYFUNCTION("""COMPUTED_VALUE"""),"HCPL2026-116.png")</f>
        <v>HCPL2026-116.png</v>
      </c>
    </row>
    <row r="118">
      <c r="A118" s="4" t="str">
        <f>IFERROR(__xludf.DUMMYFUNCTION("""COMPUTED_VALUE"""),"HCPL2026-117")</f>
        <v>HCPL2026-117</v>
      </c>
      <c r="B118" s="4" t="str">
        <f>IFERROR(__xludf.DUMMYFUNCTION("""COMPUTED_VALUE"""),"Hành chính pháp lý")</f>
        <v>Hành chính pháp lý</v>
      </c>
      <c r="C118" s="4" t="str">
        <f>IFERROR(__xludf.DUMMYFUNCTION("""COMPUTED_VALUE"""),"Pháp luật điều chỉnh trợ cấp xanh trong thương mại quốc tế: Kinh nghiệm từ một số quốc gia và bài học cho Việt Nam")</f>
        <v>Pháp luật điều chỉnh trợ cấp xanh trong thương mại quốc tế: Kinh nghiệm từ một số quốc gia và bài học cho Việt Nam</v>
      </c>
      <c r="D118" s="4" t="str">
        <f>IFERROR(__xludf.DUMMYFUNCTION("""COMPUTED_VALUE"""),"Vũ Thị Cẩm Anh; Vũ Yến Nhi; Phạm Tiến Huy")</f>
        <v>Vũ Thị Cẩm Anh; Vũ Yến Nhi; Phạm Tiến Huy</v>
      </c>
      <c r="E118" s="4" t="str">
        <f>IFERROR(__xludf.DUMMYFUNCTION("""COMPUTED_VALUE"""),"Trường Đại học Ngoại thương")</f>
        <v>Trường Đại học Ngoại thương</v>
      </c>
      <c r="F118" s="4" t="str">
        <f>IFERROR(__xludf.DUMMYFUNCTION("""COMPUTED_VALUE"""),"HCPL2026-117.png")</f>
        <v>HCPL2026-117.png</v>
      </c>
    </row>
    <row r="119">
      <c r="A119" s="4" t="str">
        <f>IFERROR(__xludf.DUMMYFUNCTION("""COMPUTED_VALUE"""),"HCPL2026-118")</f>
        <v>HCPL2026-118</v>
      </c>
      <c r="B119" s="4" t="str">
        <f>IFERROR(__xludf.DUMMYFUNCTION("""COMPUTED_VALUE"""),"Hành chính pháp lý")</f>
        <v>Hành chính pháp lý</v>
      </c>
      <c r="C119" s="4" t="str">
        <f>IFERROR(__xludf.DUMMYFUNCTION("""COMPUTED_VALUE"""),"Đề xuất mở rộng phạm vi bảo hiểm tài sản đối với quyền tài sản trong pháp luật Việt Nam")</f>
        <v>Đề xuất mở rộng phạm vi bảo hiểm tài sản đối với quyền tài sản trong pháp luật Việt Nam</v>
      </c>
      <c r="D119" s="4" t="str">
        <f>IFERROR(__xludf.DUMMYFUNCTION("""COMPUTED_VALUE"""),"Huỳnh Như Hảo; Trần Lâm Chi Bảo; Ngô Minh Anh")</f>
        <v>Huỳnh Như Hảo; Trần Lâm Chi Bảo; Ngô Minh Anh</v>
      </c>
      <c r="E119" s="4" t="str">
        <f>IFERROR(__xludf.DUMMYFUNCTION("""COMPUTED_VALUE"""),"Trường Đại học Tài chính - Marketing")</f>
        <v>Trường Đại học Tài chính - Marketing</v>
      </c>
      <c r="F119" s="4" t="str">
        <f>IFERROR(__xludf.DUMMYFUNCTION("""COMPUTED_VALUE"""),"HCPL2026-118.png")</f>
        <v>HCPL2026-118.png</v>
      </c>
    </row>
    <row r="120">
      <c r="A120" s="4" t="str">
        <f>IFERROR(__xludf.DUMMYFUNCTION("""COMPUTED_VALUE"""),"HCPL2026-119")</f>
        <v>HCPL2026-119</v>
      </c>
      <c r="B120" s="4" t="str">
        <f>IFERROR(__xludf.DUMMYFUNCTION("""COMPUTED_VALUE"""),"Hành chính pháp lý")</f>
        <v>Hành chính pháp lý</v>
      </c>
      <c r="C120" s="4" t="str">
        <f>IFERROR(__xludf.DUMMYFUNCTION("""COMPUTED_VALUE"""),"Bảo Đảm Quyền Tiếp Cận Thông Tin Của Cổ Đông: So Sánh Pháp Luật Nước Ngoài Và Định Hướng Hoàn Thiện Pháp Luật Việt Nam")</f>
        <v>Bảo Đảm Quyền Tiếp Cận Thông Tin Của Cổ Đông: So Sánh Pháp Luật Nước Ngoài Và Định Hướng Hoàn Thiện Pháp Luật Việt Nam</v>
      </c>
      <c r="D120" s="4" t="str">
        <f>IFERROR(__xludf.DUMMYFUNCTION("""COMPUTED_VALUE"""),"Nguyễn Thị Thanh Thảo; Huỳnh Hoàng Thanh Hằng; Nguyễn Bảo Anh Khoa; Nguyễn Thành Thạo; Trần Trung Nhựt")</f>
        <v>Nguyễn Thị Thanh Thảo; Huỳnh Hoàng Thanh Hằng; Nguyễn Bảo Anh Khoa; Nguyễn Thành Thạo; Trần Trung Nhựt</v>
      </c>
      <c r="E120" s="4" t="str">
        <f>IFERROR(__xludf.DUMMYFUNCTION("""COMPUTED_VALUE"""),"Trường Đại học Hùng Vương TPHCM")</f>
        <v>Trường Đại học Hùng Vương TPHCM</v>
      </c>
      <c r="F120" s="4" t="str">
        <f>IFERROR(__xludf.DUMMYFUNCTION("""COMPUTED_VALUE"""),"HCPL2026-119.png")</f>
        <v>HCPL2026-119.png</v>
      </c>
    </row>
    <row r="121">
      <c r="A121" s="4" t="str">
        <f>IFERROR(__xludf.DUMMYFUNCTION("""COMPUTED_VALUE"""),"HCPL2026-120")</f>
        <v>HCPL2026-120</v>
      </c>
      <c r="B121" s="4" t="str">
        <f>IFERROR(__xludf.DUMMYFUNCTION("""COMPUTED_VALUE"""),"Hành chính pháp lý")</f>
        <v>Hành chính pháp lý</v>
      </c>
      <c r="C121" s="4" t="str">
        <f>IFERROR(__xludf.DUMMYFUNCTION("""COMPUTED_VALUE"""),"Pháp luật về ứng dụng trí tuệ nhân tạo trong quản trị rủi ro hoạt động ngân hàng: Kinh nghiệm quốc tế và khuyến nghị cho Việt Nam")</f>
        <v>Pháp luật về ứng dụng trí tuệ nhân tạo trong quản trị rủi ro hoạt động ngân hàng: Kinh nghiệm quốc tế và khuyến nghị cho Việt Nam</v>
      </c>
      <c r="D121" s="4" t="str">
        <f>IFERROR(__xludf.DUMMYFUNCTION("""COMPUTED_VALUE"""),"Trần Mỹ Phượng; Nguyễn Vũ Hà Phương; Nguyễn Xuân Nhi")</f>
        <v>Trần Mỹ Phượng; Nguyễn Vũ Hà Phương; Nguyễn Xuân Nhi</v>
      </c>
      <c r="E121" s="4" t="str">
        <f>IFERROR(__xludf.DUMMYFUNCTION("""COMPUTED_VALUE"""),"Trường Đại học Luật, ĐHQGHN")</f>
        <v>Trường Đại học Luật, ĐHQGHN</v>
      </c>
      <c r="F121" s="4" t="str">
        <f>IFERROR(__xludf.DUMMYFUNCTION("""COMPUTED_VALUE"""),"HCPL2026-120.png")</f>
        <v>HCPL2026-120.png</v>
      </c>
    </row>
    <row r="122">
      <c r="A122" s="4" t="str">
        <f>IFERROR(__xludf.DUMMYFUNCTION("""COMPUTED_VALUE"""),"HCPL2026-121")</f>
        <v>HCPL2026-121</v>
      </c>
      <c r="B122" s="4" t="str">
        <f>IFERROR(__xludf.DUMMYFUNCTION("""COMPUTED_VALUE"""),"Hành chính pháp lý")</f>
        <v>Hành chính pháp lý</v>
      </c>
      <c r="C122" s="4" t="str">
        <f>IFERROR(__xludf.DUMMYFUNCTION("""COMPUTED_VALUE"""),"Pháp luật về kiểm soát rủi ro tẩy xanh trong hoạt động cấp tín dụng xanh của ngân hàng thương mại: Kinh nghiệm quốc tế và bài học cho Việt Nam")</f>
        <v>Pháp luật về kiểm soát rủi ro tẩy xanh trong hoạt động cấp tín dụng xanh của ngân hàng thương mại: Kinh nghiệm quốc tế và bài học cho Việt Nam</v>
      </c>
      <c r="D122" s="4" t="str">
        <f>IFERROR(__xludf.DUMMYFUNCTION("""COMPUTED_VALUE"""),"Trần Đào Phương Uyên ; Nguyễn Lan Anh; Nguyễn Phương Dung; Nguyễn Bảo Châu")</f>
        <v>Trần Đào Phương Uyên ; Nguyễn Lan Anh; Nguyễn Phương Dung; Nguyễn Bảo Châu</v>
      </c>
      <c r="E122" s="4" t="str">
        <f>IFERROR(__xludf.DUMMYFUNCTION("""COMPUTED_VALUE"""),"Trường Đại học Luật, ĐHQGHN")</f>
        <v>Trường Đại học Luật, ĐHQGHN</v>
      </c>
      <c r="F122" s="4" t="str">
        <f>IFERROR(__xludf.DUMMYFUNCTION("""COMPUTED_VALUE"""),"HCPL2026-121.png")</f>
        <v>HCPL2026-121.png</v>
      </c>
    </row>
    <row r="123">
      <c r="A123" s="4" t="str">
        <f>IFERROR(__xludf.DUMMYFUNCTION("""COMPUTED_VALUE"""),"HCPL2026-122")</f>
        <v>HCPL2026-122</v>
      </c>
      <c r="B123" s="4" t="str">
        <f>IFERROR(__xludf.DUMMYFUNCTION("""COMPUTED_VALUE"""),"Hành chính pháp lý")</f>
        <v>Hành chính pháp lý</v>
      </c>
      <c r="C123" s="4" t="str">
        <f>IFERROR(__xludf.DUMMYFUNCTION("""COMPUTED_VALUE"""),"KHUNG PHÁP LÝ NHẰM ĐẢM BẢO VẬN HÀNH HIỆU QUẢ THỊ TRƯỜNG CARBON TẠI VIỆT NAM")</f>
        <v>KHUNG PHÁP LÝ NHẰM ĐẢM BẢO VẬN HÀNH HIỆU QUẢ THỊ TRƯỜNG CARBON TẠI VIỆT NAM</v>
      </c>
      <c r="D123" s="4" t="str">
        <f>IFERROR(__xludf.DUMMYFUNCTION("""COMPUTED_VALUE"""),"Nguyễn Thị Thùy Dung; Trần Quỳnh Anh; Hoàng Ngân Giang; Vũ Phan Bảo Ngân")</f>
        <v>Nguyễn Thị Thùy Dung; Trần Quỳnh Anh; Hoàng Ngân Giang; Vũ Phan Bảo Ngân</v>
      </c>
      <c r="E123" s="4" t="str">
        <f>IFERROR(__xludf.DUMMYFUNCTION("""COMPUTED_VALUE"""),"Trường Đại học Luật TPHCM")</f>
        <v>Trường Đại học Luật TPHCM</v>
      </c>
      <c r="F123" s="4" t="str">
        <f>IFERROR(__xludf.DUMMYFUNCTION("""COMPUTED_VALUE"""),"HCPL2026-122.png")</f>
        <v>HCPL2026-122.png</v>
      </c>
    </row>
    <row r="124">
      <c r="A124" s="4" t="str">
        <f>IFERROR(__xludf.DUMMYFUNCTION("""COMPUTED_VALUE"""),"HCPL2026-123")</f>
        <v>HCPL2026-123</v>
      </c>
      <c r="B124" s="4" t="str">
        <f>IFERROR(__xludf.DUMMYFUNCTION("""COMPUTED_VALUE"""),"Hành chính pháp lý")</f>
        <v>Hành chính pháp lý</v>
      </c>
      <c r="C124" s="4" t="str">
        <f>IFERROR(__xludf.DUMMYFUNCTION("""COMPUTED_VALUE"""),"THE LEGAL FRAMEWORK FOR ARBITRATION DISPUTE RESOLUTION MECHANISMS IN INTERNATIONAL FINANCIAL CENTERS: THE CASE OF DUBAI AND SINGAPORE AND RECOMMENDATIONS FOR VIETNAM")</f>
        <v>THE LEGAL FRAMEWORK FOR ARBITRATION DISPUTE RESOLUTION MECHANISMS IN INTERNATIONAL FINANCIAL CENTERS: THE CASE OF DUBAI AND SINGAPORE AND RECOMMENDATIONS FOR VIETNAM</v>
      </c>
      <c r="D124" s="4" t="str">
        <f>IFERROR(__xludf.DUMMYFUNCTION("""COMPUTED_VALUE"""),"Hoàng Quốc Khánh")</f>
        <v>Hoàng Quốc Khánh</v>
      </c>
      <c r="E124" s="4" t="str">
        <f>IFERROR(__xludf.DUMMYFUNCTION("""COMPUTED_VALUE"""),"Phân hiệu Trường Đại học Ngoại thương TPHCM")</f>
        <v>Phân hiệu Trường Đại học Ngoại thương TPHCM</v>
      </c>
      <c r="F124" s="4" t="str">
        <f>IFERROR(__xludf.DUMMYFUNCTION("""COMPUTED_VALUE"""),"HCPL2026-123.png")</f>
        <v>HCPL2026-123.png</v>
      </c>
    </row>
    <row r="125">
      <c r="A125" s="4" t="str">
        <f>IFERROR(__xludf.DUMMYFUNCTION("""COMPUTED_VALUE"""),"HCPL2026-124")</f>
        <v>HCPL2026-124</v>
      </c>
      <c r="B125" s="4" t="str">
        <f>IFERROR(__xludf.DUMMYFUNCTION("""COMPUTED_VALUE"""),"Hành chính pháp lý")</f>
        <v>Hành chính pháp lý</v>
      </c>
      <c r="C125" s="4" t="str">
        <f>IFERROR(__xludf.DUMMYFUNCTION("""COMPUTED_VALUE"""),"PHÁP LUẬT VỀ QUẢN LÝ NHÀ CUNG CẤP DỊCH VỤ TÀI SẢN MÃ HOÁ TRONG LĨNH VỰC CHỐNG RỬA TIỀN VÀ TÀI TRỢ KHỦNG BỐ - KINH NGHIỆM QUỐC TẾ VÀ KHUYẾN NGHỊ CHO VIỆT NAM.")</f>
        <v>PHÁP LUẬT VỀ QUẢN LÝ NHÀ CUNG CẤP DỊCH VỤ TÀI SẢN MÃ HOÁ TRONG LĨNH VỰC CHỐNG RỬA TIỀN VÀ TÀI TRỢ KHỦNG BỐ - KINH NGHIỆM QUỐC TẾ VÀ KHUYẾN NGHỊ CHO VIỆT NAM.</v>
      </c>
      <c r="D125" s="4" t="str">
        <f>IFERROR(__xludf.DUMMYFUNCTION("""COMPUTED_VALUE"""),"Lại Quang Dũng; Lê Thị Kim Ngân; Lương Thuỳ Anh; Trần Bảo Khánh")</f>
        <v>Lại Quang Dũng; Lê Thị Kim Ngân; Lương Thuỳ Anh; Trần Bảo Khánh</v>
      </c>
      <c r="E125" s="4" t="str">
        <f>IFERROR(__xludf.DUMMYFUNCTION("""COMPUTED_VALUE"""),"Trường Đại học Luật TPHCM")</f>
        <v>Trường Đại học Luật TPHCM</v>
      </c>
      <c r="F125" s="4" t="str">
        <f>IFERROR(__xludf.DUMMYFUNCTION("""COMPUTED_VALUE"""),"HCPL2026-124.png")</f>
        <v>HCPL2026-124.png</v>
      </c>
    </row>
    <row r="126">
      <c r="A126" s="4" t="str">
        <f>IFERROR(__xludf.DUMMYFUNCTION("""COMPUTED_VALUE"""),"HCPL2026-125")</f>
        <v>HCPL2026-125</v>
      </c>
      <c r="B126" s="4" t="str">
        <f>IFERROR(__xludf.DUMMYFUNCTION("""COMPUTED_VALUE"""),"Hành chính pháp lý")</f>
        <v>Hành chính pháp lý</v>
      </c>
      <c r="C126" s="4" t="str">
        <f>IFERROR(__xludf.DUMMYFUNCTION("""COMPUTED_VALUE"""),"Pháp luật về huy động nguồn lực tài chính ngoài ngân sách thúc đẩy khởi nghiệp sáng tạo - Kinh nghiệm quốc tế và bài học cho Việt Nam")</f>
        <v>Pháp luật về huy động nguồn lực tài chính ngoài ngân sách thúc đẩy khởi nghiệp sáng tạo - Kinh nghiệm quốc tế và bài học cho Việt Nam</v>
      </c>
      <c r="D126" s="4" t="str">
        <f>IFERROR(__xludf.DUMMYFUNCTION("""COMPUTED_VALUE"""),"Nguyễn Thị Thanh Thảo; Nguyễn Thị Hải Yến; Nguyễn Trần Lương; Đoàn Anh Phương")</f>
        <v>Nguyễn Thị Thanh Thảo; Nguyễn Thị Hải Yến; Nguyễn Trần Lương; Đoàn Anh Phương</v>
      </c>
      <c r="E126" s="4" t="str">
        <f>IFERROR(__xludf.DUMMYFUNCTION("""COMPUTED_VALUE"""),"Học viện Ngân Hàng")</f>
        <v>Học viện Ngân Hàng</v>
      </c>
      <c r="F126" s="4" t="str">
        <f>IFERROR(__xludf.DUMMYFUNCTION("""COMPUTED_VALUE"""),"HCPL2026-125.png")</f>
        <v>HCPL2026-125.png</v>
      </c>
    </row>
    <row r="127">
      <c r="A127" s="4" t="str">
        <f>IFERROR(__xludf.DUMMYFUNCTION("""COMPUTED_VALUE"""),"HCPL2026-126")</f>
        <v>HCPL2026-126</v>
      </c>
      <c r="B127" s="4" t="str">
        <f>IFERROR(__xludf.DUMMYFUNCTION("""COMPUTED_VALUE"""),"Hành chính pháp lý")</f>
        <v>Hành chính pháp lý</v>
      </c>
      <c r="C127" s="4" t="str">
        <f>IFERROR(__xludf.DUMMYFUNCTION("""COMPUTED_VALUE"""),"Pháp luật về quản lý trí tuệ nhân tạo trong lĩnh vực ngân hàng – kinh nghiệm quốc tế và định hướng hoàn thiện pháp luật tại Việt Nam")</f>
        <v>Pháp luật về quản lý trí tuệ nhân tạo trong lĩnh vực ngân hàng – kinh nghiệm quốc tế và định hướng hoàn thiện pháp luật tại Việt Nam</v>
      </c>
      <c r="D127" s="4" t="str">
        <f>IFERROR(__xludf.DUMMYFUNCTION("""COMPUTED_VALUE"""),"Phan Đình Bảo Chi; Vũ Thị Tuyết; Nguyễn Chí Thành; Cao Thị Cẩm Tú; Trần Kiều Trang")</f>
        <v>Phan Đình Bảo Chi; Vũ Thị Tuyết; Nguyễn Chí Thành; Cao Thị Cẩm Tú; Trần Kiều Trang</v>
      </c>
      <c r="E127" s="4" t="str">
        <f>IFERROR(__xludf.DUMMYFUNCTION("""COMPUTED_VALUE"""),"Học viện Ngân Hàng")</f>
        <v>Học viện Ngân Hàng</v>
      </c>
      <c r="F127" s="4" t="str">
        <f>IFERROR(__xludf.DUMMYFUNCTION("""COMPUTED_VALUE"""),"HCPL2026-126.png")</f>
        <v>HCPL2026-126.png</v>
      </c>
    </row>
    <row r="128">
      <c r="A128" s="4" t="str">
        <f>IFERROR(__xludf.DUMMYFUNCTION("""COMPUTED_VALUE"""),"HCPL2026-127")</f>
        <v>HCPL2026-127</v>
      </c>
      <c r="B128" s="4" t="str">
        <f>IFERROR(__xludf.DUMMYFUNCTION("""COMPUTED_VALUE"""),"Hành chính pháp lý")</f>
        <v>Hành chính pháp lý</v>
      </c>
      <c r="C128" s="4" t="str">
        <f>IFERROR(__xludf.DUMMYFUNCTION("""COMPUTED_VALUE"""),"HOÀN THIỆN KHUNG PHÁP LÝ QUẢN LÝ VỀ THUẾ ĐỐI VỚI TÀI SẢN MÃ HÓA TẠI VIỆT NAM: KINH NGHIỆM QUỐC TẾ VÀ BÀI HỌC CHO VIỆT NAM")</f>
        <v>HOÀN THIỆN KHUNG PHÁP LÝ QUẢN LÝ VỀ THUẾ ĐỐI VỚI TÀI SẢN MÃ HÓA TẠI VIỆT NAM: KINH NGHIỆM QUỐC TẾ VÀ BÀI HỌC CHO VIỆT NAM</v>
      </c>
      <c r="D128" s="4" t="str">
        <f>IFERROR(__xludf.DUMMYFUNCTION("""COMPUTED_VALUE"""),"Nguyễn Cẩm Nhung; Nguyễn Thị Hồng Lụa; Lê Văn Lĩnh; Nguyễn Thị Minh Ngọc")</f>
        <v>Nguyễn Cẩm Nhung; Nguyễn Thị Hồng Lụa; Lê Văn Lĩnh; Nguyễn Thị Minh Ngọc</v>
      </c>
      <c r="E128" s="4" t="str">
        <f>IFERROR(__xludf.DUMMYFUNCTION("""COMPUTED_VALUE"""),"Học viện Ngân Hàng")</f>
        <v>Học viện Ngân Hàng</v>
      </c>
      <c r="F128" s="4" t="str">
        <f>IFERROR(__xludf.DUMMYFUNCTION("""COMPUTED_VALUE"""),"HCPL2026-127.png")</f>
        <v>HCPL2026-127.png</v>
      </c>
    </row>
    <row r="129">
      <c r="A129" s="4" t="str">
        <f>IFERROR(__xludf.DUMMYFUNCTION("""COMPUTED_VALUE"""),"HCPL2026-128")</f>
        <v>HCPL2026-128</v>
      </c>
      <c r="B129" s="4" t="str">
        <f>IFERROR(__xludf.DUMMYFUNCTION("""COMPUTED_VALUE"""),"Hành chính pháp lý")</f>
        <v>Hành chính pháp lý</v>
      </c>
      <c r="C129" s="4" t="str">
        <f>IFERROR(__xludf.DUMMYFUNCTION("""COMPUTED_VALUE"""),"Kinh nghiệm quốc tế về thúc đẩy ESG trong lĩnh vực ngân hàng và vấn đề hoàn thiện pháp luật tại Việt Nam")</f>
        <v>Kinh nghiệm quốc tế về thúc đẩy ESG trong lĩnh vực ngân hàng và vấn đề hoàn thiện pháp luật tại Việt Nam</v>
      </c>
      <c r="D129" s="4" t="str">
        <f>IFERROR(__xludf.DUMMYFUNCTION("""COMPUTED_VALUE"""),"Lê Đức Huy; Đàm Thị Hương Lê; Phùng Nguyễn Ngọc Linh")</f>
        <v>Lê Đức Huy; Đàm Thị Hương Lê; Phùng Nguyễn Ngọc Linh</v>
      </c>
      <c r="E129" s="4" t="str">
        <f>IFERROR(__xludf.DUMMYFUNCTION("""COMPUTED_VALUE"""),"Học viện Ngân Hàng")</f>
        <v>Học viện Ngân Hàng</v>
      </c>
      <c r="F129" s="4" t="str">
        <f>IFERROR(__xludf.DUMMYFUNCTION("""COMPUTED_VALUE"""),"HCPL2026-128.png")</f>
        <v>HCPL2026-128.png</v>
      </c>
    </row>
    <row r="130">
      <c r="A130" s="4" t="str">
        <f>IFERROR(__xludf.DUMMYFUNCTION("""COMPUTED_VALUE"""),"HCPL2026-129")</f>
        <v>HCPL2026-129</v>
      </c>
      <c r="B130" s="4" t="str">
        <f>IFERROR(__xludf.DUMMYFUNCTION("""COMPUTED_VALUE"""),"Hành chính pháp lý")</f>
        <v>Hành chính pháp lý</v>
      </c>
      <c r="C130" s="4" t="str">
        <f>IFERROR(__xludf.DUMMYFUNCTION("""COMPUTED_VALUE"""),"Pháp luật về thuế thu nhập đối với thu nhập từ tài sản mã hóa: nghiên cứu so sánh và bài học kinh nghiệm cho Việt Nam")</f>
        <v>Pháp luật về thuế thu nhập đối với thu nhập từ tài sản mã hóa: nghiên cứu so sánh và bài học kinh nghiệm cho Việt Nam</v>
      </c>
      <c r="D130" s="4" t="str">
        <f>IFERROR(__xludf.DUMMYFUNCTION("""COMPUTED_VALUE"""),"Lê Thị Thúy; Phan Văn Úy; Nguyễn Ngọc Linh; Lê Ánh Dương Huyền; Cao Yến Nhi")</f>
        <v>Lê Thị Thúy; Phan Văn Úy; Nguyễn Ngọc Linh; Lê Ánh Dương Huyền; Cao Yến Nhi</v>
      </c>
      <c r="E130" s="4" t="str">
        <f>IFERROR(__xludf.DUMMYFUNCTION("""COMPUTED_VALUE"""),"Học viện Ngân Hàng")</f>
        <v>Học viện Ngân Hàng</v>
      </c>
      <c r="F130" s="4" t="str">
        <f>IFERROR(__xludf.DUMMYFUNCTION("""COMPUTED_VALUE"""),"HCPL2026-129.png")</f>
        <v>HCPL2026-129.png</v>
      </c>
    </row>
    <row r="131">
      <c r="A131" s="4" t="str">
        <f>IFERROR(__xludf.DUMMYFUNCTION("""COMPUTED_VALUE"""),"HCPL2026-130")</f>
        <v>HCPL2026-130</v>
      </c>
      <c r="B131" s="4" t="str">
        <f>IFERROR(__xludf.DUMMYFUNCTION("""COMPUTED_VALUE"""),"Hành chính pháp lý")</f>
        <v>Hành chính pháp lý</v>
      </c>
      <c r="C131" s="4" t="str">
        <f>IFERROR(__xludf.DUMMYFUNCTION("""COMPUTED_VALUE"""),"Pháp luật về chia sẻ dữ liệu khách hàng trong hoạt động ngân hàng: Kinh nghiệm thế giới và gợi mở cho Việt Nam")</f>
        <v>Pháp luật về chia sẻ dữ liệu khách hàng trong hoạt động ngân hàng: Kinh nghiệm thế giới và gợi mở cho Việt Nam</v>
      </c>
      <c r="D131" s="4" t="str">
        <f>IFERROR(__xludf.DUMMYFUNCTION("""COMPUTED_VALUE"""),"TRẦN THỊ THANH THẢO; NGUYỄN THỊ HỒNG NGỌC; NGUYỄN THỊ MỸ TIÊN")</f>
        <v>TRẦN THỊ THANH THẢO; NGUYỄN THỊ HỒNG NGỌC; NGUYỄN THỊ MỸ TIÊN</v>
      </c>
      <c r="E131" s="4" t="str">
        <f>IFERROR(__xludf.DUMMYFUNCTION("""COMPUTED_VALUE"""),"Đại học Ngân Hàng")</f>
        <v>Đại học Ngân Hàng</v>
      </c>
      <c r="F131" s="4" t="str">
        <f>IFERROR(__xludf.DUMMYFUNCTION("""COMPUTED_VALUE"""),"HCPL2026-130.png")</f>
        <v>HCPL2026-130.png</v>
      </c>
    </row>
    <row r="132">
      <c r="A132" s="4" t="str">
        <f>IFERROR(__xludf.DUMMYFUNCTION("""COMPUTED_VALUE"""),"HCPL2026-131")</f>
        <v>HCPL2026-131</v>
      </c>
      <c r="B132" s="4" t="str">
        <f>IFERROR(__xludf.DUMMYFUNCTION("""COMPUTED_VALUE"""),"Hành chính pháp lý")</f>
        <v>Hành chính pháp lý</v>
      </c>
      <c r="C132" s="4" t="str">
        <f>IFERROR(__xludf.DUMMYFUNCTION("""COMPUTED_VALUE"""),"Hoàn thiện pháp luật về phòng ngừa ô nhiễm môi trường biển tại Việt Nam hiện nay")</f>
        <v>Hoàn thiện pháp luật về phòng ngừa ô nhiễm môi trường biển tại Việt Nam hiện nay</v>
      </c>
      <c r="D132" s="4" t="str">
        <f>IFERROR(__xludf.DUMMYFUNCTION("""COMPUTED_VALUE"""),"Trần Đại Nghĩa; Hoàng Khắc Thành; Nguyễn Thị Thiên Ân")</f>
        <v>Trần Đại Nghĩa; Hoàng Khắc Thành; Nguyễn Thị Thiên Ân</v>
      </c>
      <c r="E132" s="4" t="str">
        <f>IFERROR(__xludf.DUMMYFUNCTION("""COMPUTED_VALUE"""),"Phân hiệu Học viện Thanh thiếu niên Việt Nam")</f>
        <v>Phân hiệu Học viện Thanh thiếu niên Việt Nam</v>
      </c>
      <c r="F132" s="4" t="str">
        <f>IFERROR(__xludf.DUMMYFUNCTION("""COMPUTED_VALUE"""),"HCPL2026-131.png")</f>
        <v>HCPL2026-131.png</v>
      </c>
    </row>
    <row r="133">
      <c r="A133" s="4" t="str">
        <f>IFERROR(__xludf.DUMMYFUNCTION("""COMPUTED_VALUE"""),"HCPL2026-132")</f>
        <v>HCPL2026-132</v>
      </c>
      <c r="B133" s="4" t="str">
        <f>IFERROR(__xludf.DUMMYFUNCTION("""COMPUTED_VALUE"""),"Hành chính pháp lý")</f>
        <v>Hành chính pháp lý</v>
      </c>
      <c r="C133" s="4" t="str">
        <f>IFERROR(__xludf.DUMMYFUNCTION("""COMPUTED_VALUE"""),"PHÁP LUẬT VỀ QUẤY RỐI TÌNH DỤC TẠI NƠI LÀM VIỆC VÀ THỰC TIỄN THỰC HIỆN TẠI THÀNH PHỐ HÀ NỘI")</f>
        <v>PHÁP LUẬT VỀ QUẤY RỐI TÌNH DỤC TẠI NƠI LÀM VIỆC VÀ THỰC TIỄN THỰC HIỆN TẠI THÀNH PHỐ HÀ NỘI</v>
      </c>
      <c r="D133" s="4" t="str">
        <f>IFERROR(__xludf.DUMMYFUNCTION("""COMPUTED_VALUE"""),"Vũ Thu Hiền ; Trịnh Châu Anh; Trần Minh Nguyệt")</f>
        <v>Vũ Thu Hiền ; Trịnh Châu Anh; Trần Minh Nguyệt</v>
      </c>
      <c r="E133" s="4" t="str">
        <f>IFERROR(__xludf.DUMMYFUNCTION("""COMPUTED_VALUE"""),"Học viện Thanh Thiếu niên Việt Nam")</f>
        <v>Học viện Thanh Thiếu niên Việt Nam</v>
      </c>
      <c r="F133" s="4" t="str">
        <f>IFERROR(__xludf.DUMMYFUNCTION("""COMPUTED_VALUE"""),"HCPL2026-132.png")</f>
        <v>HCPL2026-132.png</v>
      </c>
    </row>
    <row r="134">
      <c r="A134" s="4" t="str">
        <f>IFERROR(__xludf.DUMMYFUNCTION("""COMPUTED_VALUE"""),"HCPL2026-133")</f>
        <v>HCPL2026-133</v>
      </c>
      <c r="B134" s="4" t="str">
        <f>IFERROR(__xludf.DUMMYFUNCTION("""COMPUTED_VALUE"""),"Hành chính pháp lý")</f>
        <v>Hành chính pháp lý</v>
      </c>
      <c r="C134" s="4" t="str">
        <f>IFERROR(__xludf.DUMMYFUNCTION("""COMPUTED_VALUE"""),"PHÁP LUẬT VỀ CƠ CHẾ KIỂM SOÁT PHÁT THẢI KHÍ NHÀ KÍNH TRONG HOẠT ĐỘNG VẬN TẢI BIỂN: KINH NGHIỆM QUỐC TẾ VÀ GỢI MỞ CHO VIỆT NAM")</f>
        <v>PHÁP LUẬT VỀ CƠ CHẾ KIỂM SOÁT PHÁT THẢI KHÍ NHÀ KÍNH TRONG HOẠT ĐỘNG VẬN TẢI BIỂN: KINH NGHIỆM QUỐC TẾ VÀ GỢI MỞ CHO VIỆT NAM</v>
      </c>
      <c r="D134" s="4" t="str">
        <f>IFERROR(__xludf.DUMMYFUNCTION("""COMPUTED_VALUE"""),"Nguyễn Phương Thảo; Đặng Thị Vân Anh; Bùi Minh Khuê; Hồ Hằng Lê")</f>
        <v>Nguyễn Phương Thảo; Đặng Thị Vân Anh; Bùi Minh Khuê; Hồ Hằng Lê</v>
      </c>
      <c r="E134" s="4" t="str">
        <f>IFERROR(__xludf.DUMMYFUNCTION("""COMPUTED_VALUE"""),"Học viện Ngoại giao")</f>
        <v>Học viện Ngoại giao</v>
      </c>
      <c r="F134" s="4" t="str">
        <f>IFERROR(__xludf.DUMMYFUNCTION("""COMPUTED_VALUE"""),"HCPL2026-133.png")</f>
        <v>HCPL2026-133.png</v>
      </c>
    </row>
    <row r="135">
      <c r="A135" s="4" t="str">
        <f>IFERROR(__xludf.DUMMYFUNCTION("""COMPUTED_VALUE"""),"HCPL2026-134")</f>
        <v>HCPL2026-134</v>
      </c>
      <c r="B135" s="4" t="str">
        <f>IFERROR(__xludf.DUMMYFUNCTION("""COMPUTED_VALUE"""),"Hành chính pháp lý")</f>
        <v>Hành chính pháp lý</v>
      </c>
      <c r="C135" s="4" t="str">
        <f>IFERROR(__xludf.DUMMYFUNCTION("""COMPUTED_VALUE"""),"Hoàn thiện pháp luật về bảo vệ quyền riêng tư trong quản lý thuế đối với chủ thể kinh doanh trên sàn thương mại điện tử qua VNeID.")</f>
        <v>Hoàn thiện pháp luật về bảo vệ quyền riêng tư trong quản lý thuế đối với chủ thể kinh doanh trên sàn thương mại điện tử qua VNeID.</v>
      </c>
      <c r="D135" s="4" t="str">
        <f>IFERROR(__xludf.DUMMYFUNCTION("""COMPUTED_VALUE"""),"Đinh Tiến Dũng; Phạm Diệp Anh")</f>
        <v>Đinh Tiến Dũng; Phạm Diệp Anh</v>
      </c>
      <c r="E135" s="4" t="str">
        <f>IFERROR(__xludf.DUMMYFUNCTION("""COMPUTED_VALUE"""),"Học viện Ngoại giao")</f>
        <v>Học viện Ngoại giao</v>
      </c>
      <c r="F135" s="4" t="str">
        <f>IFERROR(__xludf.DUMMYFUNCTION("""COMPUTED_VALUE"""),"HCPL2026-134.png")</f>
        <v>HCPL2026-134.png</v>
      </c>
    </row>
    <row r="136">
      <c r="A136" s="4" t="str">
        <f>IFERROR(__xludf.DUMMYFUNCTION("""COMPUTED_VALUE"""),"HCPL2026-135")</f>
        <v>HCPL2026-135</v>
      </c>
      <c r="B136" s="4" t="str">
        <f>IFERROR(__xludf.DUMMYFUNCTION("""COMPUTED_VALUE"""),"Hành chính pháp lý")</f>
        <v>Hành chính pháp lý</v>
      </c>
      <c r="C136" s="4" t="str">
        <f>IFERROR(__xludf.DUMMYFUNCTION("""COMPUTED_VALUE"""),"HOÀN THIỆN PHÁP LUẬT VỀ THỰC THI QUYỀN SỞ HỮU TRÍ TUỆ ĐỐI VỚI CHỈ DẪN ĐỊA LÝ NÔNG SẢN XUẤT KHẨU THÔNG QUA SỐ HÓA HỆ THỐNG TRUY XUẤT NGUỒN GỐC: KIẾN NGHỊ HOÀN THIỆN PHÁP LUẬT VIỆT NAM")</f>
        <v>HOÀN THIỆN PHÁP LUẬT VỀ THỰC THI QUYỀN SỞ HỮU TRÍ TUỆ ĐỐI VỚI CHỈ DẪN ĐỊA LÝ NÔNG SẢN XUẤT KHẨU THÔNG QUA SỐ HÓA HỆ THỐNG TRUY XUẤT NGUỒN GỐC: KIẾN NGHỊ HOÀN THIỆN PHÁP LUẬT VIỆT NAM</v>
      </c>
      <c r="D136" s="4" t="str">
        <f>IFERROR(__xludf.DUMMYFUNCTION("""COMPUTED_VALUE"""),"Phạm Diệp Anh ; Nguyễn Quỳnh Chi ; Nguyễn Ngọc Linh Châu ; Nguyễn Hà Khánh Chi")</f>
        <v>Phạm Diệp Anh ; Nguyễn Quỳnh Chi ; Nguyễn Ngọc Linh Châu ; Nguyễn Hà Khánh Chi</v>
      </c>
      <c r="E136" s="4" t="str">
        <f>IFERROR(__xludf.DUMMYFUNCTION("""COMPUTED_VALUE"""),"Học viện Ngoại giao")</f>
        <v>Học viện Ngoại giao</v>
      </c>
      <c r="F136" s="4" t="str">
        <f>IFERROR(__xludf.DUMMYFUNCTION("""COMPUTED_VALUE"""),"HCPL2026-135.png")</f>
        <v>HCPL2026-135.png</v>
      </c>
    </row>
    <row r="137">
      <c r="A137" s="4" t="str">
        <f>IFERROR(__xludf.DUMMYFUNCTION("""COMPUTED_VALUE"""),"HCPL2026-136")</f>
        <v>HCPL2026-136</v>
      </c>
      <c r="B137" s="4" t="str">
        <f>IFERROR(__xludf.DUMMYFUNCTION("""COMPUTED_VALUE"""),"Hành chính pháp lý")</f>
        <v>Hành chính pháp lý</v>
      </c>
      <c r="C137" s="4" t="str">
        <f>IFERROR(__xludf.DUMMYFUNCTION("""COMPUTED_VALUE"""),"Pháp luật về bảo đảm quyền của người lao động trong các hình thức làm việc linh hoạt ở Việt Nam hiện nay.")</f>
        <v>Pháp luật về bảo đảm quyền của người lao động trong các hình thức làm việc linh hoạt ở Việt Nam hiện nay.</v>
      </c>
      <c r="D137" s="4" t="str">
        <f>IFERROR(__xludf.DUMMYFUNCTION("""COMPUTED_VALUE"""),"Nguyễn Thị Ngọc Ánh; Nguyễn Ngọc Phương Anh; Phạm Tuyết Nhung; Cao Thị Thanh Tâm; Cù Thanh Trà")</f>
        <v>Nguyễn Thị Ngọc Ánh; Nguyễn Ngọc Phương Anh; Phạm Tuyết Nhung; Cao Thị Thanh Tâm; Cù Thanh Trà</v>
      </c>
      <c r="E137" s="4" t="str">
        <f>IFERROR(__xludf.DUMMYFUNCTION("""COMPUTED_VALUE"""),"Trường Đại học Văn hoá Hà Nội")</f>
        <v>Trường Đại học Văn hoá Hà Nội</v>
      </c>
      <c r="F137" s="4" t="str">
        <f>IFERROR(__xludf.DUMMYFUNCTION("""COMPUTED_VALUE"""),"HCPL2026-136.png")</f>
        <v>HCPL2026-136.png</v>
      </c>
    </row>
    <row r="138">
      <c r="A138" s="4" t="str">
        <f>IFERROR(__xludf.DUMMYFUNCTION("""COMPUTED_VALUE"""),"HCPL2026-137")</f>
        <v>HCPL2026-137</v>
      </c>
      <c r="B138" s="4" t="str">
        <f>IFERROR(__xludf.DUMMYFUNCTION("""COMPUTED_VALUE"""),"Hành chính pháp lý")</f>
        <v>Hành chính pháp lý</v>
      </c>
      <c r="C138" s="4" t="str">
        <f>IFERROR(__xludf.DUMMYFUNCTION("""COMPUTED_VALUE"""),"Mối quan hệ giữa pháp luật và đạo đức trong lĩnh vực bảo đảm an toàn vệ sinh thực phẩm")</f>
        <v>Mối quan hệ giữa pháp luật và đạo đức trong lĩnh vực bảo đảm an toàn vệ sinh thực phẩm</v>
      </c>
      <c r="D138" s="4" t="str">
        <f>IFERROR(__xludf.DUMMYFUNCTION("""COMPUTED_VALUE"""),"Vi Thanh Huỳnh; Đinh Tuấn Kiệt; Trịnh Duy Kiên; Đỗ Vân Anh")</f>
        <v>Vi Thanh Huỳnh; Đinh Tuấn Kiệt; Trịnh Duy Kiên; Đỗ Vân Anh</v>
      </c>
      <c r="E138" s="4" t="str">
        <f>IFERROR(__xludf.DUMMYFUNCTION("""COMPUTED_VALUE"""),"Trường Đại học Văn hoá Hà Nội")</f>
        <v>Trường Đại học Văn hoá Hà Nội</v>
      </c>
      <c r="F138" s="4" t="str">
        <f>IFERROR(__xludf.DUMMYFUNCTION("""COMPUTED_VALUE"""),"HCPL2026-137.png")</f>
        <v>HCPL2026-137.png</v>
      </c>
    </row>
    <row r="139">
      <c r="A139" s="4" t="str">
        <f>IFERROR(__xludf.DUMMYFUNCTION("""COMPUTED_VALUE"""),"HCPL2026-138")</f>
        <v>HCPL2026-138</v>
      </c>
      <c r="B139" s="4" t="str">
        <f>IFERROR(__xludf.DUMMYFUNCTION("""COMPUTED_VALUE"""),"Hành chính pháp lý")</f>
        <v>Hành chính pháp lý</v>
      </c>
      <c r="C139" s="4" t="str">
        <f>IFERROR(__xludf.DUMMYFUNCTION("""COMPUTED_VALUE"""),"Nghiên cứu pháp luật về việc biện pháp kê biên quyền sử dụng đất để cưỡng chế thi hành quyết định xử phạt vi phạm hành chính - Thực trạng tại tỉnh Vĩnh Long")</f>
        <v>Nghiên cứu pháp luật về việc biện pháp kê biên quyền sử dụng đất để cưỡng chế thi hành quyết định xử phạt vi phạm hành chính - Thực trạng tại tỉnh Vĩnh Long</v>
      </c>
      <c r="D139" s="4" t="str">
        <f>IFERROR(__xludf.DUMMYFUNCTION("""COMPUTED_VALUE"""),"Đinh Nhật Duy; Phạm Hoàng Phúc")</f>
        <v>Đinh Nhật Duy; Phạm Hoàng Phúc</v>
      </c>
      <c r="E139" s="4" t="str">
        <f>IFERROR(__xludf.DUMMYFUNCTION("""COMPUTED_VALUE"""),"Trường Đại học Cửu Long")</f>
        <v>Trường Đại học Cửu Long</v>
      </c>
      <c r="F139" s="4" t="str">
        <f>IFERROR(__xludf.DUMMYFUNCTION("""COMPUTED_VALUE"""),"HCPL2026-138.png")</f>
        <v>HCPL2026-138.png</v>
      </c>
    </row>
    <row r="140">
      <c r="A140" s="4" t="str">
        <f>IFERROR(__xludf.DUMMYFUNCTION("""COMPUTED_VALUE"""),"HCPL2026-139")</f>
        <v>HCPL2026-139</v>
      </c>
      <c r="B140" s="4" t="str">
        <f>IFERROR(__xludf.DUMMYFUNCTION("""COMPUTED_VALUE"""),"Hành chính pháp lý")</f>
        <v>Hành chính pháp lý</v>
      </c>
      <c r="C140" s="4" t="str">
        <f>IFERROR(__xludf.DUMMYFUNCTION("""COMPUTED_VALUE"""),"Bảo vệ quyền lợi người lao động trong nền kinh tế Gig tại Thành phố Hồ Chí Minh")</f>
        <v>Bảo vệ quyền lợi người lao động trong nền kinh tế Gig tại Thành phố Hồ Chí Minh</v>
      </c>
      <c r="D140" s="4" t="str">
        <f>IFERROR(__xludf.DUMMYFUNCTION("""COMPUTED_VALUE"""),"Phan Khả Kỳ; Đinh Ngọc Minh Thư; Nguyễn Thành Yên Quân; Trương Thị Trúc Huỳnh; Phan Kim Ngân")</f>
        <v>Phan Khả Kỳ; Đinh Ngọc Minh Thư; Nguyễn Thành Yên Quân; Trương Thị Trúc Huỳnh; Phan Kim Ngân</v>
      </c>
      <c r="E140" s="4" t="str">
        <f>IFERROR(__xludf.DUMMYFUNCTION("""COMPUTED_VALUE"""),"Học viện Cán bộ TPHCM")</f>
        <v>Học viện Cán bộ TPHCM</v>
      </c>
      <c r="F140" s="4" t="str">
        <f>IFERROR(__xludf.DUMMYFUNCTION("""COMPUTED_VALUE"""),"HCPL2026-139.png")</f>
        <v>HCPL2026-139.png</v>
      </c>
    </row>
    <row r="141">
      <c r="A141" s="4" t="str">
        <f>IFERROR(__xludf.DUMMYFUNCTION("""COMPUTED_VALUE"""),"HCPL2026-140")</f>
        <v>HCPL2026-140</v>
      </c>
      <c r="B141" s="4" t="str">
        <f>IFERROR(__xludf.DUMMYFUNCTION("""COMPUTED_VALUE"""),"Hành chính pháp lý")</f>
        <v>Hành chính pháp lý</v>
      </c>
      <c r="C141" s="4" t="str">
        <f>IFERROR(__xludf.DUMMYFUNCTION("""COMPUTED_VALUE"""),"Xây dựng chính quyền số về quản lý hai cấp sau tinh gọn")</f>
        <v>Xây dựng chính quyền số về quản lý hai cấp sau tinh gọn</v>
      </c>
      <c r="D141" s="4" t="str">
        <f>IFERROR(__xludf.DUMMYFUNCTION("""COMPUTED_VALUE"""),"Đỗ Hoàng Dương; Nguyễn Huy Anh; Tô Khánh Linh")</f>
        <v>Đỗ Hoàng Dương; Nguyễn Huy Anh; Tô Khánh Linh</v>
      </c>
      <c r="E141" s="4" t="str">
        <f>IFERROR(__xludf.DUMMYFUNCTION("""COMPUTED_VALUE"""),"Trường Đại học Luật Hà Nội")</f>
        <v>Trường Đại học Luật Hà Nội</v>
      </c>
      <c r="F141" s="4" t="str">
        <f>IFERROR(__xludf.DUMMYFUNCTION("""COMPUTED_VALUE"""),"HCPL2026-140.png")</f>
        <v>HCPL2026-140.png</v>
      </c>
    </row>
    <row r="142">
      <c r="A142" s="4" t="str">
        <f>IFERROR(__xludf.DUMMYFUNCTION("""COMPUTED_VALUE"""),"HCPL2026-141")</f>
        <v>HCPL2026-141</v>
      </c>
      <c r="B142" s="4" t="str">
        <f>IFERROR(__xludf.DUMMYFUNCTION("""COMPUTED_VALUE"""),"Hành chính pháp lý")</f>
        <v>Hành chính pháp lý</v>
      </c>
      <c r="C142" s="4" t="str">
        <f>IFERROR(__xludf.DUMMYFUNCTION("""COMPUTED_VALUE"""),"Tác động tâm lý của cha, mẹ đối với việc giải quyết nguồn tin tội phạm phát hiện từ không gian mạng có nạn nhân là người")</f>
        <v>Tác động tâm lý của cha, mẹ đối với việc giải quyết nguồn tin tội phạm phát hiện từ không gian mạng có nạn nhân là người</v>
      </c>
      <c r="D142" s="4" t="str">
        <f>IFERROR(__xludf.DUMMYFUNCTION("""COMPUTED_VALUE"""),"Lê Đức Hưng; Lưu Thị Hoài Thu; Hoàng Phương Vy")</f>
        <v>Lê Đức Hưng; Lưu Thị Hoài Thu; Hoàng Phương Vy</v>
      </c>
      <c r="E142" s="4" t="str">
        <f>IFERROR(__xludf.DUMMYFUNCTION("""COMPUTED_VALUE"""),"Học viện Toà án")</f>
        <v>Học viện Toà án</v>
      </c>
      <c r="F142" s="4" t="str">
        <f>IFERROR(__xludf.DUMMYFUNCTION("""COMPUTED_VALUE"""),"HCPL2026-141.png")</f>
        <v>HCPL2026-141.png</v>
      </c>
    </row>
    <row r="143">
      <c r="A143" s="4" t="str">
        <f>IFERROR(__xludf.DUMMYFUNCTION("""COMPUTED_VALUE"""),"HCPL2026-142")</f>
        <v>HCPL2026-142</v>
      </c>
      <c r="B143" s="4" t="str">
        <f>IFERROR(__xludf.DUMMYFUNCTION("""COMPUTED_VALUE"""),"Hành chính pháp lý")</f>
        <v>Hành chính pháp lý</v>
      </c>
      <c r="C143" s="4" t="str">
        <f>IFERROR(__xludf.DUMMYFUNCTION("""COMPUTED_VALUE"""),"Bảo đảm quyền tiếp cận công lý của trẻ em bị bạo lực ở một số quốc gia và kinh nghiệm cho Việt Nam")</f>
        <v>Bảo đảm quyền tiếp cận công lý của trẻ em bị bạo lực ở một số quốc gia và kinh nghiệm cho Việt Nam</v>
      </c>
      <c r="D143" s="4" t="str">
        <f>IFERROR(__xludf.DUMMYFUNCTION("""COMPUTED_VALUE"""),"Nông Thị Hương Giang; Hoàng Văn Minh; Nông Nguyễn Quỳnh Ly; Nguyễn Tuấn Anh")</f>
        <v>Nông Thị Hương Giang; Hoàng Văn Minh; Nông Nguyễn Quỳnh Ly; Nguyễn Tuấn Anh</v>
      </c>
      <c r="E143" s="4" t="str">
        <f>IFERROR(__xludf.DUMMYFUNCTION("""COMPUTED_VALUE"""),"Học viện Toà án")</f>
        <v>Học viện Toà án</v>
      </c>
      <c r="F143" s="4" t="str">
        <f>IFERROR(__xludf.DUMMYFUNCTION("""COMPUTED_VALUE"""),"HCPL2026-142.png")</f>
        <v>HCPL2026-142.png</v>
      </c>
    </row>
    <row r="144">
      <c r="A144" s="4" t="str">
        <f>IFERROR(__xludf.DUMMYFUNCTION("""COMPUTED_VALUE"""),"HCPL2026-143")</f>
        <v>HCPL2026-143</v>
      </c>
      <c r="B144" s="4" t="str">
        <f>IFERROR(__xludf.DUMMYFUNCTION("""COMPUTED_VALUE"""),"Hành chính pháp lý")</f>
        <v>Hành chính pháp lý</v>
      </c>
      <c r="C144" s="4" t="str">
        <f>IFERROR(__xludf.DUMMYFUNCTION("""COMPUTED_VALUE"""),"Hoàn thiện quy định pháp luật về quản lý tài sản mã hoá ở Việt Nam: Kinh nghiệm quốc tế và bài học cho Việt Nam")</f>
        <v>Hoàn thiện quy định pháp luật về quản lý tài sản mã hoá ở Việt Nam: Kinh nghiệm quốc tế và bài học cho Việt Nam</v>
      </c>
      <c r="D144" s="4" t="str">
        <f>IFERROR(__xludf.DUMMYFUNCTION("""COMPUTED_VALUE"""),"Hoàng Phương Duyên; Đinh Hữu Đăng Khoa; Phạm Lê Diệu Anh")</f>
        <v>Hoàng Phương Duyên; Đinh Hữu Đăng Khoa; Phạm Lê Diệu Anh</v>
      </c>
      <c r="E144" s="4" t="str">
        <f>IFERROR(__xludf.DUMMYFUNCTION("""COMPUTED_VALUE"""),"Học viện Toà án")</f>
        <v>Học viện Toà án</v>
      </c>
      <c r="F144" s="4" t="str">
        <f>IFERROR(__xludf.DUMMYFUNCTION("""COMPUTED_VALUE"""),"HCPL2026-143.png")</f>
        <v>HCPL2026-143.png</v>
      </c>
    </row>
    <row r="145">
      <c r="A145" s="4" t="str">
        <f>IFERROR(__xludf.DUMMYFUNCTION("""COMPUTED_VALUE"""),"HCPL2026-144")</f>
        <v>HCPL2026-144</v>
      </c>
      <c r="B145" s="4" t="str">
        <f>IFERROR(__xludf.DUMMYFUNCTION("""COMPUTED_VALUE"""),"Hành chính pháp lý")</f>
        <v>Hành chính pháp lý</v>
      </c>
      <c r="C145" s="4" t="str">
        <f>IFERROR(__xludf.DUMMYFUNCTION("""COMPUTED_VALUE"""),"Phòng ngừa tội lừa đảo chiếm đoạt tài sản trên địa bàn Thành phố Hồ Chí Minh")</f>
        <v>Phòng ngừa tội lừa đảo chiếm đoạt tài sản trên địa bàn Thành phố Hồ Chí Minh</v>
      </c>
      <c r="D145" s="4" t="str">
        <f>IFERROR(__xludf.DUMMYFUNCTION("""COMPUTED_VALUE"""),"Phạm Trần Hiểu Lam; Tô Bảo Trâm; Nguyễn Thu Hậu; Dương Thị Huyền Trân; Nguyễn Phi Hùng")</f>
        <v>Phạm Trần Hiểu Lam; Tô Bảo Trâm; Nguyễn Thu Hậu; Dương Thị Huyền Trân; Nguyễn Phi Hùng</v>
      </c>
      <c r="E145" s="4" t="str">
        <f>IFERROR(__xludf.DUMMYFUNCTION("""COMPUTED_VALUE"""),"Trường Đại học Công thương TPHCM")</f>
        <v>Trường Đại học Công thương TPHCM</v>
      </c>
      <c r="F145" s="4" t="str">
        <f>IFERROR(__xludf.DUMMYFUNCTION("""COMPUTED_VALUE"""),"HCPL2026-144.png")</f>
        <v>HCPL2026-144.png</v>
      </c>
    </row>
    <row r="146">
      <c r="A146" s="4" t="str">
        <f>IFERROR(__xludf.DUMMYFUNCTION("""COMPUTED_VALUE"""),"HCPL2026-145")</f>
        <v>HCPL2026-145</v>
      </c>
      <c r="B146" s="4" t="str">
        <f>IFERROR(__xludf.DUMMYFUNCTION("""COMPUTED_VALUE"""),"Hành chính pháp lý")</f>
        <v>Hành chính pháp lý</v>
      </c>
      <c r="C146" s="4" t="str">
        <f>IFERROR(__xludf.DUMMYFUNCTION("""COMPUTED_VALUE"""),"Phòng, chống tội sản xuất, buôn bán hàng giả ở Việt Nam hiện nay")</f>
        <v>Phòng, chống tội sản xuất, buôn bán hàng giả ở Việt Nam hiện nay</v>
      </c>
      <c r="D146" s="4" t="str">
        <f>IFERROR(__xludf.DUMMYFUNCTION("""COMPUTED_VALUE"""),"Bùi Thị Nhật Linh; Đặng Ngọc Trâm; Nguyễn Trần Khánh Linh; Bùi Nguyễn Lê Thi")</f>
        <v>Bùi Thị Nhật Linh; Đặng Ngọc Trâm; Nguyễn Trần Khánh Linh; Bùi Nguyễn Lê Thi</v>
      </c>
      <c r="E146" s="4" t="str">
        <f>IFERROR(__xludf.DUMMYFUNCTION("""COMPUTED_VALUE"""),"Trường Đại học Công thương TPHCM")</f>
        <v>Trường Đại học Công thương TPHCM</v>
      </c>
      <c r="F146" s="4" t="str">
        <f>IFERROR(__xludf.DUMMYFUNCTION("""COMPUTED_VALUE"""),"HCPL2026-145.png")</f>
        <v>HCPL2026-145.png</v>
      </c>
    </row>
    <row r="147">
      <c r="A147" s="4" t="str">
        <f>IFERROR(__xludf.DUMMYFUNCTION("""COMPUTED_VALUE"""),"HCPL2026-146")</f>
        <v>HCPL2026-146</v>
      </c>
      <c r="B147" s="4" t="str">
        <f>IFERROR(__xludf.DUMMYFUNCTION("""COMPUTED_VALUE"""),"Hành chính pháp lý")</f>
        <v>Hành chính pháp lý</v>
      </c>
      <c r="C147" s="4" t="str">
        <f>IFERROR(__xludf.DUMMYFUNCTION("""COMPUTED_VALUE"""),"Quyền được chết ở một số quốc gia trên thế giới và thực tiễn đặt ra cho Việt Nam")</f>
        <v>Quyền được chết ở một số quốc gia trên thế giới và thực tiễn đặt ra cho Việt Nam</v>
      </c>
      <c r="D147" s="4" t="str">
        <f>IFERROR(__xludf.DUMMYFUNCTION("""COMPUTED_VALUE"""),"Nguyễn Thị Xuân Nhi; Nguyễn Huỳnh Yến Nhi; Nguyễn Hoàng Xuân Phương; Đoàn Thị Ngọc Trân")</f>
        <v>Nguyễn Thị Xuân Nhi; Nguyễn Huỳnh Yến Nhi; Nguyễn Hoàng Xuân Phương; Đoàn Thị Ngọc Trân</v>
      </c>
      <c r="E147" s="4" t="str">
        <f>IFERROR(__xludf.DUMMYFUNCTION("""COMPUTED_VALUE"""),"Trường Đại học Công thương TPHCM")</f>
        <v>Trường Đại học Công thương TPHCM</v>
      </c>
      <c r="F147" s="4" t="str">
        <f>IFERROR(__xludf.DUMMYFUNCTION("""COMPUTED_VALUE"""),"HCPL2026-146.png")</f>
        <v>HCPL2026-146.png</v>
      </c>
    </row>
    <row r="148">
      <c r="A148" s="4" t="str">
        <f>IFERROR(__xludf.DUMMYFUNCTION("""COMPUTED_VALUE"""),"HCPL2026-147")</f>
        <v>HCPL2026-147</v>
      </c>
      <c r="B148" s="4" t="str">
        <f>IFERROR(__xludf.DUMMYFUNCTION("""COMPUTED_VALUE"""),"Hành chính pháp lý")</f>
        <v>Hành chính pháp lý</v>
      </c>
      <c r="C148" s="4" t="str">
        <f>IFERROR(__xludf.DUMMYFUNCTION("""COMPUTED_VALUE"""),"Hoàn thiện khung pháp lý phát triển năng lượng hydrogen xanh: Kinh nghiệm quốc tế và bài học cho Việt Nam")</f>
        <v>Hoàn thiện khung pháp lý phát triển năng lượng hydrogen xanh: Kinh nghiệm quốc tế và bài học cho Việt Nam</v>
      </c>
      <c r="D148" s="4" t="str">
        <f>IFERROR(__xludf.DUMMYFUNCTION("""COMPUTED_VALUE"""),"Vũ Thị Hường; Nguyễn Thị Linh Nhi; Vũ Bảo Nhi; Nguyễn Thị Mai Linh")</f>
        <v>Vũ Thị Hường; Nguyễn Thị Linh Nhi; Vũ Bảo Nhi; Nguyễn Thị Mai Linh</v>
      </c>
      <c r="E148" s="4" t="str">
        <f>IFERROR(__xludf.DUMMYFUNCTION("""COMPUTED_VALUE"""),"Trường Đại học Ngoại thương")</f>
        <v>Trường Đại học Ngoại thương</v>
      </c>
      <c r="F148" s="4" t="str">
        <f>IFERROR(__xludf.DUMMYFUNCTION("""COMPUTED_VALUE"""),"HCPL2026-147.png")</f>
        <v>HCPL2026-147.png</v>
      </c>
    </row>
    <row r="149">
      <c r="A149" s="4" t="str">
        <f>IFERROR(__xludf.DUMMYFUNCTION("""COMPUTED_VALUE"""),"HCPL2026-148")</f>
        <v>HCPL2026-148</v>
      </c>
      <c r="B149" s="4" t="str">
        <f>IFERROR(__xludf.DUMMYFUNCTION("""COMPUTED_VALUE"""),"Hành chính pháp lý")</f>
        <v>Hành chính pháp lý</v>
      </c>
      <c r="C149" s="4" t="str">
        <f>IFERROR(__xludf.DUMMYFUNCTION("""COMPUTED_VALUE"""),"Hoàn thiện pháp luật về truy xuất nguồn gốc hàng hóa nhằm đáp ứng tiêu chuẩn ESG trong hoạt động xuất khẩu của doanh nghiệp Việt Nam")</f>
        <v>Hoàn thiện pháp luật về truy xuất nguồn gốc hàng hóa nhằm đáp ứng tiêu chuẩn ESG trong hoạt động xuất khẩu của doanh nghiệp Việt Nam</v>
      </c>
      <c r="D149" s="4" t="str">
        <f>IFERROR(__xludf.DUMMYFUNCTION("""COMPUTED_VALUE"""),"Nguyễn Thị Linh Nhi; Nguyễn Tú Linh; Nguyễn Thị Quỳnh Trang")</f>
        <v>Nguyễn Thị Linh Nhi; Nguyễn Tú Linh; Nguyễn Thị Quỳnh Trang</v>
      </c>
      <c r="E149" s="4" t="str">
        <f>IFERROR(__xludf.DUMMYFUNCTION("""COMPUTED_VALUE"""),"Trường Đại học Ngoại thương")</f>
        <v>Trường Đại học Ngoại thương</v>
      </c>
      <c r="F149" s="4" t="str">
        <f>IFERROR(__xludf.DUMMYFUNCTION("""COMPUTED_VALUE"""),"HCPL2026-148.png")</f>
        <v>HCPL2026-148.png</v>
      </c>
    </row>
    <row r="150">
      <c r="A150" s="4" t="str">
        <f>IFERROR(__xludf.DUMMYFUNCTION("""COMPUTED_VALUE"""),"HCPL2026-149")</f>
        <v>HCPL2026-149</v>
      </c>
      <c r="B150" s="4" t="str">
        <f>IFERROR(__xludf.DUMMYFUNCTION("""COMPUTED_VALUE"""),"Hành chính pháp lý")</f>
        <v>Hành chính pháp lý</v>
      </c>
      <c r="C150" s="4" t="str">
        <f>IFERROR(__xludf.DUMMYFUNCTION("""COMPUTED_VALUE"""),"Tác động của nhận thức về Luật Bảo vệ dữ liệu cá nhân đến cảm nhận công bằng, tính hợp pháp và hành vi trao quyền riêng tư của người dùng tại Việt Nam")</f>
        <v>Tác động của nhận thức về Luật Bảo vệ dữ liệu cá nhân đến cảm nhận công bằng, tính hợp pháp và hành vi trao quyền riêng tư của người dùng tại Việt Nam</v>
      </c>
      <c r="D150" s="4" t="str">
        <f>IFERROR(__xludf.DUMMYFUNCTION("""COMPUTED_VALUE"""),"Nguyễn Thị Ngọc Lan; Nguyễn Lan Anh; Thiều Gia Hân; Nguyễn Thị Thanh Trúc")</f>
        <v>Nguyễn Thị Ngọc Lan; Nguyễn Lan Anh; Thiều Gia Hân; Nguyễn Thị Thanh Trúc</v>
      </c>
      <c r="E150" s="4" t="str">
        <f>IFERROR(__xludf.DUMMYFUNCTION("""COMPUTED_VALUE"""),"Trường Đại học Tài chính - Marketing")</f>
        <v>Trường Đại học Tài chính - Marketing</v>
      </c>
      <c r="F150" s="4" t="str">
        <f>IFERROR(__xludf.DUMMYFUNCTION("""COMPUTED_VALUE"""),"HCPL2026-149.png")</f>
        <v>HCPL2026-149.png</v>
      </c>
    </row>
    <row r="151">
      <c r="A151" s="4" t="str">
        <f>IFERROR(__xludf.DUMMYFUNCTION("""COMPUTED_VALUE"""),"HCPL2026-150")</f>
        <v>HCPL2026-150</v>
      </c>
      <c r="B151" s="4" t="str">
        <f>IFERROR(__xludf.DUMMYFUNCTION("""COMPUTED_VALUE"""),"Hành chính pháp lý")</f>
        <v>Hành chính pháp lý</v>
      </c>
      <c r="C151" s="4" t="str">
        <f>IFERROR(__xludf.DUMMYFUNCTION("""COMPUTED_VALUE"""),"Bảo vệ thuyền viên trước rủi ro xung đột vũ trang trong hoạt động hàng hải: Thực tiễn các eo biển trọng yếu ở Trung đông và giải pháp pháp lý, mô hình cảnh báo rủi ro cho Việt Nam")</f>
        <v>Bảo vệ thuyền viên trước rủi ro xung đột vũ trang trong hoạt động hàng hải: Thực tiễn các eo biển trọng yếu ở Trung đông và giải pháp pháp lý, mô hình cảnh báo rủi ro cho Việt Nam</v>
      </c>
      <c r="D151" s="4" t="str">
        <f>IFERROR(__xludf.DUMMYFUNCTION("""COMPUTED_VALUE"""),"TẠ ĐỨC KHẢ; PHAN THỊ LIÊN; PHẠM HUỲNH LÀNH; LÂM HÀ KHANG; LÊ THỊ HUYỀN")</f>
        <v>TẠ ĐỨC KHẢ; PHAN THỊ LIÊN; PHẠM HUỲNH LÀNH; LÂM HÀ KHANG; LÊ THỊ HUYỀN</v>
      </c>
      <c r="E151" s="4" t="str">
        <f>IFERROR(__xludf.DUMMYFUNCTION("""COMPUTED_VALUE"""),"Trường Đại học Giao thông vận tải TPHCM")</f>
        <v>Trường Đại học Giao thông vận tải TPHCM</v>
      </c>
      <c r="F151" s="4" t="str">
        <f>IFERROR(__xludf.DUMMYFUNCTION("""COMPUTED_VALUE"""),"HCPL2026-150.png")</f>
        <v>HCPL2026-150.png</v>
      </c>
    </row>
    <row r="152">
      <c r="A152" s="4" t="str">
        <f>IFERROR(__xludf.DUMMYFUNCTION("""COMPUTED_VALUE"""),"HCPL2026-151")</f>
        <v>HCPL2026-151</v>
      </c>
      <c r="B152" s="4" t="str">
        <f>IFERROR(__xludf.DUMMYFUNCTION("""COMPUTED_VALUE"""),"Hành chính pháp lý")</f>
        <v>Hành chính pháp lý</v>
      </c>
      <c r="C152" s="4" t="str">
        <f>IFERROR(__xludf.DUMMYFUNCTION("""COMPUTED_VALUE"""),"Pháp luật về bảo vệ dữ liệu cá nhân trên không gian mạng tại Việt Nam - Thực trạng và kiến nghị")</f>
        <v>Pháp luật về bảo vệ dữ liệu cá nhân trên không gian mạng tại Việt Nam - Thực trạng và kiến nghị</v>
      </c>
      <c r="D152" s="4" t="str">
        <f>IFERROR(__xludf.DUMMYFUNCTION("""COMPUTED_VALUE"""),"Cao Công Đoàn; Nguyễn Thanh Tâm; Đỗ Trương Bảo Ngọc; Phạm Tường Vy; Vũ Quang Hiếu")</f>
        <v>Cao Công Đoàn; Nguyễn Thanh Tâm; Đỗ Trương Bảo Ngọc; Phạm Tường Vy; Vũ Quang Hiếu</v>
      </c>
      <c r="E152" s="4" t="str">
        <f>IFERROR(__xludf.DUMMYFUNCTION("""COMPUTED_VALUE"""),"Trường Đại học An ninh Nhân dân")</f>
        <v>Trường Đại học An ninh Nhân dân</v>
      </c>
      <c r="F152" s="4" t="str">
        <f>IFERROR(__xludf.DUMMYFUNCTION("""COMPUTED_VALUE"""),"HCPL2026-151.png")</f>
        <v>HCPL2026-151.png</v>
      </c>
    </row>
    <row r="153">
      <c r="A153" s="4" t="str">
        <f>IFERROR(__xludf.DUMMYFUNCTION("""COMPUTED_VALUE"""),"HCPL2026-152")</f>
        <v>HCPL2026-152</v>
      </c>
      <c r="B153" s="4" t="str">
        <f>IFERROR(__xludf.DUMMYFUNCTION("""COMPUTED_VALUE"""),"Hành chính pháp lý")</f>
        <v>Hành chính pháp lý</v>
      </c>
      <c r="C153" s="4" t="str">
        <f>IFERROR(__xludf.DUMMYFUNCTION("""COMPUTED_VALUE"""),"Xây dựng văn hóa tuân thủ pháp luật đáp ứng yêu cầu phát triển đất nước trong kỷ nguyên mới - Kinh nghiệm một số quốc gia và gợi mở cho Việt Nam")</f>
        <v>Xây dựng văn hóa tuân thủ pháp luật đáp ứng yêu cầu phát triển đất nước trong kỷ nguyên mới - Kinh nghiệm một số quốc gia và gợi mở cho Việt Nam</v>
      </c>
      <c r="D153" s="4" t="str">
        <f>IFERROR(__xludf.DUMMYFUNCTION("""COMPUTED_VALUE"""),"Trần Thị Thanh Huyền; Đèo Thị Phương Nhung; Trương Vũ Khánh")</f>
        <v>Trần Thị Thanh Huyền; Đèo Thị Phương Nhung; Trương Vũ Khánh</v>
      </c>
      <c r="E153" s="4" t="str">
        <f>IFERROR(__xludf.DUMMYFUNCTION("""COMPUTED_VALUE"""),"Trường Đại học Luật Hà Nội")</f>
        <v>Trường Đại học Luật Hà Nội</v>
      </c>
      <c r="F153" s="4" t="str">
        <f>IFERROR(__xludf.DUMMYFUNCTION("""COMPUTED_VALUE"""),"HCPL2026-152.png")</f>
        <v>HCPL2026-152.png</v>
      </c>
    </row>
    <row r="154">
      <c r="A154" s="4" t="str">
        <f>IFERROR(__xludf.DUMMYFUNCTION("""COMPUTED_VALUE"""),"HCPL2026-153")</f>
        <v>HCPL2026-153</v>
      </c>
      <c r="B154" s="4" t="str">
        <f>IFERROR(__xludf.DUMMYFUNCTION("""COMPUTED_VALUE"""),"Hành chính pháp lý")</f>
        <v>Hành chính pháp lý</v>
      </c>
      <c r="C154" s="4" t="str">
        <f>IFERROR(__xludf.DUMMYFUNCTION("""COMPUTED_VALUE"""),"The legal framework of physician - assisted suicide (PAS): An analysis of permissive, discretionary and prohibitive regulatory models worldwide")</f>
        <v>The legal framework of physician - assisted suicide (PAS): An analysis of permissive, discretionary and prohibitive regulatory models worldwide</v>
      </c>
      <c r="D154" s="4" t="str">
        <f>IFERROR(__xludf.DUMMYFUNCTION("""COMPUTED_VALUE"""),"Hoàng Huyền Ngọc Diệp; Phạm Quỳnh Hương")</f>
        <v>Hoàng Huyền Ngọc Diệp; Phạm Quỳnh Hương</v>
      </c>
      <c r="E154" s="4" t="str">
        <f>IFERROR(__xludf.DUMMYFUNCTION("""COMPUTED_VALUE"""),"Trường Đại học Luật, ĐHQGHN")</f>
        <v>Trường Đại học Luật, ĐHQGHN</v>
      </c>
      <c r="F154" s="4" t="str">
        <f>IFERROR(__xludf.DUMMYFUNCTION("""COMPUTED_VALUE"""),"HCPL2026-153.png")</f>
        <v>HCPL2026-153.png</v>
      </c>
    </row>
    <row r="155">
      <c r="A155" s="4" t="str">
        <f>IFERROR(__xludf.DUMMYFUNCTION("""COMPUTED_VALUE"""),"HCPL2026-154")</f>
        <v>HCPL2026-154</v>
      </c>
      <c r="B155" s="4" t="str">
        <f>IFERROR(__xludf.DUMMYFUNCTION("""COMPUTED_VALUE"""),"Hành chính pháp lý")</f>
        <v>Hành chính pháp lý</v>
      </c>
      <c r="C155" s="4" t="str">
        <f>IFERROR(__xludf.DUMMYFUNCTION("""COMPUTED_VALUE"""),"The Multidimensional Impact of Institutional Quality on Bilateral Services Trade: An empirical analysis")</f>
        <v>The Multidimensional Impact of Institutional Quality on Bilateral Services Trade: An empirical analysis</v>
      </c>
      <c r="D155" s="4" t="str">
        <f>IFERROR(__xludf.DUMMYFUNCTION("""COMPUTED_VALUE"""),"Trần Võ Mạnh Tuấn; Nguyễn Hương Ly; Bùi Anh Khôi")</f>
        <v>Trần Võ Mạnh Tuấn; Nguyễn Hương Ly; Bùi Anh Khôi</v>
      </c>
      <c r="E155" s="4" t="str">
        <f>IFERROR(__xludf.DUMMYFUNCTION("""COMPUTED_VALUE"""),"Phân hiệu Trường Đại học Ngoại thương TPHCM")</f>
        <v>Phân hiệu Trường Đại học Ngoại thương TPHCM</v>
      </c>
      <c r="F155" s="4" t="str">
        <f>IFERROR(__xludf.DUMMYFUNCTION("""COMPUTED_VALUE"""),"HCPL2026-154.png")</f>
        <v>HCPL2026-154.png</v>
      </c>
    </row>
    <row r="156">
      <c r="A156" s="4" t="str">
        <f>IFERROR(__xludf.DUMMYFUNCTION("""COMPUTED_VALUE"""),"HCPL2026-155")</f>
        <v>HCPL2026-155</v>
      </c>
      <c r="B156" s="4" t="str">
        <f>IFERROR(__xludf.DUMMYFUNCTION("""COMPUTED_VALUE"""),"Hành chính pháp lý")</f>
        <v>Hành chính pháp lý</v>
      </c>
      <c r="C156" s="4" t="str">
        <f>IFERROR(__xludf.DUMMYFUNCTION("""COMPUTED_VALUE"""),"Impact of Minimum Wage by Zones on Real Average Wage in Vietnam (Tác động của mức lương tối thiểu theo vùng đến tiền lương bình quân thực tế tại Việt Nam)")</f>
        <v>Impact of Minimum Wage by Zones on Real Average Wage in Vietnam (Tác động của mức lương tối thiểu theo vùng đến tiền lương bình quân thực tế tại Việt Nam)</v>
      </c>
      <c r="D156" s="4" t="str">
        <f>IFERROR(__xludf.DUMMYFUNCTION("""COMPUTED_VALUE"""),"Nguyễn Ngọc Quỳnh Hương; Lưu Thành Trí; Phan Gia Hân; Nguyễn Thái Diễm Quỳnh; Võ Đoàn Phương Vy")</f>
        <v>Nguyễn Ngọc Quỳnh Hương; Lưu Thành Trí; Phan Gia Hân; Nguyễn Thái Diễm Quỳnh; Võ Đoàn Phương Vy</v>
      </c>
      <c r="E156" s="4" t="str">
        <f>IFERROR(__xludf.DUMMYFUNCTION("""COMPUTED_VALUE"""),"Phân hiệu Trường Đại học Ngoại thương TPHCM")</f>
        <v>Phân hiệu Trường Đại học Ngoại thương TPHCM</v>
      </c>
      <c r="F156" s="4" t="str">
        <f>IFERROR(__xludf.DUMMYFUNCTION("""COMPUTED_VALUE"""),"HCPL2026-155.png")</f>
        <v>HCPL2026-155.png</v>
      </c>
    </row>
    <row r="157">
      <c r="A157" s="4" t="str">
        <f>IFERROR(__xludf.DUMMYFUNCTION("""COMPUTED_VALUE"""),"HCPL2026-156")</f>
        <v>HCPL2026-156</v>
      </c>
      <c r="B157" s="4" t="str">
        <f>IFERROR(__xludf.DUMMYFUNCTION("""COMPUTED_VALUE"""),"Hành chính pháp lý")</f>
        <v>Hành chính pháp lý</v>
      </c>
      <c r="C157" s="4" t="str">
        <f>IFERROR(__xludf.DUMMYFUNCTION("""COMPUTED_VALUE"""),"Hoàn thiện pháp luật về bảo vệ dữ liệu cá nhân trên không gian mạng tại Việt Nam.")</f>
        <v>Hoàn thiện pháp luật về bảo vệ dữ liệu cá nhân trên không gian mạng tại Việt Nam.</v>
      </c>
      <c r="D157" s="4" t="str">
        <f>IFERROR(__xludf.DUMMYFUNCTION("""COMPUTED_VALUE"""),"Đỗ Thị Lan Anh; Nguyễn Minh Thanh; Đào Mai Trang; Nguyễn Linh Ngân; Lê Thị Việt Trinh")</f>
        <v>Đỗ Thị Lan Anh; Nguyễn Minh Thanh; Đào Mai Trang; Nguyễn Linh Ngân; Lê Thị Việt Trinh</v>
      </c>
      <c r="E157" s="4" t="str">
        <f>IFERROR(__xludf.DUMMYFUNCTION("""COMPUTED_VALUE"""),"Học viện Ngân hàng")</f>
        <v>Học viện Ngân hàng</v>
      </c>
      <c r="F157" s="4" t="str">
        <f>IFERROR(__xludf.DUMMYFUNCTION("""COMPUTED_VALUE"""),"HCPL2026-156.png")</f>
        <v>HCPL2026-156.png</v>
      </c>
    </row>
    <row r="158">
      <c r="A158" s="4" t="str">
        <f>IFERROR(__xludf.DUMMYFUNCTION("""COMPUTED_VALUE"""),"HCPL2026-157")</f>
        <v>HCPL2026-157</v>
      </c>
      <c r="B158" s="4" t="str">
        <f>IFERROR(__xludf.DUMMYFUNCTION("""COMPUTED_VALUE"""),"Hành chính pháp lý")</f>
        <v>Hành chính pháp lý</v>
      </c>
      <c r="C158" s="4" t="str">
        <f>IFERROR(__xludf.DUMMYFUNCTION("""COMPUTED_VALUE"""),"Xây dựng hình ảnh cá nhân trên không gian mạng và một số vấn đề đặt ra cho sinh viên Học viện Ngân hàng")</f>
        <v>Xây dựng hình ảnh cá nhân trên không gian mạng và một số vấn đề đặt ra cho sinh viên Học viện Ngân hàng</v>
      </c>
      <c r="D158" s="4" t="str">
        <f>IFERROR(__xludf.DUMMYFUNCTION("""COMPUTED_VALUE"""),"Nguyễn Bảo Hân; Lê Hà Giang; Nguyễn Thị Thuỳ Giang; Nguyễn Thị Hồng Hà")</f>
        <v>Nguyễn Bảo Hân; Lê Hà Giang; Nguyễn Thị Thuỳ Giang; Nguyễn Thị Hồng Hà</v>
      </c>
      <c r="E158" s="4" t="str">
        <f>IFERROR(__xludf.DUMMYFUNCTION("""COMPUTED_VALUE"""),"Học viện Ngân hàng")</f>
        <v>Học viện Ngân hàng</v>
      </c>
      <c r="F158" s="4" t="str">
        <f>IFERROR(__xludf.DUMMYFUNCTION("""COMPUTED_VALUE"""),"HCPL2026-157.png")</f>
        <v>HCPL2026-157.png</v>
      </c>
    </row>
    <row r="159">
      <c r="A159" s="4" t="str">
        <f>IFERROR(__xludf.DUMMYFUNCTION("""COMPUTED_VALUE"""),"HCPL2026-158")</f>
        <v>HCPL2026-158</v>
      </c>
      <c r="B159" s="4" t="str">
        <f>IFERROR(__xludf.DUMMYFUNCTION("""COMPUTED_VALUE"""),"Hành chính pháp lý")</f>
        <v>Hành chính pháp lý</v>
      </c>
      <c r="C159" s="4" t="str">
        <f>IFERROR(__xludf.DUMMYFUNCTION("""COMPUTED_VALUE"""),"Đề xuất hoàn thiện khung pháp luật về quản lý và sử dụng đất chợ theo mô hình phát triển đô thị định hướng giao thông công cộng (TOD) tại Việt Nam")</f>
        <v>Đề xuất hoàn thiện khung pháp luật về quản lý và sử dụng đất chợ theo mô hình phát triển đô thị định hướng giao thông công cộng (TOD) tại Việt Nam</v>
      </c>
      <c r="D159" s="4" t="str">
        <f>IFERROR(__xludf.DUMMYFUNCTION("""COMPUTED_VALUE"""),"Nguyễn Hồng Nhi; Nguyễn Thị Ngọc Anh; Hoàng Bội Châu; Lê Thị Như Ngọc; Thái Thị Thùy Trang")</f>
        <v>Nguyễn Hồng Nhi; Nguyễn Thị Ngọc Anh; Hoàng Bội Châu; Lê Thị Như Ngọc; Thái Thị Thùy Trang</v>
      </c>
      <c r="E159" s="4" t="str">
        <f>IFERROR(__xludf.DUMMYFUNCTION("""COMPUTED_VALUE"""),"Trường Đại học Kinh tế - Luật, ĐHQG-HCM")</f>
        <v>Trường Đại học Kinh tế - Luật, ĐHQG-HCM</v>
      </c>
      <c r="F159" s="4" t="str">
        <f>IFERROR(__xludf.DUMMYFUNCTION("""COMPUTED_VALUE"""),"HCPL2026-158.png")</f>
        <v>HCPL2026-158.png</v>
      </c>
    </row>
    <row r="160">
      <c r="A160" s="4" t="str">
        <f>IFERROR(__xludf.DUMMYFUNCTION("""COMPUTED_VALUE"""),"HCPL2026-159")</f>
        <v>HCPL2026-159</v>
      </c>
      <c r="B160" s="4" t="str">
        <f>IFERROR(__xludf.DUMMYFUNCTION("""COMPUTED_VALUE"""),"Hành chính pháp lý")</f>
        <v>Hành chính pháp lý</v>
      </c>
      <c r="C160" s="4" t="str">
        <f>IFERROR(__xludf.DUMMYFUNCTION("""COMPUTED_VALUE"""),"Thực hiện thủ tục hành chính trên Cổng Dịch vụ công Quốc gia cho người cao tuổi tại xã Gia Trấn, tỉnh Ninh Bình")</f>
        <v>Thực hiện thủ tục hành chính trên Cổng Dịch vụ công Quốc gia cho người cao tuổi tại xã Gia Trấn, tỉnh Ninh Bình</v>
      </c>
      <c r="D160" s="4" t="str">
        <f>IFERROR(__xludf.DUMMYFUNCTION("""COMPUTED_VALUE"""),"Nguyễn Thị Bích Quyên; Dương Thị Thùy Linh")</f>
        <v>Nguyễn Thị Bích Quyên; Dương Thị Thùy Linh</v>
      </c>
      <c r="E160" s="4" t="str">
        <f>IFERROR(__xludf.DUMMYFUNCTION("""COMPUTED_VALUE"""),"Học viện Thanh Thiếu niên Việt Nam")</f>
        <v>Học viện Thanh Thiếu niên Việt Nam</v>
      </c>
      <c r="F160" s="4" t="str">
        <f>IFERROR(__xludf.DUMMYFUNCTION("""COMPUTED_VALUE"""),"HCPL2026-159.png")</f>
        <v>HCPL2026-159.png</v>
      </c>
    </row>
    <row r="161">
      <c r="A161" s="4" t="str">
        <f>IFERROR(__xludf.DUMMYFUNCTION("""COMPUTED_VALUE"""),"HCPL2026-160")</f>
        <v>HCPL2026-160</v>
      </c>
      <c r="B161" s="4" t="str">
        <f>IFERROR(__xludf.DUMMYFUNCTION("""COMPUTED_VALUE"""),"Hành chính pháp lý")</f>
        <v>Hành chính pháp lý</v>
      </c>
      <c r="C161" s="4" t="str">
        <f>IFERROR(__xludf.DUMMYFUNCTION("""COMPUTED_VALUE"""),"Quản lý nhà nước đối với làng nghề truyền thống dệt lụa Mã Châu tại xã Nam Phước, Thành phố Đà Nẵng")</f>
        <v>Quản lý nhà nước đối với làng nghề truyền thống dệt lụa Mã Châu tại xã Nam Phước, Thành phố Đà Nẵng</v>
      </c>
      <c r="D161" s="4" t="str">
        <f>IFERROR(__xludf.DUMMYFUNCTION("""COMPUTED_VALUE"""),"Đoàn Văn Quốc; Vũ Ngô Thùy Linh; Nguyễn Thị Quỳnh Trang")</f>
        <v>Đoàn Văn Quốc; Vũ Ngô Thùy Linh; Nguyễn Thị Quỳnh Trang</v>
      </c>
      <c r="E161" s="4" t="str">
        <f>IFERROR(__xludf.DUMMYFUNCTION("""COMPUTED_VALUE"""),"Phân hiệu Học viện Hành chính và Quản trị công TPHCM")</f>
        <v>Phân hiệu Học viện Hành chính và Quản trị công TPHCM</v>
      </c>
      <c r="F161" s="4" t="str">
        <f>IFERROR(__xludf.DUMMYFUNCTION("""COMPUTED_VALUE"""),"HCPL2026-160.png")</f>
        <v>HCPL2026-160.png</v>
      </c>
    </row>
    <row r="162">
      <c r="A162" s="4" t="str">
        <f>IFERROR(__xludf.DUMMYFUNCTION("""COMPUTED_VALUE"""),"HCPL2026-161")</f>
        <v>HCPL2026-161</v>
      </c>
      <c r="B162" s="4" t="str">
        <f>IFERROR(__xludf.DUMMYFUNCTION("""COMPUTED_VALUE"""),"Hành chính pháp lý")</f>
        <v>Hành chính pháp lý</v>
      </c>
      <c r="C162" s="4" t="str">
        <f>IFERROR(__xludf.DUMMYFUNCTION("""COMPUTED_VALUE"""),"Năng lực của Bí thư Đoàn Thanh niên Cộng sản Hồ Chí Minh phường sau sắp xếp, tinh gọn bộ máy")</f>
        <v>Năng lực của Bí thư Đoàn Thanh niên Cộng sản Hồ Chí Minh phường sau sắp xếp, tinh gọn bộ máy</v>
      </c>
      <c r="D162" s="4" t="str">
        <f>IFERROR(__xludf.DUMMYFUNCTION("""COMPUTED_VALUE"""),"Nguyễn Phạm Yến Vy; Phan Gia Huy")</f>
        <v>Nguyễn Phạm Yến Vy; Phan Gia Huy</v>
      </c>
      <c r="E162" s="4" t="str">
        <f>IFERROR(__xludf.DUMMYFUNCTION("""COMPUTED_VALUE"""),"Phân hiệu Học viện Hành chính và Quản trị công TPHCM")</f>
        <v>Phân hiệu Học viện Hành chính và Quản trị công TPHCM</v>
      </c>
      <c r="F162" s="4" t="str">
        <f>IFERROR(__xludf.DUMMYFUNCTION("""COMPUTED_VALUE"""),"HCPL2026-161.png")</f>
        <v>HCPL2026-161.png</v>
      </c>
    </row>
    <row r="163">
      <c r="A163" s="4" t="str">
        <f>IFERROR(__xludf.DUMMYFUNCTION("""COMPUTED_VALUE"""),"HCPL2026-162")</f>
        <v>HCPL2026-162</v>
      </c>
      <c r="B163" s="4" t="str">
        <f>IFERROR(__xludf.DUMMYFUNCTION("""COMPUTED_VALUE"""),"Hành chính pháp lý")</f>
        <v>Hành chính pháp lý</v>
      </c>
      <c r="C163" s="4" t="str">
        <f>IFERROR(__xludf.DUMMYFUNCTION("""COMPUTED_VALUE"""),"Pháp luật về quy hoạch không gian biển phát triển điện gió ngoài khơi gắn với bảo đảm quốc phòng, an ninh và an toàn hàng hải ở Việt Nam: Thực trạng và kiến nghị")</f>
        <v>Pháp luật về quy hoạch không gian biển phát triển điện gió ngoài khơi gắn với bảo đảm quốc phòng, an ninh và an toàn hàng hải ở Việt Nam: Thực trạng và kiến nghị</v>
      </c>
      <c r="D163" s="4" t="str">
        <f>IFERROR(__xludf.DUMMYFUNCTION("""COMPUTED_VALUE"""),"Nguyễn Trần Khánh Linh; Trần Thảo Linh; Nguyễn Thảo Nguyên ; Trần Mai Linh")</f>
        <v>Nguyễn Trần Khánh Linh; Trần Thảo Linh; Nguyễn Thảo Nguyên ; Trần Mai Linh</v>
      </c>
      <c r="E163" s="4" t="str">
        <f>IFERROR(__xludf.DUMMYFUNCTION("""COMPUTED_VALUE"""),"Học viện Ngoại giao")</f>
        <v>Học viện Ngoại giao</v>
      </c>
      <c r="F163" s="4" t="str">
        <f>IFERROR(__xludf.DUMMYFUNCTION("""COMPUTED_VALUE"""),"HCPL2026-162.png")</f>
        <v>HCPL2026-162.png</v>
      </c>
    </row>
    <row r="164">
      <c r="A164" s="4" t="str">
        <f>IFERROR(__xludf.DUMMYFUNCTION("""COMPUTED_VALUE"""),"HCPL2026-163")</f>
        <v>HCPL2026-163</v>
      </c>
      <c r="B164" s="4" t="str">
        <f>IFERROR(__xludf.DUMMYFUNCTION("""COMPUTED_VALUE"""),"Hành chính pháp lý")</f>
        <v>Hành chính pháp lý</v>
      </c>
      <c r="C164" s="4" t="str">
        <f>IFERROR(__xludf.DUMMYFUNCTION("""COMPUTED_VALUE"""),"Truyền thông chính sách bảo tồn và phát huy văn hoá dân tộc Sán Chỉ ở tỉnh Quảng Ninh")</f>
        <v>Truyền thông chính sách bảo tồn và phát huy văn hoá dân tộc Sán Chỉ ở tỉnh Quảng Ninh</v>
      </c>
      <c r="D164" s="4" t="str">
        <f>IFERROR(__xludf.DUMMYFUNCTION("""COMPUTED_VALUE"""),"Nguyễn Duy Long; Nguyễn Ngọc Trâm; Nguyễn Thị Thu Lan; Lý Thị Lan; Cao Trà My")</f>
        <v>Nguyễn Duy Long; Nguyễn Ngọc Trâm; Nguyễn Thị Thu Lan; Lý Thị Lan; Cao Trà My</v>
      </c>
      <c r="E164" s="4" t="str">
        <f>IFERROR(__xludf.DUMMYFUNCTION("""COMPUTED_VALUE"""),"Học viện Hành chính và Quản trị công")</f>
        <v>Học viện Hành chính và Quản trị công</v>
      </c>
      <c r="F164" s="4" t="str">
        <f>IFERROR(__xludf.DUMMYFUNCTION("""COMPUTED_VALUE"""),"HCPL2026-163.png")</f>
        <v>HCPL2026-163.png</v>
      </c>
    </row>
    <row r="165">
      <c r="A165" s="4" t="str">
        <f>IFERROR(__xludf.DUMMYFUNCTION("""COMPUTED_VALUE"""),"HCPL2026-164")</f>
        <v>HCPL2026-164</v>
      </c>
      <c r="B165" s="4" t="str">
        <f>IFERROR(__xludf.DUMMYFUNCTION("""COMPUTED_VALUE"""),"Hành chính pháp lý")</f>
        <v>Hành chính pháp lý</v>
      </c>
      <c r="C165" s="4" t="str">
        <f>IFERROR(__xludf.DUMMYFUNCTION("""COMPUTED_VALUE"""),"Ứng dụng trí tuệ nhân tạo trong học tập của sinh viên tại Học viện Hành chính và Quản trị công")</f>
        <v>Ứng dụng trí tuệ nhân tạo trong học tập của sinh viên tại Học viện Hành chính và Quản trị công</v>
      </c>
      <c r="D165" s="4" t="str">
        <f>IFERROR(__xludf.DUMMYFUNCTION("""COMPUTED_VALUE"""),"Nguyễn Đình Khánh Linh; Nguyễn Mạnh Tân; Trần Thị Phương Anh; Vũ Thị Hồng Mai")</f>
        <v>Nguyễn Đình Khánh Linh; Nguyễn Mạnh Tân; Trần Thị Phương Anh; Vũ Thị Hồng Mai</v>
      </c>
      <c r="E165" s="4" t="str">
        <f>IFERROR(__xludf.DUMMYFUNCTION("""COMPUTED_VALUE"""),"Học viện Hành chính và Quản trị công")</f>
        <v>Học viện Hành chính và Quản trị công</v>
      </c>
      <c r="F165" s="4" t="str">
        <f>IFERROR(__xludf.DUMMYFUNCTION("""COMPUTED_VALUE"""),"HCPL2026-164.png")</f>
        <v>HCPL2026-164.png</v>
      </c>
    </row>
    <row r="166">
      <c r="A166" s="4" t="str">
        <f>IFERROR(__xludf.DUMMYFUNCTION("""COMPUTED_VALUE"""),"HCPL2026-165")</f>
        <v>HCPL2026-165</v>
      </c>
      <c r="B166" s="4" t="str">
        <f>IFERROR(__xludf.DUMMYFUNCTION("""COMPUTED_VALUE"""),"Hành chính pháp lý")</f>
        <v>Hành chính pháp lý</v>
      </c>
      <c r="C166" s="4" t="str">
        <f>IFERROR(__xludf.DUMMYFUNCTION("""COMPUTED_VALUE"""),"Sự hài lòng với dịch vụ hành chính công trực tuyến và niềm tin vào Chính phủ điện tử: Ảnh hưởng của chất lượng trải nghiệm của người dân Việt Nam")</f>
        <v>Sự hài lòng với dịch vụ hành chính công trực tuyến và niềm tin vào Chính phủ điện tử: Ảnh hưởng của chất lượng trải nghiệm của người dân Việt Nam</v>
      </c>
      <c r="D166" s="4" t="str">
        <f>IFERROR(__xludf.DUMMYFUNCTION("""COMPUTED_VALUE"""),"Nguyễn Minh Ngọc; Nguyễn Kiều Trang; Đỗ Khánh Vân Anh; Trần Thị Minh Anh; Phạm Ngọc Đức")</f>
        <v>Nguyễn Minh Ngọc; Nguyễn Kiều Trang; Đỗ Khánh Vân Anh; Trần Thị Minh Anh; Phạm Ngọc Đức</v>
      </c>
      <c r="E166" s="4" t="str">
        <f>IFERROR(__xludf.DUMMYFUNCTION("""COMPUTED_VALUE"""),"Trường Đại học Kinh tế Quốc dân")</f>
        <v>Trường Đại học Kinh tế Quốc dân</v>
      </c>
      <c r="F166" s="4" t="str">
        <f>IFERROR(__xludf.DUMMYFUNCTION("""COMPUTED_VALUE"""),"HCPL2026-165.png")</f>
        <v>HCPL2026-165.png</v>
      </c>
    </row>
    <row r="167">
      <c r="A167" s="4" t="str">
        <f>IFERROR(__xludf.DUMMYFUNCTION("""COMPUTED_VALUE"""),"HCPL2026-166")</f>
        <v>HCPL2026-166</v>
      </c>
      <c r="B167" s="4" t="str">
        <f>IFERROR(__xludf.DUMMYFUNCTION("""COMPUTED_VALUE"""),"Hành chính pháp lý")</f>
        <v>Hành chính pháp lý</v>
      </c>
      <c r="C167" s="4" t="str">
        <f>IFERROR(__xludf.DUMMYFUNCTION("""COMPUTED_VALUE"""),"Pháp luật về bảo tồn và phát triển những giá trị di sản văn hóa, qua thực tiễn tại phố cổ Gia Hội – Chợ Dinh, Thành phố Huế")</f>
        <v>Pháp luật về bảo tồn và phát triển những giá trị di sản văn hóa, qua thực tiễn tại phố cổ Gia Hội – Chợ Dinh, Thành phố Huế</v>
      </c>
      <c r="D167" s="4" t="str">
        <f>IFERROR(__xludf.DUMMYFUNCTION("""COMPUTED_VALUE"""),"Võ Như Huy, Nguyễn Văn Minh; Phạm Trần Bình Dương")</f>
        <v>Võ Như Huy, Nguyễn Văn Minh; Phạm Trần Bình Dương</v>
      </c>
      <c r="E167" s="4" t="str">
        <f>IFERROR(__xludf.DUMMYFUNCTION("""COMPUTED_VALUE"""),"Trường Đại học Luật, Đại học Huế")</f>
        <v>Trường Đại học Luật, Đại học Huế</v>
      </c>
      <c r="F167" s="4" t="str">
        <f>IFERROR(__xludf.DUMMYFUNCTION("""COMPUTED_VALUE"""),"HCPL2026-166.png")</f>
        <v>HCPL2026-166.png</v>
      </c>
    </row>
    <row r="168">
      <c r="A168" s="4" t="str">
        <f>IFERROR(__xludf.DUMMYFUNCTION("""COMPUTED_VALUE"""),"HCPL2026-167")</f>
        <v>HCPL2026-167</v>
      </c>
      <c r="B168" s="4" t="str">
        <f>IFERROR(__xludf.DUMMYFUNCTION("""COMPUTED_VALUE"""),"Hành chính pháp lý")</f>
        <v>Hành chính pháp lý</v>
      </c>
      <c r="C168" s="4" t="str">
        <f>IFERROR(__xludf.DUMMYFUNCTION("""COMPUTED_VALUE"""),"Quản trị công của chính quyền cấp xã từ thực tiễn tỉnh Hưng Yên")</f>
        <v>Quản trị công của chính quyền cấp xã từ thực tiễn tỉnh Hưng Yên</v>
      </c>
      <c r="D168" s="4" t="str">
        <f>IFERROR(__xludf.DUMMYFUNCTION("""COMPUTED_VALUE"""),"Nguyễn Ngọc Anh; Đỗ Phan Đức Anh; Trần Dương Minh Hòa")</f>
        <v>Nguyễn Ngọc Anh; Đỗ Phan Đức Anh; Trần Dương Minh Hòa</v>
      </c>
      <c r="E168" s="4" t="str">
        <f>IFERROR(__xludf.DUMMYFUNCTION("""COMPUTED_VALUE"""),"Trường Đại học Kiểm sát")</f>
        <v>Trường Đại học Kiểm sát</v>
      </c>
      <c r="F168" s="4" t="str">
        <f>IFERROR(__xludf.DUMMYFUNCTION("""COMPUTED_VALUE"""),"HCPL2026-167.png")</f>
        <v>HCPL2026-167.png</v>
      </c>
    </row>
    <row r="169">
      <c r="A169" s="4" t="str">
        <f>IFERROR(__xludf.DUMMYFUNCTION("""COMPUTED_VALUE"""),"HCPL2026-168")</f>
        <v>HCPL2026-168</v>
      </c>
      <c r="B169" s="4" t="str">
        <f>IFERROR(__xludf.DUMMYFUNCTION("""COMPUTED_VALUE"""),"Hành chính pháp lý")</f>
        <v>Hành chính pháp lý</v>
      </c>
      <c r="C169" s="4" t="str">
        <f>IFERROR(__xludf.DUMMYFUNCTION("""COMPUTED_VALUE"""),"Giải pháp sắp xếp và khai thác hiệu quả không gian trụ sở hành chính sau sáp nhập tại phường Hải Dương - Thành phố Hải Phòng")</f>
        <v>Giải pháp sắp xếp và khai thác hiệu quả không gian trụ sở hành chính sau sáp nhập tại phường Hải Dương - Thành phố Hải Phòng</v>
      </c>
      <c r="D169" s="4" t="str">
        <f>IFERROR(__xludf.DUMMYFUNCTION("""COMPUTED_VALUE"""),"Lê Thu Huyền; Trần Thanh Ngân ; Nguyễn Trà Giang")</f>
        <v>Lê Thu Huyền; Trần Thanh Ngân ; Nguyễn Trà Giang</v>
      </c>
      <c r="E169" s="4"/>
      <c r="F169" s="4" t="str">
        <f>IFERROR(__xludf.DUMMYFUNCTION("""COMPUTED_VALUE"""),"HCPL2026-168.png")</f>
        <v>HCPL2026-168.png</v>
      </c>
    </row>
    <row r="170">
      <c r="A170" s="4" t="str">
        <f>IFERROR(__xludf.DUMMYFUNCTION("""COMPUTED_VALUE"""),"HCPL2026-169")</f>
        <v>HCPL2026-169</v>
      </c>
      <c r="B170" s="4" t="str">
        <f>IFERROR(__xludf.DUMMYFUNCTION("""COMPUTED_VALUE"""),"Hành chính pháp lý")</f>
        <v>Hành chính pháp lý</v>
      </c>
      <c r="C170" s="4" t="str">
        <f>IFERROR(__xludf.DUMMYFUNCTION("""COMPUTED_VALUE"""),"Quản lý nhà nước đối với các khu thương mại tự do – Kinh nghiệm của một số quốc gia và bài học cho Thành phố Hồ Chí Minh")</f>
        <v>Quản lý nhà nước đối với các khu thương mại tự do – Kinh nghiệm của một số quốc gia và bài học cho Thành phố Hồ Chí Minh</v>
      </c>
      <c r="D170" s="4" t="str">
        <f>IFERROR(__xludf.DUMMYFUNCTION("""COMPUTED_VALUE"""),"Võ Huỳnh Ngọc Hạnh")</f>
        <v>Võ Huỳnh Ngọc Hạnh</v>
      </c>
      <c r="E170" s="4" t="str">
        <f>IFERROR(__xludf.DUMMYFUNCTION("""COMPUTED_VALUE"""),"Học viện Cán bộ TPHCM")</f>
        <v>Học viện Cán bộ TPHCM</v>
      </c>
      <c r="F170" s="4" t="str">
        <f>IFERROR(__xludf.DUMMYFUNCTION("""COMPUTED_VALUE"""),"HCPL2026-169.png")</f>
        <v>HCPL2026-169.png</v>
      </c>
    </row>
    <row r="171">
      <c r="A171" s="4" t="str">
        <f>IFERROR(__xludf.DUMMYFUNCTION("""COMPUTED_VALUE"""),"HCPL2026-170")</f>
        <v>HCPL2026-170</v>
      </c>
      <c r="B171" s="4" t="str">
        <f>IFERROR(__xludf.DUMMYFUNCTION("""COMPUTED_VALUE"""),"Hành chính pháp lý")</f>
        <v>Hành chính pháp lý</v>
      </c>
      <c r="C171" s="4" t="str">
        <f>IFERROR(__xludf.DUMMYFUNCTION("""COMPUTED_VALUE"""),"Đánh giá các rào cản cho phát triển chung cư xanh tại các khu đô thị Việt Nam nhằm mục tiêu phát triển bền vững")</f>
        <v>Đánh giá các rào cản cho phát triển chung cư xanh tại các khu đô thị Việt Nam nhằm mục tiêu phát triển bền vững</v>
      </c>
      <c r="D171" s="4" t="str">
        <f>IFERROR(__xludf.DUMMYFUNCTION("""COMPUTED_VALUE"""),"Nguyễn Thị Phương Liễu; Trần Thu Trang; Bùi Thị Nga; Tạ Hạnh Chi; Đỗ Mai Anh")</f>
        <v>Nguyễn Thị Phương Liễu; Trần Thu Trang; Bùi Thị Nga; Tạ Hạnh Chi; Đỗ Mai Anh</v>
      </c>
      <c r="E171" s="4" t="str">
        <f>IFERROR(__xludf.DUMMYFUNCTION("""COMPUTED_VALUE"""),"Trường Đại học Kiến trúc Hà Nội")</f>
        <v>Trường Đại học Kiến trúc Hà Nội</v>
      </c>
      <c r="F171" s="4" t="str">
        <f>IFERROR(__xludf.DUMMYFUNCTION("""COMPUTED_VALUE"""),"HCPL2026-170.png")</f>
        <v>HCPL2026-170.png</v>
      </c>
    </row>
    <row r="172">
      <c r="A172" s="4" t="str">
        <f>IFERROR(__xludf.DUMMYFUNCTION("""COMPUTED_VALUE"""),"HCPL2026-171")</f>
        <v>HCPL2026-171</v>
      </c>
      <c r="B172" s="4" t="str">
        <f>IFERROR(__xludf.DUMMYFUNCTION("""COMPUTED_VALUE"""),"Hành chính pháp lý")</f>
        <v>Hành chính pháp lý</v>
      </c>
      <c r="C172" s="4" t="str">
        <f>IFERROR(__xludf.DUMMYFUNCTION("""COMPUTED_VALUE"""),"Chính sách phát triển mô hình kinh tế tầm thấp ở một số quốc gia và khuyến nghị cho Việt Nam")</f>
        <v>Chính sách phát triển mô hình kinh tế tầm thấp ở một số quốc gia và khuyến nghị cho Việt Nam</v>
      </c>
      <c r="D172" s="4" t="str">
        <f>IFERROR(__xludf.DUMMYFUNCTION("""COMPUTED_VALUE"""),"Từ Ngọc Minh Tiến")</f>
        <v>Từ Ngọc Minh Tiến</v>
      </c>
      <c r="E172" s="4" t="str">
        <f>IFERROR(__xludf.DUMMYFUNCTION("""COMPUTED_VALUE"""),"Học viện Cán bộ TPHCM")</f>
        <v>Học viện Cán bộ TPHCM</v>
      </c>
      <c r="F172" s="4" t="str">
        <f>IFERROR(__xludf.DUMMYFUNCTION("""COMPUTED_VALUE"""),"HCPL2026-171.png")</f>
        <v>HCPL2026-171.png</v>
      </c>
    </row>
    <row r="173">
      <c r="A173" s="4" t="str">
        <f>IFERROR(__xludf.DUMMYFUNCTION("""COMPUTED_VALUE"""),"HCPL2026-172")</f>
        <v>HCPL2026-172</v>
      </c>
      <c r="B173" s="4" t="str">
        <f>IFERROR(__xludf.DUMMYFUNCTION("""COMPUTED_VALUE"""),"Hành chính pháp lý")</f>
        <v>Hành chính pháp lý</v>
      </c>
      <c r="C173" s="4" t="str">
        <f>IFERROR(__xludf.DUMMYFUNCTION("""COMPUTED_VALUE"""),"Nghiên Cứu Ứng Dụng AI Trong Quản Lý Nhà Ở Xã Hội Tại Hà Nội")</f>
        <v>Nghiên Cứu Ứng Dụng AI Trong Quản Lý Nhà Ở Xã Hội Tại Hà Nội</v>
      </c>
      <c r="D173" s="4" t="str">
        <f>IFERROR(__xludf.DUMMYFUNCTION("""COMPUTED_VALUE"""),"Trần Ngân Giang; Nguyễn Bảo Châu; Phạm Nhật Hảo; Trần Thị Phương Anh; Nguyễn Hương Giang")</f>
        <v>Trần Ngân Giang; Nguyễn Bảo Châu; Phạm Nhật Hảo; Trần Thị Phương Anh; Nguyễn Hương Giang</v>
      </c>
      <c r="E173" s="4" t="str">
        <f>IFERROR(__xludf.DUMMYFUNCTION("""COMPUTED_VALUE"""),"Trường Đại học Kiến trúc Hà Nội")</f>
        <v>Trường Đại học Kiến trúc Hà Nội</v>
      </c>
      <c r="F173" s="4" t="str">
        <f>IFERROR(__xludf.DUMMYFUNCTION("""COMPUTED_VALUE"""),"HCPL2026-172.png")</f>
        <v>HCPL2026-172.png</v>
      </c>
    </row>
    <row r="174">
      <c r="A174" s="4" t="str">
        <f>IFERROR(__xludf.DUMMYFUNCTION("""COMPUTED_VALUE"""),"HCPL2026-173")</f>
        <v>HCPL2026-173</v>
      </c>
      <c r="B174" s="4" t="str">
        <f>IFERROR(__xludf.DUMMYFUNCTION("""COMPUTED_VALUE"""),"Hành chính pháp lý")</f>
        <v>Hành chính pháp lý</v>
      </c>
      <c r="C174" s="4" t="str">
        <f>IFERROR(__xludf.DUMMYFUNCTION("""COMPUTED_VALUE"""),"Chính sách phát triển kinh tế biển xanh tại khu vực phía Đông Thành phố Hồ Chí Minh")</f>
        <v>Chính sách phát triển kinh tế biển xanh tại khu vực phía Đông Thành phố Hồ Chí Minh</v>
      </c>
      <c r="D174" s="4" t="str">
        <f>IFERROR(__xludf.DUMMYFUNCTION("""COMPUTED_VALUE"""),"Trần Tiến")</f>
        <v>Trần Tiến</v>
      </c>
      <c r="E174" s="4" t="str">
        <f>IFERROR(__xludf.DUMMYFUNCTION("""COMPUTED_VALUE"""),"Học viện Cán bộ TPHCM")</f>
        <v>Học viện Cán bộ TPHCM</v>
      </c>
      <c r="F174" s="4" t="str">
        <f>IFERROR(__xludf.DUMMYFUNCTION("""COMPUTED_VALUE"""),"HCPL2026-173.png")</f>
        <v>HCPL2026-173.png</v>
      </c>
    </row>
    <row r="175">
      <c r="A175" s="4" t="str">
        <f>IFERROR(__xludf.DUMMYFUNCTION("""COMPUTED_VALUE"""),"HCPL2026-174")</f>
        <v>HCPL2026-174</v>
      </c>
      <c r="B175" s="4" t="str">
        <f>IFERROR(__xludf.DUMMYFUNCTION("""COMPUTED_VALUE"""),"Hành chính pháp lý")</f>
        <v>Hành chính pháp lý</v>
      </c>
      <c r="C175" s="4" t="str">
        <f>IFERROR(__xludf.DUMMYFUNCTION("""COMPUTED_VALUE"""),"CHẤP NHẬN CHÍNH PHỦ ĐIỆN TỬ TRONG BỐI CẢNH AI: VAI TRÒ CỦA NIỀM TIN VÀ NĂNG LỰC HIỂU BIẾT AI CỦA GEN Z TẠI TP.HCM")</f>
        <v>CHẤP NHẬN CHÍNH PHỦ ĐIỆN TỬ TRONG BỐI CẢNH AI: VAI TRÒ CỦA NIỀM TIN VÀ NĂNG LỰC HIỂU BIẾT AI CỦA GEN Z TẠI TP.HCM</v>
      </c>
      <c r="D175" s="4" t="str">
        <f>IFERROR(__xludf.DUMMYFUNCTION("""COMPUTED_VALUE"""),"Hứa Đức Trọng; Phan Mạnh Khải; Bùi Thị Cẩm Vân; Nguyễn Thanh Thảo Tiên; Huỳnh Trung Thiện")</f>
        <v>Hứa Đức Trọng; Phan Mạnh Khải; Bùi Thị Cẩm Vân; Nguyễn Thanh Thảo Tiên; Huỳnh Trung Thiện</v>
      </c>
      <c r="E175" s="4" t="str">
        <f>IFERROR(__xludf.DUMMYFUNCTION("""COMPUTED_VALUE"""),"Trường Đại học Kinh tế TPHCM")</f>
        <v>Trường Đại học Kinh tế TPHCM</v>
      </c>
      <c r="F175" s="4" t="str">
        <f>IFERROR(__xludf.DUMMYFUNCTION("""COMPUTED_VALUE"""),"HCPL2026-174.png")</f>
        <v>HCPL2026-174.png</v>
      </c>
    </row>
    <row r="176">
      <c r="A176" s="4" t="str">
        <f>IFERROR(__xludf.DUMMYFUNCTION("""COMPUTED_VALUE"""),"HCPL2026-175")</f>
        <v>HCPL2026-175</v>
      </c>
      <c r="B176" s="4" t="str">
        <f>IFERROR(__xludf.DUMMYFUNCTION("""COMPUTED_VALUE"""),"Hành chính pháp lý")</f>
        <v>Hành chính pháp lý</v>
      </c>
      <c r="C176" s="4" t="str">
        <f>IFERROR(__xludf.DUMMYFUNCTION("""COMPUTED_VALUE"""),"Hoàn thiện pháp luật về chi tiêu công xanh: Kinh nghiệm quốc tế và bài học cho Việt Nam")</f>
        <v>Hoàn thiện pháp luật về chi tiêu công xanh: Kinh nghiệm quốc tế và bài học cho Việt Nam</v>
      </c>
      <c r="D176" s="4" t="str">
        <f>IFERROR(__xludf.DUMMYFUNCTION("""COMPUTED_VALUE"""),"Phạm Bùi Vi Thảo; Lư Uyển My; Ngô Minh Hằng; Trần Ngọc Mai; Phan Duy Hoà")</f>
        <v>Phạm Bùi Vi Thảo; Lư Uyển My; Ngô Minh Hằng; Trần Ngọc Mai; Phan Duy Hoà</v>
      </c>
      <c r="E176" s="4" t="str">
        <f>IFERROR(__xludf.DUMMYFUNCTION("""COMPUTED_VALUE"""),"Trường Đại học Ngoại thương")</f>
        <v>Trường Đại học Ngoại thương</v>
      </c>
      <c r="F176" s="4" t="str">
        <f>IFERROR(__xludf.DUMMYFUNCTION("""COMPUTED_VALUE"""),"HCPL2026-175.png")</f>
        <v>HCPL2026-175.png</v>
      </c>
    </row>
    <row r="177">
      <c r="A177" s="4" t="str">
        <f>IFERROR(__xludf.DUMMYFUNCTION("""COMPUTED_VALUE"""),"HCPL2026-176")</f>
        <v>HCPL2026-176</v>
      </c>
      <c r="B177" s="4" t="str">
        <f>IFERROR(__xludf.DUMMYFUNCTION("""COMPUTED_VALUE"""),"Hành chính pháp lý")</f>
        <v>Hành chính pháp lý</v>
      </c>
      <c r="C177" s="4" t="str">
        <f>IFERROR(__xludf.DUMMYFUNCTION("""COMPUTED_VALUE"""),"Tác động của mô hình chính quyền địa phương hai cấp đến tăng trưởng kinh tế: Nghiên cứu thực nghiệm ở một số nước trên thế giới và hàm ý chính sách cho Việt Nam")</f>
        <v>Tác động của mô hình chính quyền địa phương hai cấp đến tăng trưởng kinh tế: Nghiên cứu thực nghiệm ở một số nước trên thế giới và hàm ý chính sách cho Việt Nam</v>
      </c>
      <c r="D177" s="4" t="str">
        <f>IFERROR(__xludf.DUMMYFUNCTION("""COMPUTED_VALUE"""),"Nguyễn Phương Thảo; Lê Hương Giang; Đỗ Quang Hưng; Trần Khánh Linh ; Cao Việt Bách")</f>
        <v>Nguyễn Phương Thảo; Lê Hương Giang; Đỗ Quang Hưng; Trần Khánh Linh ; Cao Việt Bách</v>
      </c>
      <c r="E177" s="4" t="str">
        <f>IFERROR(__xludf.DUMMYFUNCTION("""COMPUTED_VALUE"""),"Trường Đại học Ngoại thương")</f>
        <v>Trường Đại học Ngoại thương</v>
      </c>
      <c r="F177" s="4" t="str">
        <f>IFERROR(__xludf.DUMMYFUNCTION("""COMPUTED_VALUE"""),"HCPL2026-176.png")</f>
        <v>HCPL2026-176.png</v>
      </c>
    </row>
    <row r="178">
      <c r="A178" s="4" t="str">
        <f>IFERROR(__xludf.DUMMYFUNCTION("""COMPUTED_VALUE"""),"HCPL2026-177")</f>
        <v>HCPL2026-177</v>
      </c>
      <c r="B178" s="4" t="str">
        <f>IFERROR(__xludf.DUMMYFUNCTION("""COMPUTED_VALUE"""),"Hành chính pháp lý")</f>
        <v>Hành chính pháp lý</v>
      </c>
      <c r="C178" s="4" t="str">
        <f>IFERROR(__xludf.DUMMYFUNCTION("""COMPUTED_VALUE"""),"Phòng ngừa xã hội đối với tội phạm mua bán trái phép chất ma túy theo chức năng của Phòng Cảnh sát điều tra tội phạm về ma túy, Công an thành phố Hà Nội")</f>
        <v>Phòng ngừa xã hội đối với tội phạm mua bán trái phép chất ma túy theo chức năng của Phòng Cảnh sát điều tra tội phạm về ma túy, Công an thành phố Hà Nội</v>
      </c>
      <c r="D178" s="4" t="str">
        <f>IFERROR(__xludf.DUMMYFUNCTION("""COMPUTED_VALUE"""),"Vi Văn Men; Đặng Thúy Nga ; Lê Tiến Thành")</f>
        <v>Vi Văn Men; Đặng Thúy Nga ; Lê Tiến Thành</v>
      </c>
      <c r="E178" s="4" t="str">
        <f>IFERROR(__xludf.DUMMYFUNCTION("""COMPUTED_VALUE"""),"Học viện An ninh nhân dân")</f>
        <v>Học viện An ninh nhân dân</v>
      </c>
      <c r="F178" s="4" t="str">
        <f>IFERROR(__xludf.DUMMYFUNCTION("""COMPUTED_VALUE"""),"HCPL2026-177.png")</f>
        <v>HCPL2026-177.png</v>
      </c>
    </row>
    <row r="179">
      <c r="A179" s="4" t="str">
        <f>IFERROR(__xludf.DUMMYFUNCTION("""COMPUTED_VALUE"""),"HCPL2026-178")</f>
        <v>HCPL2026-178</v>
      </c>
      <c r="B179" s="4" t="str">
        <f>IFERROR(__xludf.DUMMYFUNCTION("""COMPUTED_VALUE"""),"Hành chính pháp lý")</f>
        <v>Hành chính pháp lý</v>
      </c>
      <c r="C179" s="4" t="str">
        <f>IFERROR(__xludf.DUMMYFUNCTION("""COMPUTED_VALUE"""),"PHÁP LUẬT LIÊN MINH CHÂU ÂU VỀ YÊU CẦU MINH BẠCH THÔNG TIN MÔI TRƯỜNG TRONG CƠ CHẾ ĐIỀU CHỈNH BIÊN GIỚI CARBON - BÀI HỌC CHO VIỆT NAM")</f>
        <v>PHÁP LUẬT LIÊN MINH CHÂU ÂU VỀ YÊU CẦU MINH BẠCH THÔNG TIN MÔI TRƯỜNG TRONG CƠ CHẾ ĐIỀU CHỈNH BIÊN GIỚI CARBON - BÀI HỌC CHO VIỆT NAM</v>
      </c>
      <c r="D179" s="4" t="str">
        <f>IFERROR(__xludf.DUMMYFUNCTION("""COMPUTED_VALUE"""),"Trần Đạt; Nguyễn Huỳnh Thuỳ Trang; Võ Hùng Quyến; Đinh Khắc Hoàng Tiến")</f>
        <v>Trần Đạt; Nguyễn Huỳnh Thuỳ Trang; Võ Hùng Quyến; Đinh Khắc Hoàng Tiến</v>
      </c>
      <c r="E179" s="4" t="str">
        <f>IFERROR(__xludf.DUMMYFUNCTION("""COMPUTED_VALUE"""),"Trường Đại học Hoa Sen")</f>
        <v>Trường Đại học Hoa Sen</v>
      </c>
      <c r="F179" s="4" t="str">
        <f>IFERROR(__xludf.DUMMYFUNCTION("""COMPUTED_VALUE"""),"HCPL2026-178.png")</f>
        <v>HCPL2026-178.png</v>
      </c>
    </row>
    <row r="180">
      <c r="A180" s="4" t="str">
        <f>IFERROR(__xludf.DUMMYFUNCTION("""COMPUTED_VALUE"""),"HCPL2026-179")</f>
        <v>HCPL2026-179</v>
      </c>
      <c r="B180" s="4" t="str">
        <f>IFERROR(__xludf.DUMMYFUNCTION("""COMPUTED_VALUE"""),"Hành chính pháp lý")</f>
        <v>Hành chính pháp lý</v>
      </c>
      <c r="C180" s="4" t="str">
        <f>IFERROR(__xludf.DUMMYFUNCTION("""COMPUTED_VALUE"""),"Quyền được tiếp cận nước sạch dưới góc độ pháp luật quốc tế và pháp luật Việt Nam.")</f>
        <v>Quyền được tiếp cận nước sạch dưới góc độ pháp luật quốc tế và pháp luật Việt Nam.</v>
      </c>
      <c r="D180" s="4" t="str">
        <f>IFERROR(__xludf.DUMMYFUNCTION("""COMPUTED_VALUE"""),"Lương Thị Tâm; Nguyễn Thị Thư")</f>
        <v>Lương Thị Tâm; Nguyễn Thị Thư</v>
      </c>
      <c r="E180" s="4" t="str">
        <f>IFERROR(__xludf.DUMMYFUNCTION("""COMPUTED_VALUE"""),"Trường Đại học Mở Hà Nội")</f>
        <v>Trường Đại học Mở Hà Nội</v>
      </c>
      <c r="F180" s="4" t="str">
        <f>IFERROR(__xludf.DUMMYFUNCTION("""COMPUTED_VALUE"""),"HCPL2026-179.png")</f>
        <v>HCPL2026-179.png</v>
      </c>
    </row>
    <row r="181">
      <c r="A181" s="4" t="str">
        <f>IFERROR(__xludf.DUMMYFUNCTION("""COMPUTED_VALUE"""),"HCPL2026-180")</f>
        <v>HCPL2026-180</v>
      </c>
      <c r="B181" s="4" t="str">
        <f>IFERROR(__xludf.DUMMYFUNCTION("""COMPUTED_VALUE"""),"Hành chính pháp lý")</f>
        <v>Hành chính pháp lý</v>
      </c>
      <c r="C181" s="4" t="str">
        <f>IFERROR(__xludf.DUMMYFUNCTION("""COMPUTED_VALUE"""),"Quy chế pháp lý của các thiết bị không người lái trên biển: Từ Công ước của Liên Hợp Quốc về Luật Biển 1982 (UNCLOS) đến những phát triển gần đây của luật pháp quốc tế.")</f>
        <v>Quy chế pháp lý của các thiết bị không người lái trên biển: Từ Công ước của Liên Hợp Quốc về Luật Biển 1982 (UNCLOS) đến những phát triển gần đây của luật pháp quốc tế.</v>
      </c>
      <c r="D181" s="4" t="str">
        <f>IFERROR(__xludf.DUMMYFUNCTION("""COMPUTED_VALUE"""),"Nguyễn Phạm Thảo Anh; Nguyễn Linh Phương; Nguyễn Ngọc Anh Thư")</f>
        <v>Nguyễn Phạm Thảo Anh; Nguyễn Linh Phương; Nguyễn Ngọc Anh Thư</v>
      </c>
      <c r="E181" s="4" t="str">
        <f>IFERROR(__xludf.DUMMYFUNCTION("""COMPUTED_VALUE"""),"Học viện Ngoại giao")</f>
        <v>Học viện Ngoại giao</v>
      </c>
      <c r="F181" s="4" t="str">
        <f>IFERROR(__xludf.DUMMYFUNCTION("""COMPUTED_VALUE"""),"HCPL2026-180.png")</f>
        <v>HCPL2026-180.png</v>
      </c>
    </row>
    <row r="182">
      <c r="A182" s="4" t="str">
        <f>IFERROR(__xludf.DUMMYFUNCTION("""COMPUTED_VALUE"""),"HCPL2026-181")</f>
        <v>HCPL2026-181</v>
      </c>
      <c r="B182" s="4" t="str">
        <f>IFERROR(__xludf.DUMMYFUNCTION("""COMPUTED_VALUE"""),"Hành chính pháp lý")</f>
        <v>Hành chính pháp lý</v>
      </c>
      <c r="C182" s="4" t="str">
        <f>IFERROR(__xludf.DUMMYFUNCTION("""COMPUTED_VALUE"""),"Trách nhiệm pháp lý của doanh nghiệp đối với quyền trẻ em trên không gian số: Nghiên cứu trường hợp vi phạm của Meta và định hướng hoàn thiện pháp luật Việt Nam")</f>
        <v>Trách nhiệm pháp lý của doanh nghiệp đối với quyền trẻ em trên không gian số: Nghiên cứu trường hợp vi phạm của Meta và định hướng hoàn thiện pháp luật Việt Nam</v>
      </c>
      <c r="D182" s="4" t="str">
        <f>IFERROR(__xludf.DUMMYFUNCTION("""COMPUTED_VALUE"""),"Trần Tú Minh; Trần Phan Minh Hương")</f>
        <v>Trần Tú Minh; Trần Phan Minh Hương</v>
      </c>
      <c r="E182" s="4" t="str">
        <f>IFERROR(__xludf.DUMMYFUNCTION("""COMPUTED_VALUE"""),"Học viện Ngoại giao")</f>
        <v>Học viện Ngoại giao</v>
      </c>
      <c r="F182" s="4" t="str">
        <f>IFERROR(__xludf.DUMMYFUNCTION("""COMPUTED_VALUE"""),"HCPL2026-181.png")</f>
        <v>HCPL2026-181.png</v>
      </c>
    </row>
    <row r="183">
      <c r="A183" s="4" t="str">
        <f>IFERROR(__xludf.DUMMYFUNCTION("""COMPUTED_VALUE"""),"HCPL2026-182")</f>
        <v>HCPL2026-182</v>
      </c>
      <c r="B183" s="4" t="str">
        <f>IFERROR(__xludf.DUMMYFUNCTION("""COMPUTED_VALUE"""),"Hành chính pháp lý")</f>
        <v>Hành chính pháp lý</v>
      </c>
      <c r="C183" s="4" t="str">
        <f>IFERROR(__xludf.DUMMYFUNCTION("""COMPUTED_VALUE"""),"Cam kết lưu chuyển dữ liệu xuyên biên giới trong DEFA: Đánh giá mức độ tương thích và khuyến nghị hoàn thiện pháp luật Việt Nam")</f>
        <v>Cam kết lưu chuyển dữ liệu xuyên biên giới trong DEFA: Đánh giá mức độ tương thích và khuyến nghị hoàn thiện pháp luật Việt Nam</v>
      </c>
      <c r="D183" s="4" t="str">
        <f>IFERROR(__xludf.DUMMYFUNCTION("""COMPUTED_VALUE"""),"Lê Diệu Thảo; Bùi Hoàng Minh Thư; Vũ Thị Vi Hoa")</f>
        <v>Lê Diệu Thảo; Bùi Hoàng Minh Thư; Vũ Thị Vi Hoa</v>
      </c>
      <c r="E183" s="4" t="str">
        <f>IFERROR(__xludf.DUMMYFUNCTION("""COMPUTED_VALUE"""),"Học viện Ngoại giao")</f>
        <v>Học viện Ngoại giao</v>
      </c>
      <c r="F183" s="4" t="str">
        <f>IFERROR(__xludf.DUMMYFUNCTION("""COMPUTED_VALUE"""),"HCPL2026-182.png")</f>
        <v>HCPL2026-182.png</v>
      </c>
    </row>
    <row r="184">
      <c r="A184" s="4" t="str">
        <f>IFERROR(__xludf.DUMMYFUNCTION("""COMPUTED_VALUE"""),"HCPL2026-183")</f>
        <v>HCPL2026-183</v>
      </c>
      <c r="B184" s="4" t="str">
        <f>IFERROR(__xludf.DUMMYFUNCTION("""COMPUTED_VALUE"""),"Hành chính pháp lý")</f>
        <v>Hành chính pháp lý</v>
      </c>
      <c r="C184" s="4" t="str">
        <f>IFERROR(__xludf.DUMMYFUNCTION("""COMPUTED_VALUE"""),"BẢO VỆ QUYỀN LỢI CỦA NGƯỜI LÀM VIỆC QUA NỀN TẢNG SỐ TRONG LĨNH VỰC VẬN TẢI: KINH NGHIỆM QUỐC TẾ VÀ KIẾN NGHỊ CHO VIỆT NAM.")</f>
        <v>BẢO VỆ QUYỀN LỢI CỦA NGƯỜI LÀM VIỆC QUA NỀN TẢNG SỐ TRONG LĨNH VỰC VẬN TẢI: KINH NGHIỆM QUỐC TẾ VÀ KIẾN NGHỊ CHO VIỆT NAM.</v>
      </c>
      <c r="D184" s="4" t="str">
        <f>IFERROR(__xludf.DUMMYFUNCTION("""COMPUTED_VALUE"""),"Đỗ Thị Yến Vi; Trần Nguyễn Ngọc Mỹ Quyên; Vũ Thị Thu Huyền")</f>
        <v>Đỗ Thị Yến Vi; Trần Nguyễn Ngọc Mỹ Quyên; Vũ Thị Thu Huyền</v>
      </c>
      <c r="E184" s="4" t="str">
        <f>IFERROR(__xludf.DUMMYFUNCTION("""COMPUTED_VALUE"""),"Trường Đại học Công nghiệp TPHCM")</f>
        <v>Trường Đại học Công nghiệp TPHCM</v>
      </c>
      <c r="F184" s="4" t="str">
        <f>IFERROR(__xludf.DUMMYFUNCTION("""COMPUTED_VALUE"""),"HCPL2026-183.png")</f>
        <v>HCPL2026-183.png</v>
      </c>
    </row>
    <row r="185">
      <c r="A185" s="4" t="str">
        <f>IFERROR(__xludf.DUMMYFUNCTION("""COMPUTED_VALUE"""),"HCPL2026-184")</f>
        <v>HCPL2026-184</v>
      </c>
      <c r="B185" s="4" t="str">
        <f>IFERROR(__xludf.DUMMYFUNCTION("""COMPUTED_VALUE"""),"Hành chính pháp lý")</f>
        <v>Hành chính pháp lý</v>
      </c>
      <c r="C185" s="4" t="str">
        <f>IFERROR(__xludf.DUMMYFUNCTION("""COMPUTED_VALUE"""),"Pháp luật về chuyển dữ liệu cá nhân nhạy cảm xuyên biên giới")</f>
        <v>Pháp luật về chuyển dữ liệu cá nhân nhạy cảm xuyên biên giới</v>
      </c>
      <c r="D185" s="4" t="str">
        <f>IFERROR(__xludf.DUMMYFUNCTION("""COMPUTED_VALUE"""),"Nguyễn Thanh Đức Trí; Trần Hồ Như Quỳnh; Đinh Thị Thảo Ly")</f>
        <v>Nguyễn Thanh Đức Trí; Trần Hồ Như Quỳnh; Đinh Thị Thảo Ly</v>
      </c>
      <c r="E185" s="4" t="str">
        <f>IFERROR(__xludf.DUMMYFUNCTION("""COMPUTED_VALUE"""),"Trường Đại học Quốc tế Sài Gòn")</f>
        <v>Trường Đại học Quốc tế Sài Gòn</v>
      </c>
      <c r="F185" s="4" t="str">
        <f>IFERROR(__xludf.DUMMYFUNCTION("""COMPUTED_VALUE"""),"HCPL2026-184.png")</f>
        <v>HCPL2026-184.png</v>
      </c>
    </row>
    <row r="186">
      <c r="A186" s="4" t="str">
        <f>IFERROR(__xludf.DUMMYFUNCTION("""COMPUTED_VALUE"""),"HCPL2026-185")</f>
        <v>HCPL2026-185</v>
      </c>
      <c r="B186" s="4" t="str">
        <f>IFERROR(__xludf.DUMMYFUNCTION("""COMPUTED_VALUE"""),"Hành chính pháp lý")</f>
        <v>Hành chính pháp lý</v>
      </c>
      <c r="C186" s="4" t="str">
        <f>IFERROR(__xludf.DUMMYFUNCTION("""COMPUTED_VALUE"""),"Đề xuất khung pháp lý kinh tế tuần hoàn, thực tiễn từ Singapore và kinh nghiệm cho Việt Nam")</f>
        <v>Đề xuất khung pháp lý kinh tế tuần hoàn, thực tiễn từ Singapore và kinh nghiệm cho Việt Nam</v>
      </c>
      <c r="D186" s="4" t="str">
        <f>IFERROR(__xludf.DUMMYFUNCTION("""COMPUTED_VALUE"""),"Lê Khánh Linh")</f>
        <v>Lê Khánh Linh</v>
      </c>
      <c r="E186" s="4" t="str">
        <f>IFERROR(__xludf.DUMMYFUNCTION("""COMPUTED_VALUE"""),"Trường Đại học Thăng Long")</f>
        <v>Trường Đại học Thăng Long</v>
      </c>
      <c r="F186" s="4" t="str">
        <f>IFERROR(__xludf.DUMMYFUNCTION("""COMPUTED_VALUE"""),"HCPL2026-185.png")</f>
        <v>HCPL2026-185.png</v>
      </c>
    </row>
    <row r="187">
      <c r="A187" s="4" t="str">
        <f>IFERROR(__xludf.DUMMYFUNCTION("""COMPUTED_VALUE"""),"HCPL2026-186")</f>
        <v>HCPL2026-186</v>
      </c>
      <c r="B187" s="4" t="str">
        <f>IFERROR(__xludf.DUMMYFUNCTION("""COMPUTED_VALUE"""),"Hành chính pháp lý")</f>
        <v>Hành chính pháp lý</v>
      </c>
      <c r="C187" s="4" t="str">
        <f>IFERROR(__xludf.DUMMYFUNCTION("""COMPUTED_VALUE"""),"Non Fungible Token (NFT) - Những vấn đề pháp lý đặt ra dưới góc nhìn Tư pháp quốc tế")</f>
        <v>Non Fungible Token (NFT) - Những vấn đề pháp lý đặt ra dưới góc nhìn Tư pháp quốc tế</v>
      </c>
      <c r="D187" s="4" t="str">
        <f>IFERROR(__xludf.DUMMYFUNCTION("""COMPUTED_VALUE"""),"Nguyễn Thanh Nga; Nguyễn Thảo Nhi; Nguyễn Ngọc Huyền")</f>
        <v>Nguyễn Thanh Nga; Nguyễn Thảo Nhi; Nguyễn Ngọc Huyền</v>
      </c>
      <c r="E187" s="4" t="str">
        <f>IFERROR(__xludf.DUMMYFUNCTION("""COMPUTED_VALUE"""),"Trường Đại học Luật Hà Nội")</f>
        <v>Trường Đại học Luật Hà Nội</v>
      </c>
      <c r="F187" s="4" t="str">
        <f>IFERROR(__xludf.DUMMYFUNCTION("""COMPUTED_VALUE"""),"HCPL2026-186.png")</f>
        <v>HCPL2026-186.png</v>
      </c>
    </row>
    <row r="188">
      <c r="A188" s="4" t="str">
        <f>IFERROR(__xludf.DUMMYFUNCTION("""COMPUTED_VALUE"""),"HCPL2026-187")</f>
        <v>HCPL2026-187</v>
      </c>
      <c r="B188" s="4" t="str">
        <f>IFERROR(__xludf.DUMMYFUNCTION("""COMPUTED_VALUE"""),"Hành chính pháp lý")</f>
        <v>Hành chính pháp lý</v>
      </c>
      <c r="C188" s="4" t="str">
        <f>IFERROR(__xludf.DUMMYFUNCTION("""COMPUTED_VALUE"""),"Chính sách thu hút đầu tư trực tiếp nước ngoài của Việt Nam để thích ứng với cam kết về mức thuế tối thiểu toàn cầu - Một số khuyến nghị")</f>
        <v>Chính sách thu hút đầu tư trực tiếp nước ngoài của Việt Nam để thích ứng với cam kết về mức thuế tối thiểu toàn cầu - Một số khuyến nghị</v>
      </c>
      <c r="D188" s="4" t="str">
        <f>IFERROR(__xludf.DUMMYFUNCTION("""COMPUTED_VALUE"""),"Hoàng Thị Phương Hoa; Ngụy Thu Hoài ; Hà Kim Huệ ; Lê Thị Thanh Huyền; Phạm Thanh Huyền")</f>
        <v>Hoàng Thị Phương Hoa; Ngụy Thu Hoài ; Hà Kim Huệ ; Lê Thị Thanh Huyền; Phạm Thanh Huyền</v>
      </c>
      <c r="E188" s="4" t="str">
        <f>IFERROR(__xludf.DUMMYFUNCTION("""COMPUTED_VALUE"""),"Trường Đại học Luật, ĐHQGHN")</f>
        <v>Trường Đại học Luật, ĐHQGHN</v>
      </c>
      <c r="F188" s="4" t="str">
        <f>IFERROR(__xludf.DUMMYFUNCTION("""COMPUTED_VALUE"""),"HCPL2026-187.png")</f>
        <v>HCPL2026-187.png</v>
      </c>
    </row>
    <row r="189">
      <c r="A189" s="4" t="str">
        <f>IFERROR(__xludf.DUMMYFUNCTION("""COMPUTED_VALUE"""),"HCPL2026-188")</f>
        <v>HCPL2026-188</v>
      </c>
      <c r="B189" s="4" t="str">
        <f>IFERROR(__xludf.DUMMYFUNCTION("""COMPUTED_VALUE"""),"Hành chính pháp lý")</f>
        <v>Hành chính pháp lý</v>
      </c>
      <c r="C189" s="4" t="str">
        <f>IFERROR(__xludf.DUMMYFUNCTION("""COMPUTED_VALUE"""),"THE REQUIREMENT FOR THE CRYPTO-ASSET OFFER TO THE PUBLIC: A STUDY ON MiCA REGULATIONS AND RECOMMENDATIONS FOR VIETNAM")</f>
        <v>THE REQUIREMENT FOR THE CRYPTO-ASSET OFFER TO THE PUBLIC: A STUDY ON MiCA REGULATIONS AND RECOMMENDATIONS FOR VIETNAM</v>
      </c>
      <c r="D189" s="4" t="str">
        <f>IFERROR(__xludf.DUMMYFUNCTION("""COMPUTED_VALUE"""),"Nguyễn Ngọc Quỳnh Anh; Dương Nguyên Ngọc; Phạm Quỳnh Mi; Huỳnh Phan Như Ngọc")</f>
        <v>Nguyễn Ngọc Quỳnh Anh; Dương Nguyên Ngọc; Phạm Quỳnh Mi; Huỳnh Phan Như Ngọc</v>
      </c>
      <c r="E189" s="4" t="str">
        <f>IFERROR(__xludf.DUMMYFUNCTION("""COMPUTED_VALUE"""),"Trường Đại học Luật TPHCM")</f>
        <v>Trường Đại học Luật TPHCM</v>
      </c>
      <c r="F189" s="4" t="str">
        <f>IFERROR(__xludf.DUMMYFUNCTION("""COMPUTED_VALUE"""),"HCPL2026-188.png")</f>
        <v>HCPL2026-188.png</v>
      </c>
    </row>
    <row r="190">
      <c r="A190" s="4" t="str">
        <f>IFERROR(__xludf.DUMMYFUNCTION("""COMPUTED_VALUE"""),"HCPL2026-189")</f>
        <v>HCPL2026-189</v>
      </c>
      <c r="B190" s="4" t="str">
        <f>IFERROR(__xludf.DUMMYFUNCTION("""COMPUTED_VALUE"""),"Hành chính pháp lý")</f>
        <v>Hành chính pháp lý</v>
      </c>
      <c r="C190" s="4" t="str">
        <f>IFERROR(__xludf.DUMMYFUNCTION("""COMPUTED_VALUE"""),"Pháp luật về lò phản ứng hạt nhân mô-đun nhỏ – Kinh nghiệm từ Hoa Kỳ, Canada và kiến nghị cho Việt Nam")</f>
        <v>Pháp luật về lò phản ứng hạt nhân mô-đun nhỏ – Kinh nghiệm từ Hoa Kỳ, Canada và kiến nghị cho Việt Nam</v>
      </c>
      <c r="D190" s="4" t="str">
        <f>IFERROR(__xludf.DUMMYFUNCTION("""COMPUTED_VALUE"""),"Nguyễn Vũ Thiên Ân; Trương Đình Thế Anh")</f>
        <v>Nguyễn Vũ Thiên Ân; Trương Đình Thế Anh</v>
      </c>
      <c r="E190" s="4" t="str">
        <f>IFERROR(__xludf.DUMMYFUNCTION("""COMPUTED_VALUE"""),"Trường Đại học Luật TPHCM")</f>
        <v>Trường Đại học Luật TPHCM</v>
      </c>
      <c r="F190" s="4" t="str">
        <f>IFERROR(__xludf.DUMMYFUNCTION("""COMPUTED_VALUE"""),"HCPL2026-189.png")</f>
        <v>HCPL2026-189.png</v>
      </c>
    </row>
    <row r="191">
      <c r="A191" s="4" t="str">
        <f>IFERROR(__xludf.DUMMYFUNCTION("""COMPUTED_VALUE"""),"HCPL2026-190")</f>
        <v>HCPL2026-190</v>
      </c>
      <c r="B191" s="4" t="str">
        <f>IFERROR(__xludf.DUMMYFUNCTION("""COMPUTED_VALUE"""),"Hành chính pháp lý")</f>
        <v>Hành chính pháp lý</v>
      </c>
      <c r="C191" s="4" t="str">
        <f>IFERROR(__xludf.DUMMYFUNCTION("""COMPUTED_VALUE"""),"LEGAL FRAMEWORK GOVERNING ACCOUNT SHARING: A COMPARATIVE STUDY OF THE EU AND INDONESIA AND RECOMMENDATIONS FOR VIETNAM")</f>
        <v>LEGAL FRAMEWORK GOVERNING ACCOUNT SHARING: A COMPARATIVE STUDY OF THE EU AND INDONESIA AND RECOMMENDATIONS FOR VIETNAM</v>
      </c>
      <c r="D191" s="4" t="str">
        <f>IFERROR(__xludf.DUMMYFUNCTION("""COMPUTED_VALUE"""),"Trần Thị Xuân Mai; Lê Giang Hồng Minh; Nhâm Bảo Trân; Nguyễn Phương Kim Ngân")</f>
        <v>Trần Thị Xuân Mai; Lê Giang Hồng Minh; Nhâm Bảo Trân; Nguyễn Phương Kim Ngân</v>
      </c>
      <c r="E191" s="4" t="str">
        <f>IFERROR(__xludf.DUMMYFUNCTION("""COMPUTED_VALUE"""),"Phân hiệu Trường Đại học Ngoại thương TPHCM")</f>
        <v>Phân hiệu Trường Đại học Ngoại thương TPHCM</v>
      </c>
      <c r="F191" s="4" t="str">
        <f>IFERROR(__xludf.DUMMYFUNCTION("""COMPUTED_VALUE"""),"HCPL2026-190.png")</f>
        <v>HCPL2026-190.png</v>
      </c>
    </row>
    <row r="192">
      <c r="A192" s="4" t="str">
        <f>IFERROR(__xludf.DUMMYFUNCTION("""COMPUTED_VALUE"""),"HCPL2026-191")</f>
        <v>HCPL2026-191</v>
      </c>
      <c r="B192" s="4" t="str">
        <f>IFERROR(__xludf.DUMMYFUNCTION("""COMPUTED_VALUE"""),"Hành chính pháp lý")</f>
        <v>Hành chính pháp lý</v>
      </c>
      <c r="C192" s="4" t="str">
        <f>IFERROR(__xludf.DUMMYFUNCTION("""COMPUTED_VALUE"""),"Interpreting “goods lost or damaged” concerning delay-related economic loss in Article IV Rule 5(a) of Hague-Visby Rules: Comparative perspectives and remarks for Vietnam")</f>
        <v>Interpreting “goods lost or damaged” concerning delay-related economic loss in Article IV Rule 5(a) of Hague-Visby Rules: Comparative perspectives and remarks for Vietnam</v>
      </c>
      <c r="D192" s="4" t="str">
        <f>IFERROR(__xludf.DUMMYFUNCTION("""COMPUTED_VALUE"""),"Trần Võ Hưng Phú; Nguyễn Hoàng Nghi; Trần Phúc Sang; Nguyễn Khắc Bình; Nguyễn Thành Vinh")</f>
        <v>Trần Võ Hưng Phú; Nguyễn Hoàng Nghi; Trần Phúc Sang; Nguyễn Khắc Bình; Nguyễn Thành Vinh</v>
      </c>
      <c r="E192" s="4" t="str">
        <f>IFERROR(__xludf.DUMMYFUNCTION("""COMPUTED_VALUE"""),"Phân hiệu Trường Đại học Ngoại thương TPHCM")</f>
        <v>Phân hiệu Trường Đại học Ngoại thương TPHCM</v>
      </c>
      <c r="F192" s="4" t="str">
        <f>IFERROR(__xludf.DUMMYFUNCTION("""COMPUTED_VALUE"""),"HCPL2026-191.png")</f>
        <v>HCPL2026-191.png</v>
      </c>
    </row>
    <row r="193">
      <c r="A193" s="4" t="str">
        <f>IFERROR(__xludf.DUMMYFUNCTION("""COMPUTED_VALUE"""),"HCPL2026-192")</f>
        <v>HCPL2026-192</v>
      </c>
      <c r="B193" s="4" t="str">
        <f>IFERROR(__xludf.DUMMYFUNCTION("""COMPUTED_VALUE"""),"Hành chính pháp lý")</f>
        <v>Hành chính pháp lý</v>
      </c>
      <c r="C193" s="4" t="str">
        <f>IFERROR(__xludf.DUMMYFUNCTION("""COMPUTED_VALUE"""),"Tác động của chứng nhận Halal đến kim ngạch xuất khẩu thủy sản Việt Nam: Bằng chứng thực nghiệm của các quốc gia Trung Đông")</f>
        <v>Tác động của chứng nhận Halal đến kim ngạch xuất khẩu thủy sản Việt Nam: Bằng chứng thực nghiệm của các quốc gia Trung Đông</v>
      </c>
      <c r="D193" s="4" t="str">
        <f>IFERROR(__xludf.DUMMYFUNCTION("""COMPUTED_VALUE"""),"Nguyễn Trọng Hoàn; Nguyễn Khánh Linh; Nguyễn Hoàng Diệu Anh")</f>
        <v>Nguyễn Trọng Hoàn; Nguyễn Khánh Linh; Nguyễn Hoàng Diệu Anh</v>
      </c>
      <c r="E193" s="4" t="str">
        <f>IFERROR(__xludf.DUMMYFUNCTION("""COMPUTED_VALUE"""),"Học viện Ngân hàng")</f>
        <v>Học viện Ngân hàng</v>
      </c>
      <c r="F193" s="4" t="str">
        <f>IFERROR(__xludf.DUMMYFUNCTION("""COMPUTED_VALUE"""),"HCPL2026-192.png")</f>
        <v>HCPL2026-192.png</v>
      </c>
    </row>
    <row r="194">
      <c r="A194" s="4" t="str">
        <f>IFERROR(__xludf.DUMMYFUNCTION("""COMPUTED_VALUE"""),"HCPL2026-193")</f>
        <v>HCPL2026-193</v>
      </c>
      <c r="B194" s="4" t="str">
        <f>IFERROR(__xludf.DUMMYFUNCTION("""COMPUTED_VALUE"""),"Hành chính pháp lý")</f>
        <v>Hành chính pháp lý</v>
      </c>
      <c r="C194" s="4" t="str">
        <f>IFERROR(__xludf.DUMMYFUNCTION("""COMPUTED_VALUE"""),"Tác động của EUDR và EVFTA đối với xuất khẩu cà phê Việt Nam: thách thức và định hướng bền vững")</f>
        <v>Tác động của EUDR và EVFTA đối với xuất khẩu cà phê Việt Nam: thách thức và định hướng bền vững</v>
      </c>
      <c r="D194" s="4" t="str">
        <f>IFERROR(__xludf.DUMMYFUNCTION("""COMPUTED_VALUE"""),"Trần Thị Phương Linh; Bùi Huỳnh Bích Ngọc; Lê Nhật Phương Mai; Nguyễn Nguyễn; Huỳnh Thị Thi Thảo")</f>
        <v>Trần Thị Phương Linh; Bùi Huỳnh Bích Ngọc; Lê Nhật Phương Mai; Nguyễn Nguyễn; Huỳnh Thị Thi Thảo</v>
      </c>
      <c r="E194" s="4"/>
      <c r="F194" s="4" t="str">
        <f>IFERROR(__xludf.DUMMYFUNCTION("""COMPUTED_VALUE"""),"HCPL2026-193.png")</f>
        <v>HCPL2026-193.png</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14"/>
    <col customWidth="1" min="2" max="2" width="17.86"/>
    <col customWidth="1" min="3" max="3" width="243.71"/>
    <col customWidth="1" min="4" max="4" width="101.86"/>
    <col customWidth="1" min="5" max="5" width="62.0"/>
    <col customWidth="1" min="6" max="6" width="19.14"/>
  </cols>
  <sheetData>
    <row r="1">
      <c r="A1" s="1" t="s">
        <v>0</v>
      </c>
      <c r="B1" s="1" t="s">
        <v>1</v>
      </c>
      <c r="C1" s="1" t="s">
        <v>2</v>
      </c>
      <c r="D1" s="1" t="s">
        <v>3</v>
      </c>
      <c r="E1" s="1" t="s">
        <v>4</v>
      </c>
      <c r="F1" s="1" t="s">
        <v>5</v>
      </c>
    </row>
    <row r="2">
      <c r="A2" s="4" t="str">
        <f>IFERROR(__xludf.DUMMYFUNCTION("FILTER('Danh sach'!A2:F2184, 'Danh sach'!B2:B2184=""Khoa học giáo dục"")"),"KHGD2026-001")</f>
        <v>KHGD2026-001</v>
      </c>
      <c r="B2" s="4" t="str">
        <f>IFERROR(__xludf.DUMMYFUNCTION("""COMPUTED_VALUE"""),"Khoa học giáo dục")</f>
        <v>Khoa học giáo dục</v>
      </c>
      <c r="C2" s="4" t="str">
        <f>IFERROR(__xludf.DUMMYFUNCTION("""COMPUTED_VALUE"""),"A corpus-based analysis of the naturalness of lexical collocations in the ""Global Success"" high school English textbooks")</f>
        <v>A corpus-based analysis of the naturalness of lexical collocations in the "Global Success" high school English textbooks</v>
      </c>
      <c r="D2" s="4" t="str">
        <f>IFERROR(__xludf.DUMMYFUNCTION("""COMPUTED_VALUE"""),"Võ Phương Quỳnh; Phạm Minh Ngọc")</f>
        <v>Võ Phương Quỳnh; Phạm Minh Ngọc</v>
      </c>
      <c r="E2" s="4" t="str">
        <f>IFERROR(__xludf.DUMMYFUNCTION("""COMPUTED_VALUE"""),"Trường Đại học Sư phạm Hà Nội")</f>
        <v>Trường Đại học Sư phạm Hà Nội</v>
      </c>
      <c r="F2" s="4" t="str">
        <f>IFERROR(__xludf.DUMMYFUNCTION("""COMPUTED_VALUE"""),"KHGD2026-001.png")</f>
        <v>KHGD2026-001.png</v>
      </c>
    </row>
    <row r="3">
      <c r="A3" s="4" t="str">
        <f>IFERROR(__xludf.DUMMYFUNCTION("""COMPUTED_VALUE"""),"KHGD2026-002")</f>
        <v>KHGD2026-002</v>
      </c>
      <c r="B3" s="4" t="str">
        <f>IFERROR(__xludf.DUMMYFUNCTION("""COMPUTED_VALUE"""),"Khoa học giáo dục")</f>
        <v>Khoa học giáo dục</v>
      </c>
      <c r="C3" s="4" t="str">
        <f>IFERROR(__xludf.DUMMYFUNCTION("""COMPUTED_VALUE"""),"Thiết kế bộ sách vải tương tác phát triển tư duy khoa học cho trẻ mầm non")</f>
        <v>Thiết kế bộ sách vải tương tác phát triển tư duy khoa học cho trẻ mầm non</v>
      </c>
      <c r="D3" s="4" t="str">
        <f>IFERROR(__xludf.DUMMYFUNCTION("""COMPUTED_VALUE"""),"Giáp Thùy Trang; Chung Diệp Anh; Vũ Hà Thu")</f>
        <v>Giáp Thùy Trang; Chung Diệp Anh; Vũ Hà Thu</v>
      </c>
      <c r="E3" s="4" t="str">
        <f>IFERROR(__xludf.DUMMYFUNCTION("""COMPUTED_VALUE"""),"Trường Đại học Sư phạm Hà Nội 2")</f>
        <v>Trường Đại học Sư phạm Hà Nội 2</v>
      </c>
      <c r="F3" s="4" t="str">
        <f>IFERROR(__xludf.DUMMYFUNCTION("""COMPUTED_VALUE"""),"KHGD2026-002.png")</f>
        <v>KHGD2026-002.png</v>
      </c>
    </row>
    <row r="4">
      <c r="A4" s="4" t="str">
        <f>IFERROR(__xludf.DUMMYFUNCTION("""COMPUTED_VALUE"""),"KHGD2026-003")</f>
        <v>KHGD2026-003</v>
      </c>
      <c r="B4" s="4" t="str">
        <f>IFERROR(__xludf.DUMMYFUNCTION("""COMPUTED_VALUE"""),"Khoa học giáo dục")</f>
        <v>Khoa học giáo dục</v>
      </c>
      <c r="C4" s="4" t="str">
        <f>IFERROR(__xludf.DUMMYFUNCTION("""COMPUTED_VALUE"""),"Thiết kế sách điện tử tương tác theo chủ đề cho trẻ mầm non")</f>
        <v>Thiết kế sách điện tử tương tác theo chủ đề cho trẻ mầm non</v>
      </c>
      <c r="D4" s="4" t="str">
        <f>IFERROR(__xludf.DUMMYFUNCTION("""COMPUTED_VALUE"""),"Dương Hoài Thương; Trương Thu Huyền; Bùi Thị Thanh Thảo")</f>
        <v>Dương Hoài Thương; Trương Thu Huyền; Bùi Thị Thanh Thảo</v>
      </c>
      <c r="E4" s="4" t="str">
        <f>IFERROR(__xludf.DUMMYFUNCTION("""COMPUTED_VALUE"""),"Trường Đại học Sư phạm Hà Nội 2")</f>
        <v>Trường Đại học Sư phạm Hà Nội 2</v>
      </c>
      <c r="F4" s="4" t="str">
        <f>IFERROR(__xludf.DUMMYFUNCTION("""COMPUTED_VALUE"""),"KHGD2026-003.png")</f>
        <v>KHGD2026-003.png</v>
      </c>
    </row>
    <row r="5">
      <c r="A5" s="4" t="str">
        <f>IFERROR(__xludf.DUMMYFUNCTION("""COMPUTED_VALUE"""),"KHGD2026-004")</f>
        <v>KHGD2026-004</v>
      </c>
      <c r="B5" s="4" t="str">
        <f>IFERROR(__xludf.DUMMYFUNCTION("""COMPUTED_VALUE"""),"Khoa học giáo dục")</f>
        <v>Khoa học giáo dục</v>
      </c>
      <c r="C5" s="4" t="str">
        <f>IFERROR(__xludf.DUMMYFUNCTION("""COMPUTED_VALUE"""),"Thiết kế và tổ chức hoạt động trải nghiệm giáo dục biển đảo trong dạy học môn Lịch sử và Địa lí lớp 8 theo định hướng phát triển năng lực.")</f>
        <v>Thiết kế và tổ chức hoạt động trải nghiệm giáo dục biển đảo trong dạy học môn Lịch sử và Địa lí lớp 8 theo định hướng phát triển năng lực.</v>
      </c>
      <c r="D5" s="4" t="str">
        <f>IFERROR(__xludf.DUMMYFUNCTION("""COMPUTED_VALUE"""),"Nguyễn Thị Thu Hiền; Trần Quang Khiêm; Nguyễn Thị Ngọc Quyên; Huỳnh Thị Cẩm Tiên; Mai Thị Hồng Phấn")</f>
        <v>Nguyễn Thị Thu Hiền; Trần Quang Khiêm; Nguyễn Thị Ngọc Quyên; Huỳnh Thị Cẩm Tiên; Mai Thị Hồng Phấn</v>
      </c>
      <c r="E5" s="4" t="str">
        <f>IFERROR(__xludf.DUMMYFUNCTION("""COMPUTED_VALUE"""),"Trường Đại học Quy Nhơn")</f>
        <v>Trường Đại học Quy Nhơn</v>
      </c>
      <c r="F5" s="4" t="str">
        <f>IFERROR(__xludf.DUMMYFUNCTION("""COMPUTED_VALUE"""),"KHGD2026-004.png")</f>
        <v>KHGD2026-004.png</v>
      </c>
    </row>
    <row r="6">
      <c r="A6" s="4" t="str">
        <f>IFERROR(__xludf.DUMMYFUNCTION("""COMPUTED_VALUE"""),"KHGD2026-005")</f>
        <v>KHGD2026-005</v>
      </c>
      <c r="B6" s="4" t="str">
        <f>IFERROR(__xludf.DUMMYFUNCTION("""COMPUTED_VALUE"""),"Khoa học giáo dục")</f>
        <v>Khoa học giáo dục</v>
      </c>
      <c r="C6" s="4" t="str">
        <f>IFERROR(__xludf.DUMMYFUNCTION("""COMPUTED_VALUE"""),"Hiệu quả của ChatGPT trong việc hỗ trợ tự học cho sinh viên Trường Đại Học Nghệ An")</f>
        <v>Hiệu quả của ChatGPT trong việc hỗ trợ tự học cho sinh viên Trường Đại Học Nghệ An</v>
      </c>
      <c r="D6" s="4" t="str">
        <f>IFERROR(__xludf.DUMMYFUNCTION("""COMPUTED_VALUE"""),"Nguyễn Thúy Hiền; Phạm Hồng Quân")</f>
        <v>Nguyễn Thúy Hiền; Phạm Hồng Quân</v>
      </c>
      <c r="E6" s="4" t="str">
        <f>IFERROR(__xludf.DUMMYFUNCTION("""COMPUTED_VALUE"""),"Trường Đại học Nghệ An")</f>
        <v>Trường Đại học Nghệ An</v>
      </c>
      <c r="F6" s="4" t="str">
        <f>IFERROR(__xludf.DUMMYFUNCTION("""COMPUTED_VALUE"""),"KHGD2026-005.png")</f>
        <v>KHGD2026-005.png</v>
      </c>
    </row>
    <row r="7">
      <c r="A7" s="4" t="str">
        <f>IFERROR(__xludf.DUMMYFUNCTION("""COMPUTED_VALUE"""),"KHGD2026-006")</f>
        <v>KHGD2026-006</v>
      </c>
      <c r="B7" s="4" t="str">
        <f>IFERROR(__xludf.DUMMYFUNCTION("""COMPUTED_VALUE"""),"Khoa học giáo dục")</f>
        <v>Khoa học giáo dục</v>
      </c>
      <c r="C7" s="4" t="str">
        <f>IFERROR(__xludf.DUMMYFUNCTION("""COMPUTED_VALUE"""),"Nâng cao kỹ năng tự học của sinh viên Trường Đại học Nghệ An trong bối cảnh chuyển đổi số")</f>
        <v>Nâng cao kỹ năng tự học của sinh viên Trường Đại học Nghệ An trong bối cảnh chuyển đổi số</v>
      </c>
      <c r="D7" s="4" t="str">
        <f>IFERROR(__xludf.DUMMYFUNCTION("""COMPUTED_VALUE"""),"Nguyễn Thị Ngọc Luyến; Trần Quang Nhật")</f>
        <v>Nguyễn Thị Ngọc Luyến; Trần Quang Nhật</v>
      </c>
      <c r="E7" s="4" t="str">
        <f>IFERROR(__xludf.DUMMYFUNCTION("""COMPUTED_VALUE"""),"Trường Đại học Nghệ An")</f>
        <v>Trường Đại học Nghệ An</v>
      </c>
      <c r="F7" s="4" t="str">
        <f>IFERROR(__xludf.DUMMYFUNCTION("""COMPUTED_VALUE"""),"KHGD2026-006.png")</f>
        <v>KHGD2026-006.png</v>
      </c>
    </row>
    <row r="8">
      <c r="A8" s="4" t="str">
        <f>IFERROR(__xludf.DUMMYFUNCTION("""COMPUTED_VALUE"""),"KHGD2026-007")</f>
        <v>KHGD2026-007</v>
      </c>
      <c r="B8" s="4" t="str">
        <f>IFERROR(__xludf.DUMMYFUNCTION("""COMPUTED_VALUE"""),"Khoa học giáo dục")</f>
        <v>Khoa học giáo dục</v>
      </c>
      <c r="C8" s="4" t="str">
        <f>IFERROR(__xludf.DUMMYFUNCTION("""COMPUTED_VALUE"""),"Phát triển hứng thú học tập môn toán thông qua mô hình “Giờ học đảo ngược”: Vai trò trung gian của các nhu cầu tâm lý cơ bản")</f>
        <v>Phát triển hứng thú học tập môn toán thông qua mô hình “Giờ học đảo ngược”: Vai trò trung gian của các nhu cầu tâm lý cơ bản</v>
      </c>
      <c r="D8" s="4" t="str">
        <f>IFERROR(__xludf.DUMMYFUNCTION("""COMPUTED_VALUE"""),"Đỗ Thùy Linh; Nguyễn Thu Minh; Đặng Thị Nga; Đoàn Kim Thu")</f>
        <v>Đỗ Thùy Linh; Nguyễn Thu Minh; Đặng Thị Nga; Đoàn Kim Thu</v>
      </c>
      <c r="E8" s="4" t="str">
        <f>IFERROR(__xludf.DUMMYFUNCTION("""COMPUTED_VALUE"""),"Trường Đại học Sư phạm Hà Nội")</f>
        <v>Trường Đại học Sư phạm Hà Nội</v>
      </c>
      <c r="F8" s="4" t="str">
        <f>IFERROR(__xludf.DUMMYFUNCTION("""COMPUTED_VALUE"""),"KHGD2026-007.png")</f>
        <v>KHGD2026-007.png</v>
      </c>
    </row>
    <row r="9">
      <c r="A9" s="4" t="str">
        <f>IFERROR(__xludf.DUMMYFUNCTION("""COMPUTED_VALUE"""),"KHGD2026-008")</f>
        <v>KHGD2026-008</v>
      </c>
      <c r="B9" s="4" t="str">
        <f>IFERROR(__xludf.DUMMYFUNCTION("""COMPUTED_VALUE"""),"Khoa học giáo dục")</f>
        <v>Khoa học giáo dục</v>
      </c>
      <c r="C9" s="4" t="str">
        <f>IFERROR(__xludf.DUMMYFUNCTION("""COMPUTED_VALUE"""),"LỖI SỬ DỤNG TRỢ TỪ TRONG BÀI VIẾT TIẾNG HÀN CỦA SINH VIÊN NĂM NHẤT NGÀNH HÀN QUỐC HỌC: KHO NGỮ LIỆU CÓ GÁN NHÃN VÀ BỘ BÀI TẬP LUYỆN THEO KIỂU LỖI")</f>
        <v>LỖI SỬ DỤNG TRỢ TỪ TRONG BÀI VIẾT TIẾNG HÀN CỦA SINH VIÊN NĂM NHẤT NGÀNH HÀN QUỐC HỌC: KHO NGỮ LIỆU CÓ GÁN NHÃN VÀ BỘ BÀI TẬP LUYỆN THEO KIỂU LỖI</v>
      </c>
      <c r="D9" s="4" t="str">
        <f>IFERROR(__xludf.DUMMYFUNCTION("""COMPUTED_VALUE"""),"Nguyễn Thị Huyền Trân")</f>
        <v>Nguyễn Thị Huyền Trân</v>
      </c>
      <c r="E9" s="4" t="str">
        <f>IFERROR(__xludf.DUMMYFUNCTION("""COMPUTED_VALUE"""),"Trường Đại học Nguyễn Tất Thành")</f>
        <v>Trường Đại học Nguyễn Tất Thành</v>
      </c>
      <c r="F9" s="4" t="str">
        <f>IFERROR(__xludf.DUMMYFUNCTION("""COMPUTED_VALUE"""),"KHGD2026-008.png")</f>
        <v>KHGD2026-008.png</v>
      </c>
    </row>
    <row r="10">
      <c r="A10" s="4" t="str">
        <f>IFERROR(__xludf.DUMMYFUNCTION("""COMPUTED_VALUE"""),"KHGD2026-009")</f>
        <v>KHGD2026-009</v>
      </c>
      <c r="B10" s="4" t="str">
        <f>IFERROR(__xludf.DUMMYFUNCTION("""COMPUTED_VALUE"""),"Khoa học giáo dục")</f>
        <v>Khoa học giáo dục</v>
      </c>
      <c r="C10" s="4" t="str">
        <f>IFERROR(__xludf.DUMMYFUNCTION("""COMPUTED_VALUE"""),"Thiết kế trò chơi vận động từ nguyên vật liệu mở nhằm phát huy tính tích cực vận động cho trẻ mẫu giáo 5 – 6 tuổi.")</f>
        <v>Thiết kế trò chơi vận động từ nguyên vật liệu mở nhằm phát huy tính tích cực vận động cho trẻ mẫu giáo 5 – 6 tuổi.</v>
      </c>
      <c r="D10" s="4" t="str">
        <f>IFERROR(__xludf.DUMMYFUNCTION("""COMPUTED_VALUE"""),"Lê Thị Kim Ngân; Nguyễn Thị Kim Ngân; Lý Cao Hoài Thu; Lê Thị Thanh Trúc")</f>
        <v>Lê Thị Kim Ngân; Nguyễn Thị Kim Ngân; Lý Cao Hoài Thu; Lê Thị Thanh Trúc</v>
      </c>
      <c r="E10" s="4" t="str">
        <f>IFERROR(__xludf.DUMMYFUNCTION("""COMPUTED_VALUE"""),"Trường Cao đẳng Sư phạm Trung ương TP. Hồ Chí Minh")</f>
        <v>Trường Cao đẳng Sư phạm Trung ương TP. Hồ Chí Minh</v>
      </c>
      <c r="F10" s="4" t="str">
        <f>IFERROR(__xludf.DUMMYFUNCTION("""COMPUTED_VALUE"""),"KHGD2026-009.png")</f>
        <v>KHGD2026-009.png</v>
      </c>
    </row>
    <row r="11">
      <c r="A11" s="4" t="str">
        <f>IFERROR(__xludf.DUMMYFUNCTION("""COMPUTED_VALUE"""),"KHGD2026-010")</f>
        <v>KHGD2026-010</v>
      </c>
      <c r="B11" s="4" t="str">
        <f>IFERROR(__xludf.DUMMYFUNCTION("""COMPUTED_VALUE"""),"Khoa học giáo dục")</f>
        <v>Khoa học giáo dục</v>
      </c>
      <c r="C11" s="4" t="str">
        <f>IFERROR(__xludf.DUMMYFUNCTION("""COMPUTED_VALUE"""),"Thiết kế trò chơi kể sáng tạo truyện cổ tích thần kỳ trên máy tính cho trẻ mẫu giáo 5 - 6 tuổi.")</f>
        <v>Thiết kế trò chơi kể sáng tạo truyện cổ tích thần kỳ trên máy tính cho trẻ mẫu giáo 5 - 6 tuổi.</v>
      </c>
      <c r="D11" s="4" t="str">
        <f>IFERROR(__xludf.DUMMYFUNCTION("""COMPUTED_VALUE"""),"Lương Ngọc Phương; Đặng Tiểu Linh Chi")</f>
        <v>Lương Ngọc Phương; Đặng Tiểu Linh Chi</v>
      </c>
      <c r="E11" s="4" t="str">
        <f>IFERROR(__xludf.DUMMYFUNCTION("""COMPUTED_VALUE"""),"Trường Cao đẳng Sư phạm Trung ương TP. Hồ Chí Minh")</f>
        <v>Trường Cao đẳng Sư phạm Trung ương TP. Hồ Chí Minh</v>
      </c>
      <c r="F11" s="4" t="str">
        <f>IFERROR(__xludf.DUMMYFUNCTION("""COMPUTED_VALUE"""),"KHGD2026-010.png")</f>
        <v>KHGD2026-010.png</v>
      </c>
    </row>
    <row r="12">
      <c r="A12" s="4" t="str">
        <f>IFERROR(__xludf.DUMMYFUNCTION("""COMPUTED_VALUE"""),"KHGD2026-011")</f>
        <v>KHGD2026-011</v>
      </c>
      <c r="B12" s="4" t="str">
        <f>IFERROR(__xludf.DUMMYFUNCTION("""COMPUTED_VALUE"""),"Khoa học giáo dục")</f>
        <v>Khoa học giáo dục</v>
      </c>
      <c r="C12" s="4" t="str">
        <f>IFERROR(__xludf.DUMMYFUNCTION("""COMPUTED_VALUE"""),"Ảnh hưởng của cố vấn học tập đến nhận thức về khả năng nghề nghiệp của sinh viên sau khi tốt nghiệp")</f>
        <v>Ảnh hưởng của cố vấn học tập đến nhận thức về khả năng nghề nghiệp của sinh viên sau khi tốt nghiệp</v>
      </c>
      <c r="D12" s="4" t="str">
        <f>IFERROR(__xludf.DUMMYFUNCTION("""COMPUTED_VALUE"""),"Trần Thị Ngọc Dung; Đặng Thị Cẫm Ly; Trịnh Gia Minh")</f>
        <v>Trần Thị Ngọc Dung; Đặng Thị Cẫm Ly; Trịnh Gia Minh</v>
      </c>
      <c r="E12" s="4" t="str">
        <f>IFERROR(__xludf.DUMMYFUNCTION("""COMPUTED_VALUE"""),"Trường Đại học Công nghệ TP. Hồ Chí Minh")</f>
        <v>Trường Đại học Công nghệ TP. Hồ Chí Minh</v>
      </c>
      <c r="F12" s="4" t="str">
        <f>IFERROR(__xludf.DUMMYFUNCTION("""COMPUTED_VALUE"""),"KHGD2026-011.png")</f>
        <v>KHGD2026-011.png</v>
      </c>
    </row>
    <row r="13">
      <c r="A13" s="4" t="str">
        <f>IFERROR(__xludf.DUMMYFUNCTION("""COMPUTED_VALUE"""),"KHGD2026-012")</f>
        <v>KHGD2026-012</v>
      </c>
      <c r="B13" s="4" t="str">
        <f>IFERROR(__xludf.DUMMYFUNCTION("""COMPUTED_VALUE"""),"Khoa học giáo dục")</f>
        <v>Khoa học giáo dục</v>
      </c>
      <c r="C13" s="4" t="str">
        <f>IFERROR(__xludf.DUMMYFUNCTION("""COMPUTED_VALUE"""),"Ảnh hưởng của phim ảnh Trung Quốc đối với động lực học tiếng Trung của sinh viên chuyên ngành Ngôn ngữ Trung Quốc tại Thành phố Hồ Chí Minh")</f>
        <v>Ảnh hưởng của phim ảnh Trung Quốc đối với động lực học tiếng Trung của sinh viên chuyên ngành Ngôn ngữ Trung Quốc tại Thành phố Hồ Chí Minh</v>
      </c>
      <c r="D13" s="4" t="str">
        <f>IFERROR(__xludf.DUMMYFUNCTION("""COMPUTED_VALUE"""),"Đặng Kim Long")</f>
        <v>Đặng Kim Long</v>
      </c>
      <c r="E13" s="4" t="str">
        <f>IFERROR(__xludf.DUMMYFUNCTION("""COMPUTED_VALUE"""),"Trường Đại học Công nghệ TP. Hồ Chí Minh")</f>
        <v>Trường Đại học Công nghệ TP. Hồ Chí Minh</v>
      </c>
      <c r="F13" s="4" t="str">
        <f>IFERROR(__xludf.DUMMYFUNCTION("""COMPUTED_VALUE"""),"KHGD2026-012.png")</f>
        <v>KHGD2026-012.png</v>
      </c>
    </row>
    <row r="14">
      <c r="A14" s="4" t="str">
        <f>IFERROR(__xludf.DUMMYFUNCTION("""COMPUTED_VALUE"""),"KHGD2026-013")</f>
        <v>KHGD2026-013</v>
      </c>
      <c r="B14" s="4" t="str">
        <f>IFERROR(__xludf.DUMMYFUNCTION("""COMPUTED_VALUE"""),"Khoa học giáo dục")</f>
        <v>Khoa học giáo dục</v>
      </c>
      <c r="C14" s="4" t="str">
        <f>IFERROR(__xludf.DUMMYFUNCTION("""COMPUTED_VALUE"""),"XÂY DỰNG VÀ SỬ DỤNG “HỒ SƠ DANH NHÂN VĂN HÓA VIỆT NAM ĐƯỢC UNESCO VINH DANH” PHỤC VỤ GIÁO DỤC PHỔ THÔNG THỜI KÌ CHUYỂN ĐỔI SỐ")</f>
        <v>XÂY DỰNG VÀ SỬ DỤNG “HỒ SƠ DANH NHÂN VĂN HÓA VIỆT NAM ĐƯỢC UNESCO VINH DANH” PHỤC VỤ GIÁO DỤC PHỔ THÔNG THỜI KÌ CHUYỂN ĐỔI SỐ</v>
      </c>
      <c r="D14" s="4" t="str">
        <f>IFERROR(__xludf.DUMMYFUNCTION("""COMPUTED_VALUE"""),"Nguyễn Phan Minh Hiển; Phan Phước Hoàn; Trần Thị Hồng Ánh; Đậu Đình Nguyên; Phan Nguyễn Thùy An")</f>
        <v>Nguyễn Phan Minh Hiển; Phan Phước Hoàn; Trần Thị Hồng Ánh; Đậu Đình Nguyên; Phan Nguyễn Thùy An</v>
      </c>
      <c r="E14" s="4" t="str">
        <f>IFERROR(__xludf.DUMMYFUNCTION("""COMPUTED_VALUE"""),"Trường Đại học Sư phạm Hà Nội")</f>
        <v>Trường Đại học Sư phạm Hà Nội</v>
      </c>
      <c r="F14" s="4" t="str">
        <f>IFERROR(__xludf.DUMMYFUNCTION("""COMPUTED_VALUE"""),"KHGD2026-013.png")</f>
        <v>KHGD2026-013.png</v>
      </c>
    </row>
    <row r="15">
      <c r="A15" s="4" t="str">
        <f>IFERROR(__xludf.DUMMYFUNCTION("""COMPUTED_VALUE"""),"KHGD2026-014")</f>
        <v>KHGD2026-014</v>
      </c>
      <c r="B15" s="4" t="str">
        <f>IFERROR(__xludf.DUMMYFUNCTION("""COMPUTED_VALUE"""),"Khoa học giáo dục")</f>
        <v>Khoa học giáo dục</v>
      </c>
      <c r="C15" s="4" t="str">
        <f>IFERROR(__xludf.DUMMYFUNCTION("""COMPUTED_VALUE"""),"Xây dựng bộ học liệu số về thiên nhiên và môi trường thành phố Đà Nẵng tích hợp trong dạy học chủ đề “ Vật sống” – môn khoa học tự nhiên lớp 8")</f>
        <v>Xây dựng bộ học liệu số về thiên nhiên và môi trường thành phố Đà Nẵng tích hợp trong dạy học chủ đề “ Vật sống” – môn khoa học tự nhiên lớp 8</v>
      </c>
      <c r="D15" s="4" t="str">
        <f>IFERROR(__xludf.DUMMYFUNCTION("""COMPUTED_VALUE"""),"Nguyễn Hồ Anh Tiên; Nguyễn Ngọc Thanh Huyền; Phạm Trần Ái Ly; Nguyễn Thị Mẫn; Phạm Thị Thảo")</f>
        <v>Nguyễn Hồ Anh Tiên; Nguyễn Ngọc Thanh Huyền; Phạm Trần Ái Ly; Nguyễn Thị Mẫn; Phạm Thị Thảo</v>
      </c>
      <c r="E15" s="4" t="str">
        <f>IFERROR(__xludf.DUMMYFUNCTION("""COMPUTED_VALUE"""),"Trường Đại học Sư phạm, Đại học Đà Nẵng")</f>
        <v>Trường Đại học Sư phạm, Đại học Đà Nẵng</v>
      </c>
      <c r="F15" s="4" t="str">
        <f>IFERROR(__xludf.DUMMYFUNCTION("""COMPUTED_VALUE"""),"KHGD2026-014.png")</f>
        <v>KHGD2026-014.png</v>
      </c>
    </row>
    <row r="16">
      <c r="A16" s="4" t="str">
        <f>IFERROR(__xludf.DUMMYFUNCTION("""COMPUTED_VALUE"""),"KHGD2026-015")</f>
        <v>KHGD2026-015</v>
      </c>
      <c r="B16" s="4" t="str">
        <f>IFERROR(__xludf.DUMMYFUNCTION("""COMPUTED_VALUE"""),"Khoa học giáo dục")</f>
        <v>Khoa học giáo dục</v>
      </c>
      <c r="C16" s="4" t="str">
        <f>IFERROR(__xludf.DUMMYFUNCTION("""COMPUTED_VALUE"""),"Ứng dụng AI trong thiết kế mô hình “Trợ lý học tập ảo” nhằm phát triển năng lực giải quyết vấn đề toán học cho học sinh lớp 5")</f>
        <v>Ứng dụng AI trong thiết kế mô hình “Trợ lý học tập ảo” nhằm phát triển năng lực giải quyết vấn đề toán học cho học sinh lớp 5</v>
      </c>
      <c r="D16" s="4" t="str">
        <f>IFERROR(__xludf.DUMMYFUNCTION("""COMPUTED_VALUE"""),"Phan Thị Thuý Diễm; Dương Hoàng Lan Nhi; Bùi Thị Minh Thư")</f>
        <v>Phan Thị Thuý Diễm; Dương Hoàng Lan Nhi; Bùi Thị Minh Thư</v>
      </c>
      <c r="E16" s="4" t="str">
        <f>IFERROR(__xludf.DUMMYFUNCTION("""COMPUTED_VALUE"""),"Trường Đại học Sư phạm, Đại học Đà Nẵng")</f>
        <v>Trường Đại học Sư phạm, Đại học Đà Nẵng</v>
      </c>
      <c r="F16" s="4" t="str">
        <f>IFERROR(__xludf.DUMMYFUNCTION("""COMPUTED_VALUE"""),"KHGD2026-015.png")</f>
        <v>KHGD2026-015.png</v>
      </c>
    </row>
    <row r="17">
      <c r="A17" s="4" t="str">
        <f>IFERROR(__xludf.DUMMYFUNCTION("""COMPUTED_VALUE"""),"KHGD2026-016")</f>
        <v>KHGD2026-016</v>
      </c>
      <c r="B17" s="4" t="str">
        <f>IFERROR(__xludf.DUMMYFUNCTION("""COMPUTED_VALUE"""),"Khoa học giáo dục")</f>
        <v>Khoa học giáo dục</v>
      </c>
      <c r="C17" s="4" t="str">
        <f>IFERROR(__xludf.DUMMYFUNCTION("""COMPUTED_VALUE"""),"Ứng dụng AI vào thiết kế video câu chuyện giáo dục cảm xúc - xã hội cho trẻ mẫu giáo 3-4 tuổi.")</f>
        <v>Ứng dụng AI vào thiết kế video câu chuyện giáo dục cảm xúc - xã hội cho trẻ mẫu giáo 3-4 tuổi.</v>
      </c>
      <c r="D17" s="4" t="str">
        <f>IFERROR(__xludf.DUMMYFUNCTION("""COMPUTED_VALUE"""),"Trần Thuỳ Duyên; Cao Hoàng Diệu Linh; Trần Thị Nhật Ly; Lương Thảo Ly")</f>
        <v>Trần Thuỳ Duyên; Cao Hoàng Diệu Linh; Trần Thị Nhật Ly; Lương Thảo Ly</v>
      </c>
      <c r="E17" s="4" t="str">
        <f>IFERROR(__xludf.DUMMYFUNCTION("""COMPUTED_VALUE"""),"Trường Đại học Sư phạm, Đại học Đà Nẵng")</f>
        <v>Trường Đại học Sư phạm, Đại học Đà Nẵng</v>
      </c>
      <c r="F17" s="4" t="str">
        <f>IFERROR(__xludf.DUMMYFUNCTION("""COMPUTED_VALUE"""),"KHGD2026-016.png")</f>
        <v>KHGD2026-016.png</v>
      </c>
    </row>
    <row r="18">
      <c r="A18" s="4" t="str">
        <f>IFERROR(__xludf.DUMMYFUNCTION("""COMPUTED_VALUE"""),"KHGD2026-017")</f>
        <v>KHGD2026-017</v>
      </c>
      <c r="B18" s="4" t="str">
        <f>IFERROR(__xludf.DUMMYFUNCTION("""COMPUTED_VALUE"""),"Khoa học giáo dục")</f>
        <v>Khoa học giáo dục</v>
      </c>
      <c r="C18" s="4" t="str">
        <f>IFERROR(__xludf.DUMMYFUNCTION("""COMPUTED_VALUE"""),"Vận dụng AI thiết kế hoạt động trải nghiệm nhằm giáo dục tài chính cho học sinh lớp 4")</f>
        <v>Vận dụng AI thiết kế hoạt động trải nghiệm nhằm giáo dục tài chính cho học sinh lớp 4</v>
      </c>
      <c r="D18" s="4" t="str">
        <f>IFERROR(__xludf.DUMMYFUNCTION("""COMPUTED_VALUE"""),"Nguyễn Thị Ngọc Ánh; Nguyễn Thuý Huyền; Dương Thị Cẩm Chi; Nguyễn Thị Thương; Nguyễn Văn Sáng")</f>
        <v>Nguyễn Thị Ngọc Ánh; Nguyễn Thuý Huyền; Dương Thị Cẩm Chi; Nguyễn Thị Thương; Nguyễn Văn Sáng</v>
      </c>
      <c r="E18" s="4" t="str">
        <f>IFERROR(__xludf.DUMMYFUNCTION("""COMPUTED_VALUE"""),"Trường Đại học Sư phạm, Đại học Đà Nẵng")</f>
        <v>Trường Đại học Sư phạm, Đại học Đà Nẵng</v>
      </c>
      <c r="F18" s="4" t="str">
        <f>IFERROR(__xludf.DUMMYFUNCTION("""COMPUTED_VALUE"""),"KHGD2026-017.png")</f>
        <v>KHGD2026-017.png</v>
      </c>
    </row>
    <row r="19">
      <c r="A19" s="4" t="str">
        <f>IFERROR(__xludf.DUMMYFUNCTION("""COMPUTED_VALUE"""),"KHGD2026-018")</f>
        <v>KHGD2026-018</v>
      </c>
      <c r="B19" s="4" t="str">
        <f>IFERROR(__xludf.DUMMYFUNCTION("""COMPUTED_VALUE"""),"Khoa học giáo dục")</f>
        <v>Khoa học giáo dục</v>
      </c>
      <c r="C19" s="4" t="str">
        <f>IFERROR(__xludf.DUMMYFUNCTION("""COMPUTED_VALUE"""),"Ứng dụng AI thiết kế từ điển mini từ láy tiếng Việt cho học sinh lớp 4, 5.")</f>
        <v>Ứng dụng AI thiết kế từ điển mini từ láy tiếng Việt cho học sinh lớp 4, 5.</v>
      </c>
      <c r="D19" s="4" t="str">
        <f>IFERROR(__xludf.DUMMYFUNCTION("""COMPUTED_VALUE"""),"Bùi Thị Tuyết Mai; Đinh Thị Thanh; Nguyễn Khánh Linh; Nguyễn Thị Thanh Tiên; Nguyễn Khắc Sáng")</f>
        <v>Bùi Thị Tuyết Mai; Đinh Thị Thanh; Nguyễn Khánh Linh; Nguyễn Thị Thanh Tiên; Nguyễn Khắc Sáng</v>
      </c>
      <c r="E19" s="4" t="str">
        <f>IFERROR(__xludf.DUMMYFUNCTION("""COMPUTED_VALUE"""),"Trường Đại học Sư phạm, Đại học Đà Nẵng")</f>
        <v>Trường Đại học Sư phạm, Đại học Đà Nẵng</v>
      </c>
      <c r="F19" s="4" t="str">
        <f>IFERROR(__xludf.DUMMYFUNCTION("""COMPUTED_VALUE"""),"KHGD2026-018.png")</f>
        <v>KHGD2026-018.png</v>
      </c>
    </row>
    <row r="20">
      <c r="A20" s="4" t="str">
        <f>IFERROR(__xludf.DUMMYFUNCTION("""COMPUTED_VALUE"""),"KHGD2026-019")</f>
        <v>KHGD2026-019</v>
      </c>
      <c r="B20" s="4" t="str">
        <f>IFERROR(__xludf.DUMMYFUNCTION("""COMPUTED_VALUE"""),"Khoa học giáo dục")</f>
        <v>Khoa học giáo dục</v>
      </c>
      <c r="C20" s="4" t="str">
        <f>IFERROR(__xludf.DUMMYFUNCTION("""COMPUTED_VALUE"""),"Ứng dụng công nghệ thực tế ảo (VR – Virtual Reality) mô phỏng bối cảnh thiên nhiên để giáo dục môi trường cho trẻ 5-6 tuổi thông qua hoạt động trải nghiệm ở trường Mầm non Khánh An – Đà Nẵng")</f>
        <v>Ứng dụng công nghệ thực tế ảo (VR – Virtual Reality) mô phỏng bối cảnh thiên nhiên để giáo dục môi trường cho trẻ 5-6 tuổi thông qua hoạt động trải nghiệm ở trường Mầm non Khánh An – Đà Nẵng</v>
      </c>
      <c r="D20" s="4" t="str">
        <f>IFERROR(__xludf.DUMMYFUNCTION("""COMPUTED_VALUE"""),"Võ Thị Thu Thuỳ; Trần Thị Bích Trâm; Dương Thị Hồng Hợp; Trần Nguyễn Yến Nhi")</f>
        <v>Võ Thị Thu Thuỳ; Trần Thị Bích Trâm; Dương Thị Hồng Hợp; Trần Nguyễn Yến Nhi</v>
      </c>
      <c r="E20" s="4" t="str">
        <f>IFERROR(__xludf.DUMMYFUNCTION("""COMPUTED_VALUE"""),"Trường Đại học Sư phạm, Đại học Đà Nẵng")</f>
        <v>Trường Đại học Sư phạm, Đại học Đà Nẵng</v>
      </c>
      <c r="F20" s="4" t="str">
        <f>IFERROR(__xludf.DUMMYFUNCTION("""COMPUTED_VALUE"""),"KHGD2026-019.png")</f>
        <v>KHGD2026-019.png</v>
      </c>
    </row>
    <row r="21">
      <c r="A21" s="4" t="str">
        <f>IFERROR(__xludf.DUMMYFUNCTION("""COMPUTED_VALUE"""),"KHGD2026-020")</f>
        <v>KHGD2026-020</v>
      </c>
      <c r="B21" s="4" t="str">
        <f>IFERROR(__xludf.DUMMYFUNCTION("""COMPUTED_VALUE"""),"Khoa học giáo dục")</f>
        <v>Khoa học giáo dục</v>
      </c>
      <c r="C21" s="4" t="str">
        <f>IFERROR(__xludf.DUMMYFUNCTION("""COMPUTED_VALUE"""),"Exploring the impact of the academic environment on the critical thinking development of English-major students at universities in Hanoi")</f>
        <v>Exploring the impact of the academic environment on the critical thinking development of English-major students at universities in Hanoi</v>
      </c>
      <c r="D21" s="4" t="str">
        <f>IFERROR(__xludf.DUMMYFUNCTION("""COMPUTED_VALUE"""),"Nguyễn Thị Thanh Trà; Nguyễn Ngọc Anh; Trần Trúc Anh")</f>
        <v>Nguyễn Thị Thanh Trà; Nguyễn Ngọc Anh; Trần Trúc Anh</v>
      </c>
      <c r="E21" s="4" t="str">
        <f>IFERROR(__xludf.DUMMYFUNCTION("""COMPUTED_VALUE"""),"Học viện Tài chính")</f>
        <v>Học viện Tài chính</v>
      </c>
      <c r="F21" s="4" t="str">
        <f>IFERROR(__xludf.DUMMYFUNCTION("""COMPUTED_VALUE"""),"KHGD2026-020.png")</f>
        <v>KHGD2026-020.png</v>
      </c>
    </row>
    <row r="22">
      <c r="A22" s="4" t="str">
        <f>IFERROR(__xludf.DUMMYFUNCTION("""COMPUTED_VALUE"""),"KHGD2026-021")</f>
        <v>KHGD2026-021</v>
      </c>
      <c r="B22" s="4" t="str">
        <f>IFERROR(__xludf.DUMMYFUNCTION("""COMPUTED_VALUE"""),"Khoa học giáo dục")</f>
        <v>Khoa học giáo dục</v>
      </c>
      <c r="C22" s="4" t="str">
        <f>IFERROR(__xludf.DUMMYFUNCTION("""COMPUTED_VALUE"""),"XÂY DỰNG HỌC LIỆU SỐ HỖ TRỢ DẠY HỌC CHỦ ĐỀ NĂNG LƯỢNG LỚP 4")</f>
        <v>XÂY DỰNG HỌC LIỆU SỐ HỖ TRỢ DẠY HỌC CHỦ ĐỀ NĂNG LƯỢNG LỚP 4</v>
      </c>
      <c r="D22" s="4" t="str">
        <f>IFERROR(__xludf.DUMMYFUNCTION("""COMPUTED_VALUE"""),"PHẠM LÝ NGÂN")</f>
        <v>PHẠM LÝ NGÂN</v>
      </c>
      <c r="E22" s="4" t="str">
        <f>IFERROR(__xludf.DUMMYFUNCTION("""COMPUTED_VALUE"""),"Trường Đại học Sư phạm, Đại học Huế")</f>
        <v>Trường Đại học Sư phạm, Đại học Huế</v>
      </c>
      <c r="F22" s="4" t="str">
        <f>IFERROR(__xludf.DUMMYFUNCTION("""COMPUTED_VALUE"""),"KHGD2026-021.png")</f>
        <v>KHGD2026-021.png</v>
      </c>
    </row>
    <row r="23">
      <c r="A23" s="4" t="str">
        <f>IFERROR(__xludf.DUMMYFUNCTION("""COMPUTED_VALUE"""),"KHGD2026-022")</f>
        <v>KHGD2026-022</v>
      </c>
      <c r="B23" s="4" t="str">
        <f>IFERROR(__xludf.DUMMYFUNCTION("""COMPUTED_VALUE"""),"Khoa học giáo dục")</f>
        <v>Khoa học giáo dục</v>
      </c>
      <c r="C23" s="4" t="str">
        <f>IFERROR(__xludf.DUMMYFUNCTION("""COMPUTED_VALUE"""),"CÁ NHÂN HÓA TRẢI NGHIỆM HỌC TẬP TRONG BỐI CẢNH ỨNG DỤNG HỆ THỐNG HỌC TẬP THÍCH ỨNG: VAI TRÒ ĐIỀU TIẾT CỦA ĐỘNG LỰC NỘI SINH VÀ MỆT MỎI QUYẾT ĐỊNH")</f>
        <v>CÁ NHÂN HÓA TRẢI NGHIỆM HỌC TẬP TRONG BỐI CẢNH ỨNG DỤNG HỆ THỐNG HỌC TẬP THÍCH ỨNG: VAI TRÒ ĐIỀU TIẾT CỦA ĐỘNG LỰC NỘI SINH VÀ MỆT MỎI QUYẾT ĐỊNH</v>
      </c>
      <c r="D23" s="4" t="str">
        <f>IFERROR(__xludf.DUMMYFUNCTION("""COMPUTED_VALUE"""),"Phạm Đức Minh; Nguyễn Thành Trung")</f>
        <v>Phạm Đức Minh; Nguyễn Thành Trung</v>
      </c>
      <c r="E23" s="4" t="str">
        <f>IFERROR(__xludf.DUMMYFUNCTION("""COMPUTED_VALUE"""),"Đại học Kinh tế Quốc dân")</f>
        <v>Đại học Kinh tế Quốc dân</v>
      </c>
      <c r="F23" s="4" t="str">
        <f>IFERROR(__xludf.DUMMYFUNCTION("""COMPUTED_VALUE"""),"KHGD2026-022.png")</f>
        <v>KHGD2026-022.png</v>
      </c>
    </row>
    <row r="24">
      <c r="A24" s="4" t="str">
        <f>IFERROR(__xludf.DUMMYFUNCTION("""COMPUTED_VALUE"""),"KHGD2026-023")</f>
        <v>KHGD2026-023</v>
      </c>
      <c r="B24" s="4" t="str">
        <f>IFERROR(__xludf.DUMMYFUNCTION("""COMPUTED_VALUE"""),"Khoa học giáo dục")</f>
        <v>Khoa học giáo dục</v>
      </c>
      <c r="C24" s="4" t="str">
        <f>IFERROR(__xludf.DUMMYFUNCTION("""COMPUTED_VALUE"""),"Thiết kế học liệu đa phương tiện hỗ trợ phát triển năng lực đọc cho học sinh lớp 1 dân tộc Dao Thanh Phán tại xã Ba Chẽ, thành phố Quảng Ninh")</f>
        <v>Thiết kế học liệu đa phương tiện hỗ trợ phát triển năng lực đọc cho học sinh lớp 1 dân tộc Dao Thanh Phán tại xã Ba Chẽ, thành phố Quảng Ninh</v>
      </c>
      <c r="D24" s="4" t="str">
        <f>IFERROR(__xludf.DUMMYFUNCTION("""COMPUTED_VALUE"""),"Nguyễn Phương Uyên; Triệu Thùy Vân; Nguyễn Thủy Ngân; Nguyễn Thị Ngọc; Phạm Châu Anh")</f>
        <v>Nguyễn Phương Uyên; Triệu Thùy Vân; Nguyễn Thủy Ngân; Nguyễn Thị Ngọc; Phạm Châu Anh</v>
      </c>
      <c r="E24" s="4" t="str">
        <f>IFERROR(__xludf.DUMMYFUNCTION("""COMPUTED_VALUE"""),"Trường Đại học Hạ Long")</f>
        <v>Trường Đại học Hạ Long</v>
      </c>
      <c r="F24" s="4" t="str">
        <f>IFERROR(__xludf.DUMMYFUNCTION("""COMPUTED_VALUE"""),"KHGD2026-023.png")</f>
        <v>KHGD2026-023.png</v>
      </c>
    </row>
    <row r="25">
      <c r="A25" s="4" t="str">
        <f>IFERROR(__xludf.DUMMYFUNCTION("""COMPUTED_VALUE"""),"KHGD2026-024")</f>
        <v>KHGD2026-024</v>
      </c>
      <c r="B25" s="4" t="str">
        <f>IFERROR(__xludf.DUMMYFUNCTION("""COMPUTED_VALUE"""),"Khoa học giáo dục")</f>
        <v>Khoa học giáo dục</v>
      </c>
      <c r="C25" s="4" t="str">
        <f>IFERROR(__xludf.DUMMYFUNCTION("""COMPUTED_VALUE"""),"THE IMPACT OF ARTIFICIAL INTELLIGENCE USE IN LEARNING ON VIETNAMESE UNIVERSITY STUDENTS’ LEARNING")</f>
        <v>THE IMPACT OF ARTIFICIAL INTELLIGENCE USE IN LEARNING ON VIETNAMESE UNIVERSITY STUDENTS’ LEARNING</v>
      </c>
      <c r="D25" s="4" t="str">
        <f>IFERROR(__xludf.DUMMYFUNCTION("""COMPUTED_VALUE"""),"Lê Đỗ Trà My; Nguyễn Thị Ngọc Lụa; Nguyễn Trần Thu Ngân; Nguyễn Hồ Tuyết Ngân")</f>
        <v>Lê Đỗ Trà My; Nguyễn Thị Ngọc Lụa; Nguyễn Trần Thu Ngân; Nguyễn Hồ Tuyết Ngân</v>
      </c>
      <c r="E25" s="4" t="str">
        <f>IFERROR(__xludf.DUMMYFUNCTION("""COMPUTED_VALUE"""),"Đại học Kinh tế TP. Hồ Chí Minh")</f>
        <v>Đại học Kinh tế TP. Hồ Chí Minh</v>
      </c>
      <c r="F25" s="4" t="str">
        <f>IFERROR(__xludf.DUMMYFUNCTION("""COMPUTED_VALUE"""),"KHGD2026-024.png")</f>
        <v>KHGD2026-024.png</v>
      </c>
    </row>
    <row r="26">
      <c r="A26" s="4" t="str">
        <f>IFERROR(__xludf.DUMMYFUNCTION("""COMPUTED_VALUE"""),"KHGD2026-025")</f>
        <v>KHGD2026-025</v>
      </c>
      <c r="B26" s="4" t="str">
        <f>IFERROR(__xludf.DUMMYFUNCTION("""COMPUTED_VALUE"""),"Khoa học giáo dục")</f>
        <v>Khoa học giáo dục</v>
      </c>
      <c r="C26" s="4" t="str">
        <f>IFERROR(__xludf.DUMMYFUNCTION("""COMPUTED_VALUE"""),"Learning Through the Feed")</f>
        <v>Learning Through the Feed</v>
      </c>
      <c r="D26" s="4" t="str">
        <f>IFERROR(__xludf.DUMMYFUNCTION("""COMPUTED_VALUE"""),"Trần Tường Khang")</f>
        <v>Trần Tường Khang</v>
      </c>
      <c r="E26" s="4" t="str">
        <f>IFERROR(__xludf.DUMMYFUNCTION("""COMPUTED_VALUE"""),"Trường Đại học Văn Lang")</f>
        <v>Trường Đại học Văn Lang</v>
      </c>
      <c r="F26" s="4" t="str">
        <f>IFERROR(__xludf.DUMMYFUNCTION("""COMPUTED_VALUE"""),"KHGD2026-025.png")</f>
        <v>KHGD2026-025.png</v>
      </c>
    </row>
    <row r="27">
      <c r="A27" s="4" t="str">
        <f>IFERROR(__xludf.DUMMYFUNCTION("""COMPUTED_VALUE"""),"KHGD2026-026")</f>
        <v>KHGD2026-026</v>
      </c>
      <c r="B27" s="4" t="str">
        <f>IFERROR(__xludf.DUMMYFUNCTION("""COMPUTED_VALUE"""),"Khoa học giáo dục")</f>
        <v>Khoa học giáo dục</v>
      </c>
      <c r="C27" s="4" t="str">
        <f>IFERROR(__xludf.DUMMYFUNCTION("""COMPUTED_VALUE"""),"Ứng dụng khung năng lực số Digcom để xây dựng mô hình phát triển miền năng lực an toàn số cho sinh viên trường Đại học Hùng Vương")</f>
        <v>Ứng dụng khung năng lực số Digcom để xây dựng mô hình phát triển miền năng lực an toàn số cho sinh viên trường Đại học Hùng Vương</v>
      </c>
      <c r="D27" s="4" t="str">
        <f>IFERROR(__xludf.DUMMYFUNCTION("""COMPUTED_VALUE"""),"Nguyễn Thị Thanh Xuân; Lý Thu Thùy; Phạm Yến Nhi; Phùng Hoài Giang")</f>
        <v>Nguyễn Thị Thanh Xuân; Lý Thu Thùy; Phạm Yến Nhi; Phùng Hoài Giang</v>
      </c>
      <c r="E27" s="4" t="str">
        <f>IFERROR(__xludf.DUMMYFUNCTION("""COMPUTED_VALUE"""),"Trường Đại học Hùng Vương (Phú Thọ)")</f>
        <v>Trường Đại học Hùng Vương (Phú Thọ)</v>
      </c>
      <c r="F27" s="4" t="str">
        <f>IFERROR(__xludf.DUMMYFUNCTION("""COMPUTED_VALUE"""),"KHGD2026-026.png")</f>
        <v>KHGD2026-026.png</v>
      </c>
    </row>
    <row r="28">
      <c r="A28" s="4" t="str">
        <f>IFERROR(__xludf.DUMMYFUNCTION("""COMPUTED_VALUE"""),"KHGD2026-027")</f>
        <v>KHGD2026-027</v>
      </c>
      <c r="B28" s="4" t="str">
        <f>IFERROR(__xludf.DUMMYFUNCTION("""COMPUTED_VALUE"""),"Khoa học giáo dục")</f>
        <v>Khoa học giáo dục</v>
      </c>
      <c r="C28" s="4" t="str">
        <f>IFERROR(__xludf.DUMMYFUNCTION("""COMPUTED_VALUE"""),"Exploring Non-English-Majored students’ English-speaking anxiety at Hanoi Law University")</f>
        <v>Exploring Non-English-Majored students’ English-speaking anxiety at Hanoi Law University</v>
      </c>
      <c r="D28" s="4" t="str">
        <f>IFERROR(__xludf.DUMMYFUNCTION("""COMPUTED_VALUE"""),"Ninh Thị An Thư; Nguyễn Lâm Khoa; Bùi Ngọc Minh")</f>
        <v>Ninh Thị An Thư; Nguyễn Lâm Khoa; Bùi Ngọc Minh</v>
      </c>
      <c r="E28" s="4" t="str">
        <f>IFERROR(__xludf.DUMMYFUNCTION("""COMPUTED_VALUE"""),"Trường Đại học Luật Hà Nội")</f>
        <v>Trường Đại học Luật Hà Nội</v>
      </c>
      <c r="F28" s="4" t="str">
        <f>IFERROR(__xludf.DUMMYFUNCTION("""COMPUTED_VALUE"""),"KHGD2026-027.png")</f>
        <v>KHGD2026-027.png</v>
      </c>
    </row>
    <row r="29">
      <c r="A29" s="4" t="str">
        <f>IFERROR(__xludf.DUMMYFUNCTION("""COMPUTED_VALUE"""),"KHGD2026-028")</f>
        <v>KHGD2026-028</v>
      </c>
      <c r="B29" s="4" t="str">
        <f>IFERROR(__xludf.DUMMYFUNCTION("""COMPUTED_VALUE"""),"Khoa học giáo dục")</f>
        <v>Khoa học giáo dục</v>
      </c>
      <c r="C29" s="4" t="str">
        <f>IFERROR(__xludf.DUMMYFUNCTION("""COMPUTED_VALUE"""),"Dạy học phân hóa chủ đề phân số môn Toán lớp 4 với sự hỗ trợ của GEN AI")</f>
        <v>Dạy học phân hóa chủ đề phân số môn Toán lớp 4 với sự hỗ trợ của GEN AI</v>
      </c>
      <c r="D29" s="4" t="str">
        <f>IFERROR(__xludf.DUMMYFUNCTION("""COMPUTED_VALUE"""),"Bùi Lan Hương; Bùi Ngọc Bích Hà: Tạ Thị Hải Diệu; Nguyễn Mạnh Dung; Giang Mỹ Hoa")</f>
        <v>Bùi Lan Hương; Bùi Ngọc Bích Hà: Tạ Thị Hải Diệu; Nguyễn Mạnh Dung; Giang Mỹ Hoa</v>
      </c>
      <c r="E29" s="4" t="str">
        <f>IFERROR(__xludf.DUMMYFUNCTION("""COMPUTED_VALUE"""),"Trường Đại học Hùng Vương (Phú Thọ)")</f>
        <v>Trường Đại học Hùng Vương (Phú Thọ)</v>
      </c>
      <c r="F29" s="4" t="str">
        <f>IFERROR(__xludf.DUMMYFUNCTION("""COMPUTED_VALUE"""),"KHGD2026-028.png")</f>
        <v>KHGD2026-028.png</v>
      </c>
    </row>
    <row r="30">
      <c r="A30" s="4" t="str">
        <f>IFERROR(__xludf.DUMMYFUNCTION("""COMPUTED_VALUE"""),"KHGD2026-029")</f>
        <v>KHGD2026-029</v>
      </c>
      <c r="B30" s="4" t="str">
        <f>IFERROR(__xludf.DUMMYFUNCTION("""COMPUTED_VALUE"""),"Khoa học giáo dục")</f>
        <v>Khoa học giáo dục</v>
      </c>
      <c r="C30" s="4" t="str">
        <f>IFERROR(__xludf.DUMMYFUNCTION("""COMPUTED_VALUE"""),"Ảnh hưởng của kĩ năng quản lý thời gian đến kết quả học tập của sinh viên ngành kế toán trường Đại học Hùng Vương")</f>
        <v>Ảnh hưởng của kĩ năng quản lý thời gian đến kết quả học tập của sinh viên ngành kế toán trường Đại học Hùng Vương</v>
      </c>
      <c r="D30" s="4" t="str">
        <f>IFERROR(__xludf.DUMMYFUNCTION("""COMPUTED_VALUE"""),"Nguyễn Thị Thu Hà; Nguyễn Thị Diệu Linh; Ngô Thị Phương Thảo; Nguyễn Thái Quang")</f>
        <v>Nguyễn Thị Thu Hà; Nguyễn Thị Diệu Linh; Ngô Thị Phương Thảo; Nguyễn Thái Quang</v>
      </c>
      <c r="E30" s="4" t="str">
        <f>IFERROR(__xludf.DUMMYFUNCTION("""COMPUTED_VALUE"""),"Trường Đại học Hùng Vương (Phú Thọ)")</f>
        <v>Trường Đại học Hùng Vương (Phú Thọ)</v>
      </c>
      <c r="F30" s="4" t="str">
        <f>IFERROR(__xludf.DUMMYFUNCTION("""COMPUTED_VALUE"""),"KHGD2026-029.png")</f>
        <v>KHGD2026-029.png</v>
      </c>
    </row>
    <row r="31">
      <c r="A31" s="4" t="str">
        <f>IFERROR(__xludf.DUMMYFUNCTION("""COMPUTED_VALUE"""),"KHGD2026-030")</f>
        <v>KHGD2026-030</v>
      </c>
      <c r="B31" s="4" t="str">
        <f>IFERROR(__xludf.DUMMYFUNCTION("""COMPUTED_VALUE"""),"Khoa học giáo dục")</f>
        <v>Khoa học giáo dục</v>
      </c>
      <c r="C31" s="4" t="str">
        <f>IFERROR(__xludf.DUMMYFUNCTION("""COMPUTED_VALUE"""),"Nghiên cứu tổng hợp (Meta analysis) và thẩm định mô hình cấu trúc (SEM) về ảnh hưởng của một số xu hướng giáo dục Toán học hiện đại đến kết quả học tập của người học")</f>
        <v>Nghiên cứu tổng hợp (Meta analysis) và thẩm định mô hình cấu trúc (SEM) về ảnh hưởng của một số xu hướng giáo dục Toán học hiện đại đến kết quả học tập của người học</v>
      </c>
      <c r="D31" s="4" t="str">
        <f>IFERROR(__xludf.DUMMYFUNCTION("""COMPUTED_VALUE"""),"Trần Vũ Hiền Linh; Nguyễn Thu An; Nguyễn Phương Quỳnh; Nguyễn Minh Tú")</f>
        <v>Trần Vũ Hiền Linh; Nguyễn Thu An; Nguyễn Phương Quỳnh; Nguyễn Minh Tú</v>
      </c>
      <c r="E31" s="4" t="str">
        <f>IFERROR(__xludf.DUMMYFUNCTION("""COMPUTED_VALUE"""),"Trường Đại học Thủ đô Hà Nội")</f>
        <v>Trường Đại học Thủ đô Hà Nội</v>
      </c>
      <c r="F31" s="4" t="str">
        <f>IFERROR(__xludf.DUMMYFUNCTION("""COMPUTED_VALUE"""),"KHGD2026-030.png")</f>
        <v>KHGD2026-030.png</v>
      </c>
    </row>
    <row r="32">
      <c r="A32" s="4" t="str">
        <f>IFERROR(__xludf.DUMMYFUNCTION("""COMPUTED_VALUE"""),"KHGD2026-031")</f>
        <v>KHGD2026-031</v>
      </c>
      <c r="B32" s="4" t="str">
        <f>IFERROR(__xludf.DUMMYFUNCTION("""COMPUTED_VALUE"""),"Khoa học giáo dục")</f>
        <v>Khoa học giáo dục</v>
      </c>
      <c r="C32" s="4" t="str">
        <f>IFERROR(__xludf.DUMMYFUNCTION("""COMPUTED_VALUE"""),"Khó khăn trong việc học kỹ năng viết học phần 2 của sinh viên ngành Ngôn Ngữ Anh tại trường Đại học Luật Hà Nội")</f>
        <v>Khó khăn trong việc học kỹ năng viết học phần 2 của sinh viên ngành Ngôn Ngữ Anh tại trường Đại học Luật Hà Nội</v>
      </c>
      <c r="D32" s="4" t="str">
        <f>IFERROR(__xludf.DUMMYFUNCTION("""COMPUTED_VALUE"""),"Đinh Ngọc Huy Hoàng; Đinh Thị Minh Hiền; Trần Vũ Khánh Hiền")</f>
        <v>Đinh Ngọc Huy Hoàng; Đinh Thị Minh Hiền; Trần Vũ Khánh Hiền</v>
      </c>
      <c r="E32" s="4" t="str">
        <f>IFERROR(__xludf.DUMMYFUNCTION("""COMPUTED_VALUE"""),"Trường Đại học Luật Hà Nội")</f>
        <v>Trường Đại học Luật Hà Nội</v>
      </c>
      <c r="F32" s="4" t="str">
        <f>IFERROR(__xludf.DUMMYFUNCTION("""COMPUTED_VALUE"""),"KHGD2026-031.png")</f>
        <v>KHGD2026-031.png</v>
      </c>
    </row>
    <row r="33">
      <c r="A33" s="4" t="str">
        <f>IFERROR(__xludf.DUMMYFUNCTION("""COMPUTED_VALUE"""),"KHGD2026-032")</f>
        <v>KHGD2026-032</v>
      </c>
      <c r="B33" s="4" t="str">
        <f>IFERROR(__xludf.DUMMYFUNCTION("""COMPUTED_VALUE"""),"Khoa học giáo dục")</f>
        <v>Khoa học giáo dục</v>
      </c>
      <c r="C33" s="4" t="str">
        <f>IFERROR(__xludf.DUMMYFUNCTION("""COMPUTED_VALUE"""),"Nghiên cứu phát triển hệ thống dự báo sớm kết quả học tập và khuyến nghị học tập cá nhân hóa dựa trên mô hình trí tuệ nhân tạo lai và neutrosophy")</f>
        <v>Nghiên cứu phát triển hệ thống dự báo sớm kết quả học tập và khuyến nghị học tập cá nhân hóa dựa trên mô hình trí tuệ nhân tạo lai và neutrosophy</v>
      </c>
      <c r="D33" s="4" t="str">
        <f>IFERROR(__xludf.DUMMYFUNCTION("""COMPUTED_VALUE"""),"Phùng Thanh Huyền; Nguyễn Hồng Hoa; Hoàng Thị Thu Trang")</f>
        <v>Phùng Thanh Huyền; Nguyễn Hồng Hoa; Hoàng Thị Thu Trang</v>
      </c>
      <c r="E33" s="4" t="str">
        <f>IFERROR(__xludf.DUMMYFUNCTION("""COMPUTED_VALUE"""),"Trường Đại học Thủ đô Hà Nội")</f>
        <v>Trường Đại học Thủ đô Hà Nội</v>
      </c>
      <c r="F33" s="4" t="str">
        <f>IFERROR(__xludf.DUMMYFUNCTION("""COMPUTED_VALUE"""),"KHGD2026-032.png")</f>
        <v>KHGD2026-032.png</v>
      </c>
    </row>
    <row r="34">
      <c r="A34" s="4" t="str">
        <f>IFERROR(__xludf.DUMMYFUNCTION("""COMPUTED_VALUE"""),"KHGD2026-033")</f>
        <v>KHGD2026-033</v>
      </c>
      <c r="B34" s="4" t="str">
        <f>IFERROR(__xludf.DUMMYFUNCTION("""COMPUTED_VALUE"""),"Khoa học giáo dục")</f>
        <v>Khoa học giáo dục</v>
      </c>
      <c r="C34" s="4" t="str">
        <f>IFERROR(__xludf.DUMMYFUNCTION("""COMPUTED_VALUE"""),"Ứng dụng công cụ Virtual Writing Tutor trong việc nâng cao kỹ năng viết thư tiếng Anh cho sinh viên năm thứ hai ngành Ngôn ngữ Anh, Trường Đại học Hồng Đức")</f>
        <v>Ứng dụng công cụ Virtual Writing Tutor trong việc nâng cao kỹ năng viết thư tiếng Anh cho sinh viên năm thứ hai ngành Ngôn ngữ Anh, Trường Đại học Hồng Đức</v>
      </c>
      <c r="D34" s="4" t="str">
        <f>IFERROR(__xludf.DUMMYFUNCTION("""COMPUTED_VALUE"""),"Nguyễn Quỳnh Mai; Lại Thuỳ Dương; Lương Hà Tâm; Phạm Mai Trang")</f>
        <v>Nguyễn Quỳnh Mai; Lại Thuỳ Dương; Lương Hà Tâm; Phạm Mai Trang</v>
      </c>
      <c r="E34" s="4" t="str">
        <f>IFERROR(__xludf.DUMMYFUNCTION("""COMPUTED_VALUE"""),"Trường Đại học Hồng Đức")</f>
        <v>Trường Đại học Hồng Đức</v>
      </c>
      <c r="F34" s="4" t="str">
        <f>IFERROR(__xludf.DUMMYFUNCTION("""COMPUTED_VALUE"""),"KHGD2026-033.png")</f>
        <v>KHGD2026-033.png</v>
      </c>
    </row>
    <row r="35">
      <c r="A35" s="4" t="str">
        <f>IFERROR(__xludf.DUMMYFUNCTION("""COMPUTED_VALUE"""),"KHGD2026-034")</f>
        <v>KHGD2026-034</v>
      </c>
      <c r="B35" s="4" t="str">
        <f>IFERROR(__xludf.DUMMYFUNCTION("""COMPUTED_VALUE"""),"Khoa học giáo dục")</f>
        <v>Khoa học giáo dục</v>
      </c>
      <c r="C35" s="4" t="str">
        <f>IFERROR(__xludf.DUMMYFUNCTION("""COMPUTED_VALUE"""),"Challenges in Applying Guided Extensive Reading in English Vocabulary Acquisition among English- Majored Students at Hanoi Law University")</f>
        <v>Challenges in Applying Guided Extensive Reading in English Vocabulary Acquisition among English- Majored Students at Hanoi Law University</v>
      </c>
      <c r="D35" s="4" t="str">
        <f>IFERROR(__xludf.DUMMYFUNCTION("""COMPUTED_VALUE"""),"Nguyễn Hà Anh; Nguyễn Khánh Huyền")</f>
        <v>Nguyễn Hà Anh; Nguyễn Khánh Huyền</v>
      </c>
      <c r="E35" s="4" t="str">
        <f>IFERROR(__xludf.DUMMYFUNCTION("""COMPUTED_VALUE"""),"Trường Đại học Luật Hà Nội")</f>
        <v>Trường Đại học Luật Hà Nội</v>
      </c>
      <c r="F35" s="4" t="str">
        <f>IFERROR(__xludf.DUMMYFUNCTION("""COMPUTED_VALUE"""),"KHGD2026-034.png")</f>
        <v>KHGD2026-034.png</v>
      </c>
    </row>
    <row r="36">
      <c r="A36" s="4" t="str">
        <f>IFERROR(__xludf.DUMMYFUNCTION("""COMPUTED_VALUE"""),"KHGD2026-035")</f>
        <v>KHGD2026-035</v>
      </c>
      <c r="B36" s="4" t="str">
        <f>IFERROR(__xludf.DUMMYFUNCTION("""COMPUTED_VALUE"""),"Khoa học giáo dục")</f>
        <v>Khoa học giáo dục</v>
      </c>
      <c r="C36" s="4" t="str">
        <f>IFERROR(__xludf.DUMMYFUNCTION("""COMPUTED_VALUE"""),"Đánh giá mức độ cải thiện khả năng tiếng Anh của sinh viên đại học Việt Nam thông qua phương pháp học tập tích hợp TikTok-ChatGPT: Bằng chứng từ Hà Nội, Đà Nẵng, và thành phố Hồ Chí Minh")</f>
        <v>Đánh giá mức độ cải thiện khả năng tiếng Anh của sinh viên đại học Việt Nam thông qua phương pháp học tập tích hợp TikTok-ChatGPT: Bằng chứng từ Hà Nội, Đà Nẵng, và thành phố Hồ Chí Minh</v>
      </c>
      <c r="D36" s="4" t="str">
        <f>IFERROR(__xludf.DUMMYFUNCTION("""COMPUTED_VALUE"""),"Nguyễn Phúc Phương Uyên; Huỳnh Phan Kiên; Nguyễn Thị Tú Anh")</f>
        <v>Nguyễn Phúc Phương Uyên; Huỳnh Phan Kiên; Nguyễn Thị Tú Anh</v>
      </c>
      <c r="E36" s="4" t="str">
        <f>IFERROR(__xludf.DUMMYFUNCTION("""COMPUTED_VALUE"""),"Trường Đại học FPT")</f>
        <v>Trường Đại học FPT</v>
      </c>
      <c r="F36" s="4" t="str">
        <f>IFERROR(__xludf.DUMMYFUNCTION("""COMPUTED_VALUE"""),"KHGD2026-035.png")</f>
        <v>KHGD2026-035.png</v>
      </c>
    </row>
    <row r="37">
      <c r="A37" s="4" t="str">
        <f>IFERROR(__xludf.DUMMYFUNCTION("""COMPUTED_VALUE"""),"KHGD2026-036")</f>
        <v>KHGD2026-036</v>
      </c>
      <c r="B37" s="4" t="str">
        <f>IFERROR(__xludf.DUMMYFUNCTION("""COMPUTED_VALUE"""),"Khoa học giáo dục")</f>
        <v>Khoa học giáo dục</v>
      </c>
      <c r="C37" s="4" t="str">
        <f>IFERROR(__xludf.DUMMYFUNCTION("""COMPUTED_VALUE"""),"TÍCH HỢP MANIM VÀ BRISK TEACHING TRONG DẠY HỌC ỨNG DỤNG TÍCH PHÂN Ở LỚP 12")</f>
        <v>TÍCH HỢP MANIM VÀ BRISK TEACHING TRONG DẠY HỌC ỨNG DỤNG TÍCH PHÂN Ở LỚP 12</v>
      </c>
      <c r="D37" s="4" t="str">
        <f>IFERROR(__xludf.DUMMYFUNCTION("""COMPUTED_VALUE"""),"Ung Nguyễn Thanh Nguyên")</f>
        <v>Ung Nguyễn Thanh Nguyên</v>
      </c>
      <c r="E37" s="4" t="str">
        <f>IFERROR(__xludf.DUMMYFUNCTION("""COMPUTED_VALUE"""),"Trường Đại học Sài Gòn")</f>
        <v>Trường Đại học Sài Gòn</v>
      </c>
      <c r="F37" s="4" t="str">
        <f>IFERROR(__xludf.DUMMYFUNCTION("""COMPUTED_VALUE"""),"KHGD2026-036.png")</f>
        <v>KHGD2026-036.png</v>
      </c>
    </row>
    <row r="38">
      <c r="A38" s="4" t="str">
        <f>IFERROR(__xludf.DUMMYFUNCTION("""COMPUTED_VALUE"""),"KHGD2026-037")</f>
        <v>KHGD2026-037</v>
      </c>
      <c r="B38" s="4" t="str">
        <f>IFERROR(__xludf.DUMMYFUNCTION("""COMPUTED_VALUE"""),"Khoa học giáo dục")</f>
        <v>Khoa học giáo dục</v>
      </c>
      <c r="C38" s="4" t="str">
        <f>IFERROR(__xludf.DUMMYFUNCTION("""COMPUTED_VALUE"""),"Học tập trải nghiệm và tham gia nghiên cứu trong phát triển năng lực và hành vi tài chính của sinh viên đại học Việt Nam: Tiếp cận tích hợp TPB và COM-B.")</f>
        <v>Học tập trải nghiệm và tham gia nghiên cứu trong phát triển năng lực và hành vi tài chính của sinh viên đại học Việt Nam: Tiếp cận tích hợp TPB và COM-B.</v>
      </c>
      <c r="D38" s="4" t="str">
        <f>IFERROR(__xludf.DUMMYFUNCTION("""COMPUTED_VALUE"""),"Lê Minh Quân; Trần Quốc Khánh; Phan Nữ Thái Châu")</f>
        <v>Lê Minh Quân; Trần Quốc Khánh; Phan Nữ Thái Châu</v>
      </c>
      <c r="E38" s="4" t="str">
        <f>IFERROR(__xludf.DUMMYFUNCTION("""COMPUTED_VALUE"""),"Trường Đại học FPT")</f>
        <v>Trường Đại học FPT</v>
      </c>
      <c r="F38" s="4" t="str">
        <f>IFERROR(__xludf.DUMMYFUNCTION("""COMPUTED_VALUE"""),"KHGD2026-037.png")</f>
        <v>KHGD2026-037.png</v>
      </c>
    </row>
    <row r="39">
      <c r="A39" s="4" t="str">
        <f>IFERROR(__xludf.DUMMYFUNCTION("""COMPUTED_VALUE"""),"KHGD2026-038")</f>
        <v>KHGD2026-038</v>
      </c>
      <c r="B39" s="4" t="str">
        <f>IFERROR(__xludf.DUMMYFUNCTION("""COMPUTED_VALUE"""),"Khoa học giáo dục")</f>
        <v>Khoa học giáo dục</v>
      </c>
      <c r="C39" s="4" t="str">
        <f>IFERROR(__xludf.DUMMYFUNCTION("""COMPUTED_VALUE"""),"Ứng dụng trí tuệ nhân tạo thiết kế trò chơi giáo dục môi trường cho trẻ 5-6 tuổi ở trường mầm non")</f>
        <v>Ứng dụng trí tuệ nhân tạo thiết kế trò chơi giáo dục môi trường cho trẻ 5-6 tuổi ở trường mầm non</v>
      </c>
      <c r="D39" s="4" t="str">
        <f>IFERROR(__xludf.DUMMYFUNCTION("""COMPUTED_VALUE"""),"Hoàng Diệu Linh; Vũ Ngọc Linh")</f>
        <v>Hoàng Diệu Linh; Vũ Ngọc Linh</v>
      </c>
      <c r="E39" s="4" t="str">
        <f>IFERROR(__xludf.DUMMYFUNCTION("""COMPUTED_VALUE"""),"Trường Đại học Hải Phòng")</f>
        <v>Trường Đại học Hải Phòng</v>
      </c>
      <c r="F39" s="4" t="str">
        <f>IFERROR(__xludf.DUMMYFUNCTION("""COMPUTED_VALUE"""),"KHGD2026-038.png")</f>
        <v>KHGD2026-038.png</v>
      </c>
    </row>
    <row r="40">
      <c r="A40" s="4" t="str">
        <f>IFERROR(__xludf.DUMMYFUNCTION("""COMPUTED_VALUE"""),"KHGD2026-039")</f>
        <v>KHGD2026-039</v>
      </c>
      <c r="B40" s="4" t="str">
        <f>IFERROR(__xludf.DUMMYFUNCTION("""COMPUTED_VALUE"""),"Khoa học giáo dục")</f>
        <v>Khoa học giáo dục</v>
      </c>
      <c r="C40" s="4" t="str">
        <f>IFERROR(__xludf.DUMMYFUNCTION("""COMPUTED_VALUE"""),"SỬ DỤNG PHƯƠNG PHÁP SÂN KHẤU HÓA TRONG DẠY HỌC LỊCH SỬ Ở TRƯỜNG TRUNG HỌC PHỔ THÔNG (THỰC NGHIỆM TẠI MỘT SỐ TRƯỜNG TRÊN ĐỊA BÀN THÀNH PHỐ HỒ CHÍ MINH)")</f>
        <v>SỬ DỤNG PHƯƠNG PHÁP SÂN KHẤU HÓA TRONG DẠY HỌC LỊCH SỬ Ở TRƯỜNG TRUNG HỌC PHỔ THÔNG (THỰC NGHIỆM TẠI MỘT SỐ TRƯỜNG TRÊN ĐỊA BÀN THÀNH PHỐ HỒ CHÍ MINH)</v>
      </c>
      <c r="D40" s="4" t="str">
        <f>IFERROR(__xludf.DUMMYFUNCTION("""COMPUTED_VALUE"""),"Dương Ánh Ngọc")</f>
        <v>Dương Ánh Ngọc</v>
      </c>
      <c r="E40" s="4" t="str">
        <f>IFERROR(__xludf.DUMMYFUNCTION("""COMPUTED_VALUE"""),"Trường Đại học Sài Gòn")</f>
        <v>Trường Đại học Sài Gòn</v>
      </c>
      <c r="F40" s="4" t="str">
        <f>IFERROR(__xludf.DUMMYFUNCTION("""COMPUTED_VALUE"""),"KHGD2026-039.png")</f>
        <v>KHGD2026-039.png</v>
      </c>
    </row>
    <row r="41">
      <c r="A41" s="4" t="str">
        <f>IFERROR(__xludf.DUMMYFUNCTION("""COMPUTED_VALUE"""),"KHGD2026-040")</f>
        <v>KHGD2026-040</v>
      </c>
      <c r="B41" s="4" t="str">
        <f>IFERROR(__xludf.DUMMYFUNCTION("""COMPUTED_VALUE"""),"Khoa học giáo dục")</f>
        <v>Khoa học giáo dục</v>
      </c>
      <c r="C41" s="4" t="str">
        <f>IFERROR(__xludf.DUMMYFUNCTION("""COMPUTED_VALUE"""),"ỨNG DỤNG AI TRONG DẠY HỌC HOẠT ĐỘNG THỰC HÀNH VÀ TRẢI NGHIỆM CHỦ ĐỀ QUẢN LÝ TÀI CHÍNH CÁ NHÂN Ở LỚP 8")</f>
        <v>ỨNG DỤNG AI TRONG DẠY HỌC HOẠT ĐỘNG THỰC HÀNH VÀ TRẢI NGHIỆM CHỦ ĐỀ QUẢN LÝ TÀI CHÍNH CÁ NHÂN Ở LỚP 8</v>
      </c>
      <c r="D41" s="4" t="str">
        <f>IFERROR(__xludf.DUMMYFUNCTION("""COMPUTED_VALUE"""),"Nguyễn Thanh Phong; Lương Minh Trí")</f>
        <v>Nguyễn Thanh Phong; Lương Minh Trí</v>
      </c>
      <c r="E41" s="4" t="str">
        <f>IFERROR(__xludf.DUMMYFUNCTION("""COMPUTED_VALUE"""),"Trường Đại học Sài Gòn")</f>
        <v>Trường Đại học Sài Gòn</v>
      </c>
      <c r="F41" s="4" t="str">
        <f>IFERROR(__xludf.DUMMYFUNCTION("""COMPUTED_VALUE"""),"KHGD2026-040.png")</f>
        <v>KHGD2026-040.png</v>
      </c>
    </row>
    <row r="42">
      <c r="A42" s="4" t="str">
        <f>IFERROR(__xludf.DUMMYFUNCTION("""COMPUTED_VALUE"""),"KHGD2026-041")</f>
        <v>KHGD2026-041</v>
      </c>
      <c r="B42" s="4" t="str">
        <f>IFERROR(__xludf.DUMMYFUNCTION("""COMPUTED_VALUE"""),"Khoa học giáo dục")</f>
        <v>Khoa học giáo dục</v>
      </c>
      <c r="C42" s="4" t="str">
        <f>IFERROR(__xludf.DUMMYFUNCTION("""COMPUTED_VALUE"""),"Năng lực học tập tự chủ của sinh viên năm thứ nhất trong bối cảnh chuyển đổi số: Thực trạng và giải pháp tại một số trường đại học ở Hà Nội")</f>
        <v>Năng lực học tập tự chủ của sinh viên năm thứ nhất trong bối cảnh chuyển đổi số: Thực trạng và giải pháp tại một số trường đại học ở Hà Nội</v>
      </c>
      <c r="D42" s="4" t="str">
        <f>IFERROR(__xludf.DUMMYFUNCTION("""COMPUTED_VALUE"""),"Nguyễn Thị Ngọc Ánh; Nguyễn Thị Ngọc Huyền; Đào Mai Chi")</f>
        <v>Nguyễn Thị Ngọc Ánh; Nguyễn Thị Ngọc Huyền; Đào Mai Chi</v>
      </c>
      <c r="E42" s="4" t="str">
        <f>IFERROR(__xludf.DUMMYFUNCTION("""COMPUTED_VALUE"""),"Trường Đại học Tài nguyên và Môi trường Hà Nội")</f>
        <v>Trường Đại học Tài nguyên và Môi trường Hà Nội</v>
      </c>
      <c r="F42" s="4" t="str">
        <f>IFERROR(__xludf.DUMMYFUNCTION("""COMPUTED_VALUE"""),"KHGD2026-041.png")</f>
        <v>KHGD2026-041.png</v>
      </c>
    </row>
    <row r="43">
      <c r="A43" s="4" t="str">
        <f>IFERROR(__xludf.DUMMYFUNCTION("""COMPUTED_VALUE"""),"KHGD2026-042")</f>
        <v>KHGD2026-042</v>
      </c>
      <c r="B43" s="4" t="str">
        <f>IFERROR(__xludf.DUMMYFUNCTION("""COMPUTED_VALUE"""),"Khoa học giáo dục")</f>
        <v>Khoa học giáo dục</v>
      </c>
      <c r="C43" s="4" t="str">
        <f>IFERROR(__xludf.DUMMYFUNCTION("""COMPUTED_VALUE"""),"ÁP DỤNG CÁC PHƯƠNG PHÁP DỊCH THUẬT TRONG VIỆC HỌC TIẾNG ANH PHÁP LÝ CƠ BẢN CHO SINH VIÊN NGÀNH NGÔN NGỮ ANH - NGHIÊN CỨU ĐIỂN HÌNH TẠI TRƯỜNG ĐẠI HỌC LUẬT HÀ NỘI")</f>
        <v>ÁP DỤNG CÁC PHƯƠNG PHÁP DỊCH THUẬT TRONG VIỆC HỌC TIẾNG ANH PHÁP LÝ CƠ BẢN CHO SINH VIÊN NGÀNH NGÔN NGỮ ANH - NGHIÊN CỨU ĐIỂN HÌNH TẠI TRƯỜNG ĐẠI HỌC LUẬT HÀ NỘI</v>
      </c>
      <c r="D43" s="4" t="str">
        <f>IFERROR(__xludf.DUMMYFUNCTION("""COMPUTED_VALUE"""),"Tạ Khánh Linh; Nguyễn Phương Anh; Nguyễn Minh Anh")</f>
        <v>Tạ Khánh Linh; Nguyễn Phương Anh; Nguyễn Minh Anh</v>
      </c>
      <c r="E43" s="4" t="str">
        <f>IFERROR(__xludf.DUMMYFUNCTION("""COMPUTED_VALUE"""),"Trường Đại học Luật Hà Nội")</f>
        <v>Trường Đại học Luật Hà Nội</v>
      </c>
      <c r="F43" s="4" t="str">
        <f>IFERROR(__xludf.DUMMYFUNCTION("""COMPUTED_VALUE"""),"KHGD2026-042.png")</f>
        <v>KHGD2026-042.png</v>
      </c>
    </row>
    <row r="44">
      <c r="A44" s="4" t="str">
        <f>IFERROR(__xludf.DUMMYFUNCTION("""COMPUTED_VALUE"""),"KHGD2026-043")</f>
        <v>KHGD2026-043</v>
      </c>
      <c r="B44" s="4" t="str">
        <f>IFERROR(__xludf.DUMMYFUNCTION("""COMPUTED_VALUE"""),"Khoa học giáo dục")</f>
        <v>Khoa học giáo dục</v>
      </c>
      <c r="C44" s="4" t="str">
        <f>IFERROR(__xludf.DUMMYFUNCTION("""COMPUTED_VALUE"""),"Khảo sát thói quen đọc sách của học sinh lớp 3 tại các trường tiểu học ở xã Hòa Bình, tỉnh Cà Mau")</f>
        <v>Khảo sát thói quen đọc sách của học sinh lớp 3 tại các trường tiểu học ở xã Hòa Bình, tỉnh Cà Mau</v>
      </c>
      <c r="D44" s="4" t="str">
        <f>IFERROR(__xludf.DUMMYFUNCTION("""COMPUTED_VALUE"""),"Trần Tú Như; Cái Thị Anh Thư")</f>
        <v>Trần Tú Như; Cái Thị Anh Thư</v>
      </c>
      <c r="E44" s="4" t="str">
        <f>IFERROR(__xludf.DUMMYFUNCTION("""COMPUTED_VALUE"""),"Trường Đại học Bạc Liêu")</f>
        <v>Trường Đại học Bạc Liêu</v>
      </c>
      <c r="F44" s="4" t="str">
        <f>IFERROR(__xludf.DUMMYFUNCTION("""COMPUTED_VALUE"""),"KHGD2026-043.png")</f>
        <v>KHGD2026-043.png</v>
      </c>
    </row>
    <row r="45">
      <c r="A45" s="4" t="str">
        <f>IFERROR(__xludf.DUMMYFUNCTION("""COMPUTED_VALUE"""),"KHGD2026-044")</f>
        <v>KHGD2026-044</v>
      </c>
      <c r="B45" s="4" t="str">
        <f>IFERROR(__xludf.DUMMYFUNCTION("""COMPUTED_VALUE"""),"Khoa học giáo dục")</f>
        <v>Khoa học giáo dục</v>
      </c>
      <c r="C45" s="4" t="str">
        <f>IFERROR(__xludf.DUMMYFUNCTION("""COMPUTED_VALUE"""),"Các yếu tố ảnh hưởng đến việc sử dụng trí tuệ nhân tạo tạo sinh trong học tập của sinh viên ngành logistics tại Việt Nam: Hàm ý xây dựng mô hình giáo dục thông minh")</f>
        <v>Các yếu tố ảnh hưởng đến việc sử dụng trí tuệ nhân tạo tạo sinh trong học tập của sinh viên ngành logistics tại Việt Nam: Hàm ý xây dựng mô hình giáo dục thông minh</v>
      </c>
      <c r="D45" s="4" t="str">
        <f>IFERROR(__xludf.DUMMYFUNCTION("""COMPUTED_VALUE"""),"Nguyễn Đình Vũ Hoàng; Đào Thiện Nhân")</f>
        <v>Nguyễn Đình Vũ Hoàng; Đào Thiện Nhân</v>
      </c>
      <c r="E45" s="4" t="str">
        <f>IFERROR(__xludf.DUMMYFUNCTION("""COMPUTED_VALUE"""),"Trường Đại học Giao thông vận tải TP. Hồ Chí Minh")</f>
        <v>Trường Đại học Giao thông vận tải TP. Hồ Chí Minh</v>
      </c>
      <c r="F45" s="4" t="str">
        <f>IFERROR(__xludf.DUMMYFUNCTION("""COMPUTED_VALUE"""),"KHGD2026-044.png")</f>
        <v>KHGD2026-044.png</v>
      </c>
    </row>
    <row r="46">
      <c r="A46" s="4" t="str">
        <f>IFERROR(__xludf.DUMMYFUNCTION("""COMPUTED_VALUE"""),"KHGD2026-045")</f>
        <v>KHGD2026-045</v>
      </c>
      <c r="B46" s="4" t="str">
        <f>IFERROR(__xludf.DUMMYFUNCTION("""COMPUTED_VALUE"""),"Khoa học giáo dục")</f>
        <v>Khoa học giáo dục</v>
      </c>
      <c r="C46" s="4" t="str">
        <f>IFERROR(__xludf.DUMMYFUNCTION("""COMPUTED_VALUE"""),"CÁC YẾU TỐ ẢNH HƯỞNG ĐẾN Ý ĐỊNH HỌC TẬP TRỰC TUYẾN TRONG LĨNH VỰC GIÁO DỤC CHÍNH TRỊ, TƯ TƯỞNG CỦA CÁC TRƯỜNG ĐẠI HỌC CÔNG LẬP TRÊN ĐỊA BÀN TP. HỒ CHÍ MINH")</f>
        <v>CÁC YẾU TỐ ẢNH HƯỞNG ĐẾN Ý ĐỊNH HỌC TẬP TRỰC TUYẾN TRONG LĨNH VỰC GIÁO DỤC CHÍNH TRỊ, TƯ TƯỞNG CỦA CÁC TRƯỜNG ĐẠI HỌC CÔNG LẬP TRÊN ĐỊA BÀN TP. HỒ CHÍ MINH</v>
      </c>
      <c r="D46" s="4" t="str">
        <f>IFERROR(__xludf.DUMMYFUNCTION("""COMPUTED_VALUE"""),"Nguyễn Thị Hiền; Trần Bảo Diệp; Lê Minh Hưng; Nguyễn Trần Tố Nga; Hoàng Nguyễn Thảo Vy")</f>
        <v>Nguyễn Thị Hiền; Trần Bảo Diệp; Lê Minh Hưng; Nguyễn Trần Tố Nga; Hoàng Nguyễn Thảo Vy</v>
      </c>
      <c r="E46" s="4" t="str">
        <f>IFERROR(__xludf.DUMMYFUNCTION("""COMPUTED_VALUE"""),"Trường Đại học Luật TP. Hồ Chí Minh")</f>
        <v>Trường Đại học Luật TP. Hồ Chí Minh</v>
      </c>
      <c r="F46" s="4" t="str">
        <f>IFERROR(__xludf.DUMMYFUNCTION("""COMPUTED_VALUE"""),"KHGD2026-045.png")</f>
        <v>KHGD2026-045.png</v>
      </c>
    </row>
    <row r="47">
      <c r="A47" s="4" t="str">
        <f>IFERROR(__xludf.DUMMYFUNCTION("""COMPUTED_VALUE"""),"KHGD2026-046")</f>
        <v>KHGD2026-046</v>
      </c>
      <c r="B47" s="4" t="str">
        <f>IFERROR(__xludf.DUMMYFUNCTION("""COMPUTED_VALUE"""),"Khoa học giáo dục")</f>
        <v>Khoa học giáo dục</v>
      </c>
      <c r="C47" s="4" t="str">
        <f>IFERROR(__xludf.DUMMYFUNCTION("""COMPUTED_VALUE"""),"Ứng dụng phần mềm Scratch cho mô hình giáo dục STEM trong dạy học chủ đề “Hình khối trong thực tiễn” – Toán 7")</f>
        <v>Ứng dụng phần mềm Scratch cho mô hình giáo dục STEM trong dạy học chủ đề “Hình khối trong thực tiễn” – Toán 7</v>
      </c>
      <c r="D47" s="4" t="str">
        <f>IFERROR(__xludf.DUMMYFUNCTION("""COMPUTED_VALUE"""),"Nguyễn Thị Thảo; Phạm Thị Bích Ngọc")</f>
        <v>Nguyễn Thị Thảo; Phạm Thị Bích Ngọc</v>
      </c>
      <c r="E47" s="4" t="str">
        <f>IFERROR(__xludf.DUMMYFUNCTION("""COMPUTED_VALUE"""),"Trường Đại học Giáo dục, ĐHQG Hà Nội")</f>
        <v>Trường Đại học Giáo dục, ĐHQG Hà Nội</v>
      </c>
      <c r="F47" s="4" t="str">
        <f>IFERROR(__xludf.DUMMYFUNCTION("""COMPUTED_VALUE"""),"KHGD2026-046.png")</f>
        <v>KHGD2026-046.png</v>
      </c>
    </row>
    <row r="48">
      <c r="A48" s="4" t="str">
        <f>IFERROR(__xludf.DUMMYFUNCTION("""COMPUTED_VALUE"""),"KHGD2026-047")</f>
        <v>KHGD2026-047</v>
      </c>
      <c r="B48" s="4" t="str">
        <f>IFERROR(__xludf.DUMMYFUNCTION("""COMPUTED_VALUE"""),"Khoa học giáo dục")</f>
        <v>Khoa học giáo dục</v>
      </c>
      <c r="C48" s="4" t="str">
        <f>IFERROR(__xludf.DUMMYFUNCTION("""COMPUTED_VALUE"""),"Xây dựng bộ giáo cụ tích hợp đa giác quan chủ đề “Thực vật và Động vật” để dạy học môn Tự nhiên và Xã hội, Khoa học ở tiểu học.")</f>
        <v>Xây dựng bộ giáo cụ tích hợp đa giác quan chủ đề “Thực vật và Động vật” để dạy học môn Tự nhiên và Xã hội, Khoa học ở tiểu học.</v>
      </c>
      <c r="D48" s="4" t="str">
        <f>IFERROR(__xludf.DUMMYFUNCTION("""COMPUTED_VALUE"""),"Nguyễn Thị Hồng Linh; Trương Thị Thảo; Nguyễn Thị Lan Anh; Trần Thành Luân; Nguyễn Minh Tuấn")</f>
        <v>Nguyễn Thị Hồng Linh; Trương Thị Thảo; Nguyễn Thị Lan Anh; Trần Thành Luân; Nguyễn Minh Tuấn</v>
      </c>
      <c r="E48" s="4" t="str">
        <f>IFERROR(__xludf.DUMMYFUNCTION("""COMPUTED_VALUE"""),"Trường Đại học Giáo dục, ĐHQG Hà Nội")</f>
        <v>Trường Đại học Giáo dục, ĐHQG Hà Nội</v>
      </c>
      <c r="F48" s="4" t="str">
        <f>IFERROR(__xludf.DUMMYFUNCTION("""COMPUTED_VALUE"""),"KHGD2026-047.png")</f>
        <v>KHGD2026-047.png</v>
      </c>
    </row>
    <row r="49">
      <c r="A49" s="4" t="str">
        <f>IFERROR(__xludf.DUMMYFUNCTION("""COMPUTED_VALUE"""),"KHGD2026-048")</f>
        <v>KHGD2026-048</v>
      </c>
      <c r="B49" s="4" t="str">
        <f>IFERROR(__xludf.DUMMYFUNCTION("""COMPUTED_VALUE"""),"Khoa học giáo dục")</f>
        <v>Khoa học giáo dục</v>
      </c>
      <c r="C49" s="4" t="str">
        <f>IFERROR(__xludf.DUMMYFUNCTION("""COMPUTED_VALUE"""),"Xây dựng ứng dụng hỗ trợ ôn tập các học phần tiếng Trung cho sinh viên tại các cơ sở giáo dục, trường đại học đào tạo ngành ngôn ngữ Trung Quốc")</f>
        <v>Xây dựng ứng dụng hỗ trợ ôn tập các học phần tiếng Trung cho sinh viên tại các cơ sở giáo dục, trường đại học đào tạo ngành ngôn ngữ Trung Quốc</v>
      </c>
      <c r="D49" s="4" t="str">
        <f>IFERROR(__xludf.DUMMYFUNCTION("""COMPUTED_VALUE"""),"Đinh Hà Vi; Võ Đình Hoàng Yến; Đoàn Ngọc Mỹ Diệu; Trần Thị Hồng Vui; Tạ Nhật Nguyên")</f>
        <v>Đinh Hà Vi; Võ Đình Hoàng Yến; Đoàn Ngọc Mỹ Diệu; Trần Thị Hồng Vui; Tạ Nhật Nguyên</v>
      </c>
      <c r="E49" s="4" t="str">
        <f>IFERROR(__xludf.DUMMYFUNCTION("""COMPUTED_VALUE"""),"Trường Đại học Đà Lạt")</f>
        <v>Trường Đại học Đà Lạt</v>
      </c>
      <c r="F49" s="4" t="str">
        <f>IFERROR(__xludf.DUMMYFUNCTION("""COMPUTED_VALUE"""),"KHGD2026-048.png")</f>
        <v>KHGD2026-048.png</v>
      </c>
    </row>
    <row r="50">
      <c r="A50" s="4" t="str">
        <f>IFERROR(__xludf.DUMMYFUNCTION("""COMPUTED_VALUE"""),"KHGD2026-049")</f>
        <v>KHGD2026-049</v>
      </c>
      <c r="B50" s="4" t="str">
        <f>IFERROR(__xludf.DUMMYFUNCTION("""COMPUTED_VALUE"""),"Khoa học giáo dục")</f>
        <v>Khoa học giáo dục</v>
      </c>
      <c r="C50" s="4" t="str">
        <f>IFERROR(__xludf.DUMMYFUNCTION("""COMPUTED_VALUE"""),"Các nhân tố tác động đến hiệu quả sử dụng trí tuệ nhân tạo trong học tập các môn chuyên ngành bằng tiếng anh của sinh viên đại học")</f>
        <v>Các nhân tố tác động đến hiệu quả sử dụng trí tuệ nhân tạo trong học tập các môn chuyên ngành bằng tiếng anh của sinh viên đại học</v>
      </c>
      <c r="D50" s="4" t="str">
        <f>IFERROR(__xludf.DUMMYFUNCTION("""COMPUTED_VALUE"""),"Nguyễn Quang Minh; Vũ Thanh Vân; Trần Phương Anh; Lưu Thị Hồng Nhung")</f>
        <v>Nguyễn Quang Minh; Vũ Thanh Vân; Trần Phương Anh; Lưu Thị Hồng Nhung</v>
      </c>
      <c r="E50" s="4" t="str">
        <f>IFERROR(__xludf.DUMMYFUNCTION("""COMPUTED_VALUE"""),"Học viện Công nghệ Bưu chính Viễn thông")</f>
        <v>Học viện Công nghệ Bưu chính Viễn thông</v>
      </c>
      <c r="F50" s="4" t="str">
        <f>IFERROR(__xludf.DUMMYFUNCTION("""COMPUTED_VALUE"""),"KHGD2026-049.png")</f>
        <v>KHGD2026-049.png</v>
      </c>
    </row>
    <row r="51">
      <c r="A51" s="4" t="str">
        <f>IFERROR(__xludf.DUMMYFUNCTION("""COMPUTED_VALUE"""),"KHGD2026-050")</f>
        <v>KHGD2026-050</v>
      </c>
      <c r="B51" s="4" t="str">
        <f>IFERROR(__xludf.DUMMYFUNCTION("""COMPUTED_VALUE"""),"Khoa học giáo dục")</f>
        <v>Khoa học giáo dục</v>
      </c>
      <c r="C51" s="4" t="str">
        <f>IFERROR(__xludf.DUMMYFUNCTION("""COMPUTED_VALUE"""),"Fostering social justice awareness in Legal English learning through educational films: A mixed-methods study.")</f>
        <v>Fostering social justice awareness in Legal English learning through educational films: A mixed-methods study.</v>
      </c>
      <c r="D51" s="4" t="str">
        <f>IFERROR(__xludf.DUMMYFUNCTION("""COMPUTED_VALUE"""),"Trần Ngọc Oanh; Văn Thụy Khanh; Lê Minh Khang; Trần Quang Anh")</f>
        <v>Trần Ngọc Oanh; Văn Thụy Khanh; Lê Minh Khang; Trần Quang Anh</v>
      </c>
      <c r="E51" s="4" t="str">
        <f>IFERROR(__xludf.DUMMYFUNCTION("""COMPUTED_VALUE"""),"Trường Đại học Luật TP. Hồ Chí Minh")</f>
        <v>Trường Đại học Luật TP. Hồ Chí Minh</v>
      </c>
      <c r="F51" s="4" t="str">
        <f>IFERROR(__xludf.DUMMYFUNCTION("""COMPUTED_VALUE"""),"KHGD2026-050.png")</f>
        <v>KHGD2026-050.png</v>
      </c>
    </row>
    <row r="52">
      <c r="A52" s="4" t="str">
        <f>IFERROR(__xludf.DUMMYFUNCTION("""COMPUTED_VALUE"""),"KHGD2026-051")</f>
        <v>KHGD2026-051</v>
      </c>
      <c r="B52" s="4" t="str">
        <f>IFERROR(__xludf.DUMMYFUNCTION("""COMPUTED_VALUE"""),"Khoa học giáo dục")</f>
        <v>Khoa học giáo dục</v>
      </c>
      <c r="C52" s="4" t="str">
        <f>IFERROR(__xludf.DUMMYFUNCTION("""COMPUTED_VALUE"""),"BOARD GAME “THOÁT BẪY”: MỘT GIẢI PHÁP GIÁO DỤC NHẬN THỨC VÀ KỸ NĂNG PHÒNG, CHỐNG MUA BÁN NGƯỜI DÀNH CHO SINH VIÊN")</f>
        <v>BOARD GAME “THOÁT BẪY”: MỘT GIẢI PHÁP GIÁO DỤC NHẬN THỨC VÀ KỸ NĂNG PHÒNG, CHỐNG MUA BÁN NGƯỜI DÀNH CHO SINH VIÊN</v>
      </c>
      <c r="D52" s="4" t="str">
        <f>IFERROR(__xludf.DUMMYFUNCTION("""COMPUTED_VALUE"""),"Lê Phương Thảo; Trần Ngọc An; Phạm Hữu Phước; Trần Yến Nhi")</f>
        <v>Lê Phương Thảo; Trần Ngọc An; Phạm Hữu Phước; Trần Yến Nhi</v>
      </c>
      <c r="E52" s="4" t="str">
        <f>IFERROR(__xludf.DUMMYFUNCTION("""COMPUTED_VALUE"""),"Trường Đại học Ngoại ngữ, ĐHQG Hà Nội")</f>
        <v>Trường Đại học Ngoại ngữ, ĐHQG Hà Nội</v>
      </c>
      <c r="F52" s="4" t="str">
        <f>IFERROR(__xludf.DUMMYFUNCTION("""COMPUTED_VALUE"""),"KHGD2026-051.png")</f>
        <v>KHGD2026-051.png</v>
      </c>
    </row>
    <row r="53">
      <c r="A53" s="4" t="str">
        <f>IFERROR(__xludf.DUMMYFUNCTION("""COMPUTED_VALUE"""),"KHGD2026-052")</f>
        <v>KHGD2026-052</v>
      </c>
      <c r="B53" s="4" t="str">
        <f>IFERROR(__xludf.DUMMYFUNCTION("""COMPUTED_VALUE"""),"Khoa học giáo dục")</f>
        <v>Khoa học giáo dục</v>
      </c>
      <c r="C53" s="4" t="str">
        <f>IFERROR(__xludf.DUMMYFUNCTION("""COMPUTED_VALUE"""),"Phát triển tư duy thiết kế của học sinh thông qua các chủ đề STEM thông minh theo hình thức câu lạc bộ phần “Dòng điện, mạch điện” – Vật lí 11")</f>
        <v>Phát triển tư duy thiết kế của học sinh thông qua các chủ đề STEM thông minh theo hình thức câu lạc bộ phần “Dòng điện, mạch điện” – Vật lí 11</v>
      </c>
      <c r="D53" s="4" t="str">
        <f>IFERROR(__xludf.DUMMYFUNCTION("""COMPUTED_VALUE"""),"Võ Ngọc Mai Thy; Trần Huỳnh Mỹ Thuận; Lê Quốc Anh; Nguyễn Phước Diệu Hiền; Trần Quang Huy")</f>
        <v>Võ Ngọc Mai Thy; Trần Huỳnh Mỹ Thuận; Lê Quốc Anh; Nguyễn Phước Diệu Hiền; Trần Quang Huy</v>
      </c>
      <c r="E53" s="4" t="str">
        <f>IFERROR(__xludf.DUMMYFUNCTION("""COMPUTED_VALUE"""),"Trường Đại học Sư phạm, Đại học Đà Nẵng")</f>
        <v>Trường Đại học Sư phạm, Đại học Đà Nẵng</v>
      </c>
      <c r="F53" s="4" t="str">
        <f>IFERROR(__xludf.DUMMYFUNCTION("""COMPUTED_VALUE"""),"KHGD2026-052.png")</f>
        <v>KHGD2026-052.png</v>
      </c>
    </row>
    <row r="54">
      <c r="A54" s="4" t="str">
        <f>IFERROR(__xludf.DUMMYFUNCTION("""COMPUTED_VALUE"""),"KHGD2026-053")</f>
        <v>KHGD2026-053</v>
      </c>
      <c r="B54" s="4" t="str">
        <f>IFERROR(__xludf.DUMMYFUNCTION("""COMPUTED_VALUE"""),"Khoa học giáo dục")</f>
        <v>Khoa học giáo dục</v>
      </c>
      <c r="C54" s="4" t="str">
        <f>IFERROR(__xludf.DUMMYFUNCTION("""COMPUTED_VALUE"""),"PRODUCTIVITY TODAY COLLABORATION TOMORROW: PROSPECTIVE ASSOCIATIONS BETWEEN GENAI INTEGRATION PATTERNS AND TEAMWORK SKILL DEVELOPMENT AMONG UNIVERSITY STUDENTS IN VIETNAM")</f>
        <v>PRODUCTIVITY TODAY COLLABORATION TOMORROW: PROSPECTIVE ASSOCIATIONS BETWEEN GENAI INTEGRATION PATTERNS AND TEAMWORK SKILL DEVELOPMENT AMONG UNIVERSITY STUDENTS IN VIETNAM</v>
      </c>
      <c r="D54" s="4" t="str">
        <f>IFERROR(__xludf.DUMMYFUNCTION("""COMPUTED_VALUE"""),"Châu Đặng Minh Nhật; Nguyễn Thành Khôi; Đoàn Minh Khôi; Hà Xuân Khôi; Lưu Đỗ Hoàng Bách")</f>
        <v>Châu Đặng Minh Nhật; Nguyễn Thành Khôi; Đoàn Minh Khôi; Hà Xuân Khôi; Lưu Đỗ Hoàng Bách</v>
      </c>
      <c r="E54" s="4" t="str">
        <f>IFERROR(__xludf.DUMMYFUNCTION("""COMPUTED_VALUE"""),"Trường Đại học Bách Khoa, ĐHQG-HCM")</f>
        <v>Trường Đại học Bách Khoa, ĐHQG-HCM</v>
      </c>
      <c r="F54" s="4" t="str">
        <f>IFERROR(__xludf.DUMMYFUNCTION("""COMPUTED_VALUE"""),"KHGD2026-053.png")</f>
        <v>KHGD2026-053.png</v>
      </c>
    </row>
    <row r="55">
      <c r="A55" s="4" t="str">
        <f>IFERROR(__xludf.DUMMYFUNCTION("""COMPUTED_VALUE"""),"KHGD2026-054")</f>
        <v>KHGD2026-054</v>
      </c>
      <c r="B55" s="4" t="str">
        <f>IFERROR(__xludf.DUMMYFUNCTION("""COMPUTED_VALUE"""),"Khoa học giáo dục")</f>
        <v>Khoa học giáo dục</v>
      </c>
      <c r="C55" s="4" t="str">
        <f>IFERROR(__xludf.DUMMYFUNCTION("""COMPUTED_VALUE"""),"Ứng dụng Storybook trong xây dựng kho học liệu hỗ trợ dạy học nghe - đọc tiếng Trung Quốc")</f>
        <v>Ứng dụng Storybook trong xây dựng kho học liệu hỗ trợ dạy học nghe - đọc tiếng Trung Quốc</v>
      </c>
      <c r="D55" s="4" t="str">
        <f>IFERROR(__xludf.DUMMYFUNCTION("""COMPUTED_VALUE"""),"Hà Thị Thu Chúc; Nguyễn Khánh Linh; Trần Ngọc Anh Thư; Trương Nguyễn Minh Thư")</f>
        <v>Hà Thị Thu Chúc; Nguyễn Khánh Linh; Trần Ngọc Anh Thư; Trương Nguyễn Minh Thư</v>
      </c>
      <c r="E55" s="4" t="str">
        <f>IFERROR(__xludf.DUMMYFUNCTION("""COMPUTED_VALUE"""),"Trường Đại học Sư phạm TP. Hồ Chí Minh")</f>
        <v>Trường Đại học Sư phạm TP. Hồ Chí Minh</v>
      </c>
      <c r="F55" s="4" t="str">
        <f>IFERROR(__xludf.DUMMYFUNCTION("""COMPUTED_VALUE"""),"KHGD2026-054.png")</f>
        <v>KHGD2026-054.png</v>
      </c>
    </row>
    <row r="56">
      <c r="A56" s="4" t="str">
        <f>IFERROR(__xludf.DUMMYFUNCTION("""COMPUTED_VALUE"""),"KHGD2026-055")</f>
        <v>KHGD2026-055</v>
      </c>
      <c r="B56" s="4" t="str">
        <f>IFERROR(__xludf.DUMMYFUNCTION("""COMPUTED_VALUE"""),"Khoa học giáo dục")</f>
        <v>Khoa học giáo dục</v>
      </c>
      <c r="C56" s="4" t="str">
        <f>IFERROR(__xludf.DUMMYFUNCTION("""COMPUTED_VALUE"""),"Nghiên cứu, thiết kế và chế tạo bộ thí nghiệm máy đo phổ phục vụ dạy học nội dung “Quang phổ vạch của nguyên tử” thuộc chuyên đề “Vật lí lượng tử” lớp 12")</f>
        <v>Nghiên cứu, thiết kế và chế tạo bộ thí nghiệm máy đo phổ phục vụ dạy học nội dung “Quang phổ vạch của nguyên tử” thuộc chuyên đề “Vật lí lượng tử” lớp 12</v>
      </c>
      <c r="D56" s="4" t="str">
        <f>IFERROR(__xludf.DUMMYFUNCTION("""COMPUTED_VALUE"""),"Trần Đức Quốc Duy")</f>
        <v>Trần Đức Quốc Duy</v>
      </c>
      <c r="E56" s="4" t="str">
        <f>IFERROR(__xludf.DUMMYFUNCTION("""COMPUTED_VALUE"""),"Trường Đại học Sư phạm TP. Hồ Chí Minh")</f>
        <v>Trường Đại học Sư phạm TP. Hồ Chí Minh</v>
      </c>
      <c r="F56" s="4" t="str">
        <f>IFERROR(__xludf.DUMMYFUNCTION("""COMPUTED_VALUE"""),"KHGD2026-055.png")</f>
        <v>KHGD2026-055.png</v>
      </c>
    </row>
    <row r="57">
      <c r="A57" s="4" t="str">
        <f>IFERROR(__xludf.DUMMYFUNCTION("""COMPUTED_VALUE"""),"KHGD2026-056")</f>
        <v>KHGD2026-056</v>
      </c>
      <c r="B57" s="4" t="str">
        <f>IFERROR(__xludf.DUMMYFUNCTION("""COMPUTED_VALUE"""),"Khoa học giáo dục")</f>
        <v>Khoa học giáo dục</v>
      </c>
      <c r="C57" s="4" t="str">
        <f>IFERROR(__xludf.DUMMYFUNCTION("""COMPUTED_VALUE"""),"Ứng dụng trí tuệ nhân tạo tạo sinh trong thiết kế trò chơi dạy học chủ đề ""Hydrocarbon và Nguồn nhiên liệu"" môn Khoa học tự nhiên lớp 9")</f>
        <v>Ứng dụng trí tuệ nhân tạo tạo sinh trong thiết kế trò chơi dạy học chủ đề "Hydrocarbon và Nguồn nhiên liệu" môn Khoa học tự nhiên lớp 9</v>
      </c>
      <c r="D57" s="4" t="str">
        <f>IFERROR(__xludf.DUMMYFUNCTION("""COMPUTED_VALUE"""),"Lê Ngọc Bảo Ngân; Lê Lâm Ngọc Hiếu; Hà Nhật Hạ; Lê Quốc Vinh Quang; Lê Thị Thủy Tiên")</f>
        <v>Lê Ngọc Bảo Ngân; Lê Lâm Ngọc Hiếu; Hà Nhật Hạ; Lê Quốc Vinh Quang; Lê Thị Thủy Tiên</v>
      </c>
      <c r="E57" s="4" t="str">
        <f>IFERROR(__xludf.DUMMYFUNCTION("""COMPUTED_VALUE"""),"Trường Đại học Sư phạm TP. Hồ Chí Minh")</f>
        <v>Trường Đại học Sư phạm TP. Hồ Chí Minh</v>
      </c>
      <c r="F57" s="4" t="str">
        <f>IFERROR(__xludf.DUMMYFUNCTION("""COMPUTED_VALUE"""),"KHGD2026-056.png")</f>
        <v>KHGD2026-056.png</v>
      </c>
    </row>
    <row r="58">
      <c r="A58" s="4" t="str">
        <f>IFERROR(__xludf.DUMMYFUNCTION("""COMPUTED_VALUE"""),"KHGD2026-057")</f>
        <v>KHGD2026-057</v>
      </c>
      <c r="B58" s="4" t="str">
        <f>IFERROR(__xludf.DUMMYFUNCTION("""COMPUTED_VALUE"""),"Khoa học giáo dục")</f>
        <v>Khoa học giáo dục</v>
      </c>
      <c r="C58" s="4" t="str">
        <f>IFERROR(__xludf.DUMMYFUNCTION("""COMPUTED_VALUE"""),"Thiết kế tài liệu hướng dẫn phụ huynh sử dụng ngôn ngữ ký hiệu trong giao tiếp với trẻ Điếc tuổi tiểu học")</f>
        <v>Thiết kế tài liệu hướng dẫn phụ huynh sử dụng ngôn ngữ ký hiệu trong giao tiếp với trẻ Điếc tuổi tiểu học</v>
      </c>
      <c r="D58" s="4" t="str">
        <f>IFERROR(__xludf.DUMMYFUNCTION("""COMPUTED_VALUE"""),"Dương Thị Thuý Nga; Nguyễn Thị Huyền Trang; Sơn Thị Như Ý; Nguyễn An Phúc")</f>
        <v>Dương Thị Thuý Nga; Nguyễn Thị Huyền Trang; Sơn Thị Như Ý; Nguyễn An Phúc</v>
      </c>
      <c r="E58" s="4" t="str">
        <f>IFERROR(__xludf.DUMMYFUNCTION("""COMPUTED_VALUE"""),"Trường Đại học Sư phạm TP. Hồ Chí Minh")</f>
        <v>Trường Đại học Sư phạm TP. Hồ Chí Minh</v>
      </c>
      <c r="F58" s="4" t="str">
        <f>IFERROR(__xludf.DUMMYFUNCTION("""COMPUTED_VALUE"""),"KHGD2026-057.png")</f>
        <v>KHGD2026-057.png</v>
      </c>
    </row>
    <row r="59">
      <c r="A59" s="4" t="str">
        <f>IFERROR(__xludf.DUMMYFUNCTION("""COMPUTED_VALUE"""),"KHGD2026-058")</f>
        <v>KHGD2026-058</v>
      </c>
      <c r="B59" s="4" t="str">
        <f>IFERROR(__xludf.DUMMYFUNCTION("""COMPUTED_VALUE"""),"Khoa học giáo dục")</f>
        <v>Khoa học giáo dục</v>
      </c>
      <c r="C59" s="4" t="str">
        <f>IFERROR(__xludf.DUMMYFUNCTION("""COMPUTED_VALUE"""),"Phân tích các hoạt động giáo dục vì sự phát triển bền vững trong các bộ sách giáo khoa toán phổ thông tại Việt Nam")</f>
        <v>Phân tích các hoạt động giáo dục vì sự phát triển bền vững trong các bộ sách giáo khoa toán phổ thông tại Việt Nam</v>
      </c>
      <c r="D59" s="4" t="str">
        <f>IFERROR(__xludf.DUMMYFUNCTION("""COMPUTED_VALUE"""),"Nguyễn Đình Anh Hào")</f>
        <v>Nguyễn Đình Anh Hào</v>
      </c>
      <c r="E59" s="4" t="str">
        <f>IFERROR(__xludf.DUMMYFUNCTION("""COMPUTED_VALUE"""),"Trường Đại học Sư phạm TP. Hồ Chí Minh")</f>
        <v>Trường Đại học Sư phạm TP. Hồ Chí Minh</v>
      </c>
      <c r="F59" s="4" t="str">
        <f>IFERROR(__xludf.DUMMYFUNCTION("""COMPUTED_VALUE"""),"KHGD2026-058.png")</f>
        <v>KHGD2026-058.png</v>
      </c>
    </row>
    <row r="60">
      <c r="A60" s="4" t="str">
        <f>IFERROR(__xludf.DUMMYFUNCTION("""COMPUTED_VALUE"""),"KHGD2026-059")</f>
        <v>KHGD2026-059</v>
      </c>
      <c r="B60" s="4" t="str">
        <f>IFERROR(__xludf.DUMMYFUNCTION("""COMPUTED_VALUE"""),"Khoa học giáo dục")</f>
        <v>Khoa học giáo dục</v>
      </c>
      <c r="C60" s="4" t="str">
        <f>IFERROR(__xludf.DUMMYFUNCTION("""COMPUTED_VALUE"""),"Xây dựng Website JIN hỗ trợ phân biệt các cặp từ cận nghĩa thường gặp trong trình độ HSK Sơ - Trung cấp")</f>
        <v>Xây dựng Website JIN hỗ trợ phân biệt các cặp từ cận nghĩa thường gặp trong trình độ HSK Sơ - Trung cấp</v>
      </c>
      <c r="D60" s="4" t="str">
        <f>IFERROR(__xludf.DUMMYFUNCTION("""COMPUTED_VALUE"""),"Phùng Thị Cẩm Thu; Dương Khánh Hà; Dung Huệ Mẫn; Trương Hồ Ngọc Huyền")</f>
        <v>Phùng Thị Cẩm Thu; Dương Khánh Hà; Dung Huệ Mẫn; Trương Hồ Ngọc Huyền</v>
      </c>
      <c r="E60" s="4" t="str">
        <f>IFERROR(__xludf.DUMMYFUNCTION("""COMPUTED_VALUE"""),"Trường Đại học Sư phạm TP. Hồ Chí Minh")</f>
        <v>Trường Đại học Sư phạm TP. Hồ Chí Minh</v>
      </c>
      <c r="F60" s="4" t="str">
        <f>IFERROR(__xludf.DUMMYFUNCTION("""COMPUTED_VALUE"""),"KHGD2026-059.png")</f>
        <v>KHGD2026-059.png</v>
      </c>
    </row>
    <row r="61">
      <c r="A61" s="4" t="str">
        <f>IFERROR(__xludf.DUMMYFUNCTION("""COMPUTED_VALUE"""),"KHGD2026-060")</f>
        <v>KHGD2026-060</v>
      </c>
      <c r="B61" s="4" t="str">
        <f>IFERROR(__xludf.DUMMYFUNCTION("""COMPUTED_VALUE"""),"Khoa học giáo dục")</f>
        <v>Khoa học giáo dục</v>
      </c>
      <c r="C61" s="4" t="str">
        <f>IFERROR(__xludf.DUMMYFUNCTION("""COMPUTED_VALUE"""),"Thiết kế và thử nghiệm trò chơi học tập số nhằm phát triển kỹ năng hợp tác của trẻ 5–6 tuổi trong hoạt động làm quen với toán tại Trường Mầm non Anh Việt Mỹ")</f>
        <v>Thiết kế và thử nghiệm trò chơi học tập số nhằm phát triển kỹ năng hợp tác của trẻ 5–6 tuổi trong hoạt động làm quen với toán tại Trường Mầm non Anh Việt Mỹ</v>
      </c>
      <c r="D61" s="4" t="str">
        <f>IFERROR(__xludf.DUMMYFUNCTION("""COMPUTED_VALUE"""),"Lê Thị Hồng Đào")</f>
        <v>Lê Thị Hồng Đào</v>
      </c>
      <c r="E61" s="4" t="str">
        <f>IFERROR(__xludf.DUMMYFUNCTION("""COMPUTED_VALUE"""),"Trường Đại học Nguyễn Tất Thành")</f>
        <v>Trường Đại học Nguyễn Tất Thành</v>
      </c>
      <c r="F61" s="4" t="str">
        <f>IFERROR(__xludf.DUMMYFUNCTION("""COMPUTED_VALUE"""),"KHGD2026-060.png")</f>
        <v>KHGD2026-060.png</v>
      </c>
    </row>
    <row r="62">
      <c r="A62" s="4" t="str">
        <f>IFERROR(__xludf.DUMMYFUNCTION("""COMPUTED_VALUE"""),"KHGD2026-061")</f>
        <v>KHGD2026-061</v>
      </c>
      <c r="B62" s="4" t="str">
        <f>IFERROR(__xludf.DUMMYFUNCTION("""COMPUTED_VALUE"""),"Khoa học giáo dục")</f>
        <v>Khoa học giáo dục</v>
      </c>
      <c r="C62" s="4" t="str">
        <f>IFERROR(__xludf.DUMMYFUNCTION("""COMPUTED_VALUE"""),"Thiết kế và đánh giá hiệu quả học liệu số tương tác trên nền tảng microsoft powerpoint trong phát triển khả năng nhận biết chữ cái cho trẻ mẫu giáo 5–6 tuổi")</f>
        <v>Thiết kế và đánh giá hiệu quả học liệu số tương tác trên nền tảng microsoft powerpoint trong phát triển khả năng nhận biết chữ cái cho trẻ mẫu giáo 5–6 tuổi</v>
      </c>
      <c r="D62" s="4" t="str">
        <f>IFERROR(__xludf.DUMMYFUNCTION("""COMPUTED_VALUE"""),"Nguyễn Thị Thi")</f>
        <v>Nguyễn Thị Thi</v>
      </c>
      <c r="E62" s="4" t="str">
        <f>IFERROR(__xludf.DUMMYFUNCTION("""COMPUTED_VALUE"""),"Trường Đại học Nguyễn Tất Thành")</f>
        <v>Trường Đại học Nguyễn Tất Thành</v>
      </c>
      <c r="F62" s="4" t="str">
        <f>IFERROR(__xludf.DUMMYFUNCTION("""COMPUTED_VALUE"""),"KHGD2026-061.png")</f>
        <v>KHGD2026-061.png</v>
      </c>
    </row>
    <row r="63">
      <c r="A63" s="4" t="str">
        <f>IFERROR(__xludf.DUMMYFUNCTION("""COMPUTED_VALUE"""),"KHGD2026-062")</f>
        <v>KHGD2026-062</v>
      </c>
      <c r="B63" s="4" t="str">
        <f>IFERROR(__xludf.DUMMYFUNCTION("""COMPUTED_VALUE"""),"Khoa học giáo dục")</f>
        <v>Khoa học giáo dục</v>
      </c>
      <c r="C63" s="4" t="str">
        <f>IFERROR(__xludf.DUMMYFUNCTION("""COMPUTED_VALUE"""),"Xây dựng hệ thống bản đồ cảnh báo ngập lụt bằng công nghệ Geomatics để hỗ trợ giáo dục phòng chống thiên tai trong dạy học Địa lí 12 ở trường Trung học phổ thông")</f>
        <v>Xây dựng hệ thống bản đồ cảnh báo ngập lụt bằng công nghệ Geomatics để hỗ trợ giáo dục phòng chống thiên tai trong dạy học Địa lí 12 ở trường Trung học phổ thông</v>
      </c>
      <c r="D63" s="4" t="str">
        <f>IFERROR(__xludf.DUMMYFUNCTION("""COMPUTED_VALUE"""),"Hoàng Thị Toan; Đỗ Thị Thiên Sách")</f>
        <v>Hoàng Thị Toan; Đỗ Thị Thiên Sách</v>
      </c>
      <c r="E63" s="4" t="str">
        <f>IFERROR(__xludf.DUMMYFUNCTION("""COMPUTED_VALUE"""),"Trường Đại học Sư phạm Hà Nội")</f>
        <v>Trường Đại học Sư phạm Hà Nội</v>
      </c>
      <c r="F63" s="4" t="str">
        <f>IFERROR(__xludf.DUMMYFUNCTION("""COMPUTED_VALUE"""),"KHGD2026-062.png")</f>
        <v>KHGD2026-062.png</v>
      </c>
    </row>
    <row r="64">
      <c r="A64" s="4" t="str">
        <f>IFERROR(__xludf.DUMMYFUNCTION("""COMPUTED_VALUE"""),"KHGD2026-063")</f>
        <v>KHGD2026-063</v>
      </c>
      <c r="B64" s="4" t="str">
        <f>IFERROR(__xludf.DUMMYFUNCTION("""COMPUTED_VALUE"""),"Khoa học giáo dục")</f>
        <v>Khoa học giáo dục</v>
      </c>
      <c r="C64" s="4" t="str">
        <f>IFERROR(__xludf.DUMMYFUNCTION("""COMPUTED_VALUE"""),"Nghiên cứu đặc điểm truyện đồng thoại của Nguyễn Nhật Ánh và những bài học giáo dục đối với học sinh Tiểu học")</f>
        <v>Nghiên cứu đặc điểm truyện đồng thoại của Nguyễn Nhật Ánh và những bài học giáo dục đối với học sinh Tiểu học</v>
      </c>
      <c r="D64" s="4" t="str">
        <f>IFERROR(__xludf.DUMMYFUNCTION("""COMPUTED_VALUE"""),"Trần Bảo Minh; Vũ Thị Bích Ngọc")</f>
        <v>Trần Bảo Minh; Vũ Thị Bích Ngọc</v>
      </c>
      <c r="E64" s="4" t="str">
        <f>IFERROR(__xludf.DUMMYFUNCTION("""COMPUTED_VALUE"""),"Trường Đại học Sư phạm Hà Nội 2")</f>
        <v>Trường Đại học Sư phạm Hà Nội 2</v>
      </c>
      <c r="F64" s="4" t="str">
        <f>IFERROR(__xludf.DUMMYFUNCTION("""COMPUTED_VALUE"""),"KHGD2026-063.png")</f>
        <v>KHGD2026-063.png</v>
      </c>
    </row>
    <row r="65">
      <c r="A65" s="4" t="str">
        <f>IFERROR(__xludf.DUMMYFUNCTION("""COMPUTED_VALUE"""),"KHGD2026-064")</f>
        <v>KHGD2026-064</v>
      </c>
      <c r="B65" s="4" t="str">
        <f>IFERROR(__xludf.DUMMYFUNCTION("""COMPUTED_VALUE"""),"Khoa học giáo dục")</f>
        <v>Khoa học giáo dục</v>
      </c>
      <c r="C65" s="4" t="str">
        <f>IFERROR(__xludf.DUMMYFUNCTION("""COMPUTED_VALUE"""),"CINEFLUENT - HỆ SINH THÁI HỌC TIẾNG ANH THÔNG MINH VỚI AI TRÊN NỀN TẢNG PHIM ẢNH VÀ KẾT NỐI CỘNG ĐỒNG")</f>
        <v>CINEFLUENT - HỆ SINH THÁI HỌC TIẾNG ANH THÔNG MINH VỚI AI TRÊN NỀN TẢNG PHIM ẢNH VÀ KẾT NỐI CỘNG ĐỒNG</v>
      </c>
      <c r="D65" s="4" t="str">
        <f>IFERROR(__xludf.DUMMYFUNCTION("""COMPUTED_VALUE"""),"Đỗ Đặng Minh Luân; Nguyễn Thị Thu Uyên")</f>
        <v>Đỗ Đặng Minh Luân; Nguyễn Thị Thu Uyên</v>
      </c>
      <c r="E65" s="4" t="str">
        <f>IFERROR(__xludf.DUMMYFUNCTION("""COMPUTED_VALUE"""),"Trường Đại học Nguyễn Tất Thành")</f>
        <v>Trường Đại học Nguyễn Tất Thành</v>
      </c>
      <c r="F65" s="4" t="str">
        <f>IFERROR(__xludf.DUMMYFUNCTION("""COMPUTED_VALUE"""),"KHGD2026-064.png")</f>
        <v>KHGD2026-064.png</v>
      </c>
    </row>
    <row r="66">
      <c r="A66" s="4" t="str">
        <f>IFERROR(__xludf.DUMMYFUNCTION("""COMPUTED_VALUE"""),"KHGD2026-065")</f>
        <v>KHGD2026-065</v>
      </c>
      <c r="B66" s="4" t="str">
        <f>IFERROR(__xludf.DUMMYFUNCTION("""COMPUTED_VALUE"""),"Khoa học giáo dục")</f>
        <v>Khoa học giáo dục</v>
      </c>
      <c r="C66" s="4" t="str">
        <f>IFERROR(__xludf.DUMMYFUNCTION("""COMPUTED_VALUE"""),"XÂY DỰNG BỘ KIT THEO CỐT TRUYỆN KHOA HỌC TRONG GIÁO DỤC STEM")</f>
        <v>XÂY DỰNG BỘ KIT THEO CỐT TRUYỆN KHOA HỌC TRONG GIÁO DỤC STEM</v>
      </c>
      <c r="D66" s="4" t="str">
        <f>IFERROR(__xludf.DUMMYFUNCTION("""COMPUTED_VALUE"""),"Ngô Khánh Ly; Vũ Phạm Quang Huy; Phạm Sơn Tùng; Nghiêm Thị Nhân Đức")</f>
        <v>Ngô Khánh Ly; Vũ Phạm Quang Huy; Phạm Sơn Tùng; Nghiêm Thị Nhân Đức</v>
      </c>
      <c r="E66" s="4" t="str">
        <f>IFERROR(__xludf.DUMMYFUNCTION("""COMPUTED_VALUE"""),"Trường Đại học Sư phạm Hà Nội")</f>
        <v>Trường Đại học Sư phạm Hà Nội</v>
      </c>
      <c r="F66" s="4" t="str">
        <f>IFERROR(__xludf.DUMMYFUNCTION("""COMPUTED_VALUE"""),"KHGD2026-065.png")</f>
        <v>KHGD2026-065.png</v>
      </c>
    </row>
    <row r="67">
      <c r="A67" s="4" t="str">
        <f>IFERROR(__xludf.DUMMYFUNCTION("""COMPUTED_VALUE"""),"KHGD2026-066")</f>
        <v>KHGD2026-066</v>
      </c>
      <c r="B67" s="4" t="str">
        <f>IFERROR(__xludf.DUMMYFUNCTION("""COMPUTED_VALUE"""),"Khoa học giáo dục")</f>
        <v>Khoa học giáo dục</v>
      </c>
      <c r="C67" s="4" t="str">
        <f>IFERROR(__xludf.DUMMYFUNCTION("""COMPUTED_VALUE"""),"Xây dựng website hỗ trợ dạy học đọc hiểu truyện khoa học viễn tưởng ở trung học cơ sở theo hướng tích hợp giáo dục phát triển bền vững")</f>
        <v>Xây dựng website hỗ trợ dạy học đọc hiểu truyện khoa học viễn tưởng ở trung học cơ sở theo hướng tích hợp giáo dục phát triển bền vững</v>
      </c>
      <c r="D67" s="4" t="str">
        <f>IFERROR(__xludf.DUMMYFUNCTION("""COMPUTED_VALUE"""),"Nguyễn Ngọc Linh; Nguyễn Lê Ánh Dương")</f>
        <v>Nguyễn Ngọc Linh; Nguyễn Lê Ánh Dương</v>
      </c>
      <c r="E67" s="4" t="str">
        <f>IFERROR(__xludf.DUMMYFUNCTION("""COMPUTED_VALUE"""),"Trường Đại học Sư phạm Hà Nội")</f>
        <v>Trường Đại học Sư phạm Hà Nội</v>
      </c>
      <c r="F67" s="4" t="str">
        <f>IFERROR(__xludf.DUMMYFUNCTION("""COMPUTED_VALUE"""),"KHGD2026-066.png")</f>
        <v>KHGD2026-066.png</v>
      </c>
    </row>
    <row r="68">
      <c r="A68" s="4" t="str">
        <f>IFERROR(__xludf.DUMMYFUNCTION("""COMPUTED_VALUE"""),"KHGD2026-067")</f>
        <v>KHGD2026-067</v>
      </c>
      <c r="B68" s="4" t="str">
        <f>IFERROR(__xludf.DUMMYFUNCTION("""COMPUTED_VALUE"""),"Khoa học giáo dục")</f>
        <v>Khoa học giáo dục</v>
      </c>
      <c r="C68" s="4" t="str">
        <f>IFERROR(__xludf.DUMMYFUNCTION("""COMPUTED_VALUE"""),"Tần suất sử dụng và mức độ tự tin khi sử dụng AI trong quá trình học tập của sinh viên Điều dưỡng tại một số trường đại học tư thục tại Hà Nội")</f>
        <v>Tần suất sử dụng và mức độ tự tin khi sử dụng AI trong quá trình học tập của sinh viên Điều dưỡng tại một số trường đại học tư thục tại Hà Nội</v>
      </c>
      <c r="D68" s="4" t="str">
        <f>IFERROR(__xludf.DUMMYFUNCTION("""COMPUTED_VALUE"""),"Bùi Diễm Quỳnh; Lê Phương Anh")</f>
        <v>Bùi Diễm Quỳnh; Lê Phương Anh</v>
      </c>
      <c r="E68" s="4" t="str">
        <f>IFERROR(__xludf.DUMMYFUNCTION("""COMPUTED_VALUE"""),"Đại học Phenikaa")</f>
        <v>Đại học Phenikaa</v>
      </c>
      <c r="F68" s="4" t="str">
        <f>IFERROR(__xludf.DUMMYFUNCTION("""COMPUTED_VALUE"""),"KHGD2026-067.png")</f>
        <v>KHGD2026-067.png</v>
      </c>
    </row>
    <row r="69">
      <c r="A69" s="4" t="str">
        <f>IFERROR(__xludf.DUMMYFUNCTION("""COMPUTED_VALUE"""),"KHGD2026-068")</f>
        <v>KHGD2026-068</v>
      </c>
      <c r="B69" s="4" t="str">
        <f>IFERROR(__xludf.DUMMYFUNCTION("""COMPUTED_VALUE"""),"Khoa học giáo dục")</f>
        <v>Khoa học giáo dục</v>
      </c>
      <c r="C69" s="4" t="str">
        <f>IFERROR(__xludf.DUMMYFUNCTION("""COMPUTED_VALUE"""),"Nhận thức về hiệu quả và đạo đức nghiên cứu khi sử dụng các công cụ AI trong viết học thuật: Trường hợp sinh viên trường Kinh tế - Đại học Phenikaa")</f>
        <v>Nhận thức về hiệu quả và đạo đức nghiên cứu khi sử dụng các công cụ AI trong viết học thuật: Trường hợp sinh viên trường Kinh tế - Đại học Phenikaa</v>
      </c>
      <c r="D69" s="4" t="str">
        <f>IFERROR(__xludf.DUMMYFUNCTION("""COMPUTED_VALUE"""),"Phạm Hồng Vy; Lê Thanh Lam; Trần Thị Khánh Linh; Quách Hải Dương")</f>
        <v>Phạm Hồng Vy; Lê Thanh Lam; Trần Thị Khánh Linh; Quách Hải Dương</v>
      </c>
      <c r="E69" s="4" t="str">
        <f>IFERROR(__xludf.DUMMYFUNCTION("""COMPUTED_VALUE"""),"Đại học Phenikaa")</f>
        <v>Đại học Phenikaa</v>
      </c>
      <c r="F69" s="4" t="str">
        <f>IFERROR(__xludf.DUMMYFUNCTION("""COMPUTED_VALUE"""),"KHGD2026-068.png")</f>
        <v>KHGD2026-068.png</v>
      </c>
    </row>
    <row r="70">
      <c r="A70" s="4" t="str">
        <f>IFERROR(__xludf.DUMMYFUNCTION("""COMPUTED_VALUE"""),"KHGD2026-069")</f>
        <v>KHGD2026-069</v>
      </c>
      <c r="B70" s="4" t="str">
        <f>IFERROR(__xludf.DUMMYFUNCTION("""COMPUTED_VALUE"""),"Khoa học giáo dục")</f>
        <v>Khoa học giáo dục</v>
      </c>
      <c r="C70" s="4" t="str">
        <f>IFERROR(__xludf.DUMMYFUNCTION("""COMPUTED_VALUE"""),"Tích hợp AI tạo sinh hình ảnh vào dạy học ngoại ngữ nhằm phát triển tư duy kể chuyện và nâng cao năng lực khẩu ngữ cho người học tiếng Trung")</f>
        <v>Tích hợp AI tạo sinh hình ảnh vào dạy học ngoại ngữ nhằm phát triển tư duy kể chuyện và nâng cao năng lực khẩu ngữ cho người học tiếng Trung</v>
      </c>
      <c r="D70" s="4" t="str">
        <f>IFERROR(__xludf.DUMMYFUNCTION("""COMPUTED_VALUE"""),"Nguyễn Thị Thắm; Nguyễn Châu Kim Xuyến; Nguyễn Thị Như Ý")</f>
        <v>Nguyễn Thị Thắm; Nguyễn Châu Kim Xuyến; Nguyễn Thị Như Ý</v>
      </c>
      <c r="E70" s="4" t="str">
        <f>IFERROR(__xludf.DUMMYFUNCTION("""COMPUTED_VALUE"""),"Trường Đại học Nguyễn Tất Thành")</f>
        <v>Trường Đại học Nguyễn Tất Thành</v>
      </c>
      <c r="F70" s="4" t="str">
        <f>IFERROR(__xludf.DUMMYFUNCTION("""COMPUTED_VALUE"""),"KHGD2026-069.png")</f>
        <v>KHGD2026-069.png</v>
      </c>
    </row>
    <row r="71">
      <c r="A71" s="4" t="str">
        <f>IFERROR(__xludf.DUMMYFUNCTION("""COMPUTED_VALUE"""),"KHGD2026-070")</f>
        <v>KHGD2026-070</v>
      </c>
      <c r="B71" s="4" t="str">
        <f>IFERROR(__xludf.DUMMYFUNCTION("""COMPUTED_VALUE"""),"Khoa học giáo dục")</f>
        <v>Khoa học giáo dục</v>
      </c>
      <c r="C71" s="4" t="str">
        <f>IFERROR(__xludf.DUMMYFUNCTION("""COMPUTED_VALUE"""),"Một số biện pháp giáo dục hành vi bảo vệ môi trường cho trẻ 5 – 6 tuổi thông qua chế độ sinh hoạt hàng ngày ở trường mầm non")</f>
        <v>Một số biện pháp giáo dục hành vi bảo vệ môi trường cho trẻ 5 – 6 tuổi thông qua chế độ sinh hoạt hàng ngày ở trường mầm non</v>
      </c>
      <c r="D71" s="4" t="str">
        <f>IFERROR(__xludf.DUMMYFUNCTION("""COMPUTED_VALUE"""),"Phan Thị Trâm; Hoàng Thị Uyên")</f>
        <v>Phan Thị Trâm; Hoàng Thị Uyên</v>
      </c>
      <c r="E71" s="4" t="str">
        <f>IFERROR(__xludf.DUMMYFUNCTION("""COMPUTED_VALUE"""),"Trường Đại học Nghệ An")</f>
        <v>Trường Đại học Nghệ An</v>
      </c>
      <c r="F71" s="4" t="str">
        <f>IFERROR(__xludf.DUMMYFUNCTION("""COMPUTED_VALUE"""),"KHGD2026-070.png")</f>
        <v>KHGD2026-070.png</v>
      </c>
    </row>
    <row r="72">
      <c r="A72" s="4" t="str">
        <f>IFERROR(__xludf.DUMMYFUNCTION("""COMPUTED_VALUE"""),"KHGD2026-071")</f>
        <v>KHGD2026-071</v>
      </c>
      <c r="B72" s="4" t="str">
        <f>IFERROR(__xludf.DUMMYFUNCTION("""COMPUTED_VALUE"""),"Khoa học giáo dục")</f>
        <v>Khoa học giáo dục</v>
      </c>
      <c r="C72" s="4" t="str">
        <f>IFERROR(__xludf.DUMMYFUNCTION("""COMPUTED_VALUE"""),"Thực trạng tự học của sinh viên khoa Mầm non trường Đại học Nghệ An")</f>
        <v>Thực trạng tự học của sinh viên khoa Mầm non trường Đại học Nghệ An</v>
      </c>
      <c r="D72" s="4" t="str">
        <f>IFERROR(__xludf.DUMMYFUNCTION("""COMPUTED_VALUE"""),"Phạm Thị Nhung; Ngân Thị Diệu Ly")</f>
        <v>Phạm Thị Nhung; Ngân Thị Diệu Ly</v>
      </c>
      <c r="E72" s="4" t="str">
        <f>IFERROR(__xludf.DUMMYFUNCTION("""COMPUTED_VALUE"""),"Trường Đại học Nghệ An")</f>
        <v>Trường Đại học Nghệ An</v>
      </c>
      <c r="F72" s="4" t="str">
        <f>IFERROR(__xludf.DUMMYFUNCTION("""COMPUTED_VALUE"""),"KHGD2026-071.png")</f>
        <v>KHGD2026-071.png</v>
      </c>
    </row>
    <row r="73">
      <c r="A73" s="4" t="str">
        <f>IFERROR(__xludf.DUMMYFUNCTION("""COMPUTED_VALUE"""),"KHGD2026-072")</f>
        <v>KHGD2026-072</v>
      </c>
      <c r="B73" s="4" t="str">
        <f>IFERROR(__xludf.DUMMYFUNCTION("""COMPUTED_VALUE"""),"Khoa học giáo dục")</f>
        <v>Khoa học giáo dục</v>
      </c>
      <c r="C73" s="4" t="str">
        <f>IFERROR(__xludf.DUMMYFUNCTION("""COMPUTED_VALUE"""),"Các nhân tố ảnh hưởng đến sự hài lòng của sinh viên đối với hoạt động giảng dạy E-learning tại trường Đại học Nghệ An.")</f>
        <v>Các nhân tố ảnh hưởng đến sự hài lòng của sinh viên đối với hoạt động giảng dạy E-learning tại trường Đại học Nghệ An.</v>
      </c>
      <c r="D73" s="4" t="str">
        <f>IFERROR(__xludf.DUMMYFUNCTION("""COMPUTED_VALUE"""),"Phan Anh thanh huyền; Nguyễn Thị Minh Ánh; Trần Trà My")</f>
        <v>Phan Anh thanh huyền; Nguyễn Thị Minh Ánh; Trần Trà My</v>
      </c>
      <c r="E73" s="4" t="str">
        <f>IFERROR(__xludf.DUMMYFUNCTION("""COMPUTED_VALUE"""),"Trường Đại học Nghệ An")</f>
        <v>Trường Đại học Nghệ An</v>
      </c>
      <c r="F73" s="4" t="str">
        <f>IFERROR(__xludf.DUMMYFUNCTION("""COMPUTED_VALUE"""),"KHGD2026-072.png")</f>
        <v>KHGD2026-072.png</v>
      </c>
    </row>
    <row r="74">
      <c r="A74" s="4" t="str">
        <f>IFERROR(__xludf.DUMMYFUNCTION("""COMPUTED_VALUE"""),"KHGD2026-073")</f>
        <v>KHGD2026-073</v>
      </c>
      <c r="B74" s="4" t="str">
        <f>IFERROR(__xludf.DUMMYFUNCTION("""COMPUTED_VALUE"""),"Khoa học giáo dục")</f>
        <v>Khoa học giáo dục</v>
      </c>
      <c r="C74" s="4" t="str">
        <f>IFERROR(__xludf.DUMMYFUNCTION("""COMPUTED_VALUE"""),"Ứng dụng thiết kế học tập phổ quát cho trẻ khuyết tật học hòa nhập ở trường mầm non")</f>
        <v>Ứng dụng thiết kế học tập phổ quát cho trẻ khuyết tật học hòa nhập ở trường mầm non</v>
      </c>
      <c r="D74" s="4" t="str">
        <f>IFERROR(__xludf.DUMMYFUNCTION("""COMPUTED_VALUE"""),"Phan Ngọc Nam Phương; Nguyễn Thị Xuân Hương")</f>
        <v>Phan Ngọc Nam Phương; Nguyễn Thị Xuân Hương</v>
      </c>
      <c r="E74" s="4" t="str">
        <f>IFERROR(__xludf.DUMMYFUNCTION("""COMPUTED_VALUE"""),"Trường Cao đẳng Sư phạm Trung ương TP. Hồ Chí Minh")</f>
        <v>Trường Cao đẳng Sư phạm Trung ương TP. Hồ Chí Minh</v>
      </c>
      <c r="F74" s="4" t="str">
        <f>IFERROR(__xludf.DUMMYFUNCTION("""COMPUTED_VALUE"""),"KHGD2026-073.png")</f>
        <v>KHGD2026-073.png</v>
      </c>
    </row>
    <row r="75">
      <c r="A75" s="4" t="str">
        <f>IFERROR(__xludf.DUMMYFUNCTION("""COMPUTED_VALUE"""),"KHGD2026-074")</f>
        <v>KHGD2026-074</v>
      </c>
      <c r="B75" s="4" t="str">
        <f>IFERROR(__xludf.DUMMYFUNCTION("""COMPUTED_VALUE"""),"Khoa học giáo dục")</f>
        <v>Khoa học giáo dục</v>
      </c>
      <c r="C75" s="4" t="str">
        <f>IFERROR(__xludf.DUMMYFUNCTION("""COMPUTED_VALUE"""),"Xây dựng website hỗ trợ phát triển trí tuệ cảm xúc cho học sinh rối loạn tăng động giảm chú ý cấp tiểu học")</f>
        <v>Xây dựng website hỗ trợ phát triển trí tuệ cảm xúc cho học sinh rối loạn tăng động giảm chú ý cấp tiểu học</v>
      </c>
      <c r="D75" s="4" t="str">
        <f>IFERROR(__xludf.DUMMYFUNCTION("""COMPUTED_VALUE"""),"Trần Khánh Vi; Quách Ý Nhi; Tống Thị Hồng Nhung; Nguyễn Khánh Hoà")</f>
        <v>Trần Khánh Vi; Quách Ý Nhi; Tống Thị Hồng Nhung; Nguyễn Khánh Hoà</v>
      </c>
      <c r="E75" s="4" t="str">
        <f>IFERROR(__xludf.DUMMYFUNCTION("""COMPUTED_VALUE"""),"Trường Đại học Sư phạm Hà Nội")</f>
        <v>Trường Đại học Sư phạm Hà Nội</v>
      </c>
      <c r="F75" s="4" t="str">
        <f>IFERROR(__xludf.DUMMYFUNCTION("""COMPUTED_VALUE"""),"KHGD2026-074.png")</f>
        <v>KHGD2026-074.png</v>
      </c>
    </row>
    <row r="76">
      <c r="A76" s="4" t="str">
        <f>IFERROR(__xludf.DUMMYFUNCTION("""COMPUTED_VALUE"""),"KHGD2026-075")</f>
        <v>KHGD2026-075</v>
      </c>
      <c r="B76" s="4" t="str">
        <f>IFERROR(__xludf.DUMMYFUNCTION("""COMPUTED_VALUE"""),"Khoa học giáo dục")</f>
        <v>Khoa học giáo dục</v>
      </c>
      <c r="C76" s="4" t="str">
        <f>IFERROR(__xludf.DUMMYFUNCTION("""COMPUTED_VALUE"""),"Vai trò trung gian của trải nghiệm dòng chảy trong mối quan hệ giữa học tập dựa trên trò chơi hóa và động lực học tập của sinh viên đại học")</f>
        <v>Vai trò trung gian của trải nghiệm dòng chảy trong mối quan hệ giữa học tập dựa trên trò chơi hóa và động lực học tập của sinh viên đại học</v>
      </c>
      <c r="D76" s="4" t="str">
        <f>IFERROR(__xludf.DUMMYFUNCTION("""COMPUTED_VALUE"""),"Trương Huỳnh Như; Mai Võ Yến Nhi; Nguyễn Văn Hanh")</f>
        <v>Trương Huỳnh Như; Mai Võ Yến Nhi; Nguyễn Văn Hanh</v>
      </c>
      <c r="E76" s="4" t="str">
        <f>IFERROR(__xludf.DUMMYFUNCTION("""COMPUTED_VALUE"""),"Trường Đại học Công nghệ TP. Hồ Chí Minh")</f>
        <v>Trường Đại học Công nghệ TP. Hồ Chí Minh</v>
      </c>
      <c r="F76" s="4" t="str">
        <f>IFERROR(__xludf.DUMMYFUNCTION("""COMPUTED_VALUE"""),"KHGD2026-075.png")</f>
        <v>KHGD2026-075.png</v>
      </c>
    </row>
    <row r="77">
      <c r="A77" s="4" t="str">
        <f>IFERROR(__xludf.DUMMYFUNCTION("""COMPUTED_VALUE"""),"KHGD2026-076")</f>
        <v>KHGD2026-076</v>
      </c>
      <c r="B77" s="4" t="str">
        <f>IFERROR(__xludf.DUMMYFUNCTION("""COMPUTED_VALUE"""),"Khoa học giáo dục")</f>
        <v>Khoa học giáo dục</v>
      </c>
      <c r="C77" s="4" t="str">
        <f>IFERROR(__xludf.DUMMYFUNCTION("""COMPUTED_VALUE"""),"RAAC – NỀN TẢNG PHẢN BIỆN KHOA HỌC AI PHI TẬP TRUNG VÀ CÓ THỂ KIỂM CHỨNG")</f>
        <v>RAAC – NỀN TẢNG PHẢN BIỆN KHOA HỌC AI PHI TẬP TRUNG VÀ CÓ THỂ KIỂM CHỨNG</v>
      </c>
      <c r="D77" s="4" t="str">
        <f>IFERROR(__xludf.DUMMYFUNCTION("""COMPUTED_VALUE"""),"Huỳnh Ngọc Nhi; Trà Minh Trọng; Huỳnh Phan Gia Bảo")</f>
        <v>Huỳnh Ngọc Nhi; Trà Minh Trọng; Huỳnh Phan Gia Bảo</v>
      </c>
      <c r="E77" s="4" t="str">
        <f>IFERROR(__xludf.DUMMYFUNCTION("""COMPUTED_VALUE"""),"Trường Đại học Công nghệ Thông tin, ĐHQG-HCM")</f>
        <v>Trường Đại học Công nghệ Thông tin, ĐHQG-HCM</v>
      </c>
      <c r="F77" s="4" t="str">
        <f>IFERROR(__xludf.DUMMYFUNCTION("""COMPUTED_VALUE"""),"KHGD2026-076.png")</f>
        <v>KHGD2026-076.png</v>
      </c>
    </row>
    <row r="78">
      <c r="A78" s="4" t="str">
        <f>IFERROR(__xludf.DUMMYFUNCTION("""COMPUTED_VALUE"""),"KHGD2026-077")</f>
        <v>KHGD2026-077</v>
      </c>
      <c r="B78" s="4" t="str">
        <f>IFERROR(__xludf.DUMMYFUNCTION("""COMPUTED_VALUE"""),"Khoa học giáo dục")</f>
        <v>Khoa học giáo dục</v>
      </c>
      <c r="C78" s="4" t="str">
        <f>IFERROR(__xludf.DUMMYFUNCTION("""COMPUTED_VALUE"""),"Rào cản ảnh hưởng đến kết quả học tập trực tuyến của sinh viên Sư phạm")</f>
        <v>Rào cản ảnh hưởng đến kết quả học tập trực tuyến của sinh viên Sư phạm</v>
      </c>
      <c r="D78" s="4" t="str">
        <f>IFERROR(__xludf.DUMMYFUNCTION("""COMPUTED_VALUE"""),"Đỗ Ngọc Thanh Thúy; Lại Đặng Hoài Trâm; Sơn Thanh Toàn")</f>
        <v>Đỗ Ngọc Thanh Thúy; Lại Đặng Hoài Trâm; Sơn Thanh Toàn</v>
      </c>
      <c r="E78" s="4" t="str">
        <f>IFERROR(__xludf.DUMMYFUNCTION("""COMPUTED_VALUE"""),"Đại học Cần Thơ")</f>
        <v>Đại học Cần Thơ</v>
      </c>
      <c r="F78" s="4" t="str">
        <f>IFERROR(__xludf.DUMMYFUNCTION("""COMPUTED_VALUE"""),"KHGD2026-077.png")</f>
        <v>KHGD2026-077.png</v>
      </c>
    </row>
    <row r="79">
      <c r="A79" s="4" t="str">
        <f>IFERROR(__xludf.DUMMYFUNCTION("""COMPUTED_VALUE"""),"KHGD2026-078")</f>
        <v>KHGD2026-078</v>
      </c>
      <c r="B79" s="4" t="str">
        <f>IFERROR(__xludf.DUMMYFUNCTION("""COMPUTED_VALUE"""),"Khoa học giáo dục")</f>
        <v>Khoa học giáo dục</v>
      </c>
      <c r="C79" s="4" t="str">
        <f>IFERROR(__xludf.DUMMYFUNCTION("""COMPUTED_VALUE"""),"Đánh giá tác động của việc tham gia câu lạc bộ ngoại ngữ đến kỹ năng nghe - nói Tiếng Anh khối ngành đặc thù tại một trường đại học công lập trên địa bàn Thành phố Hồ Chí Minh")</f>
        <v>Đánh giá tác động của việc tham gia câu lạc bộ ngoại ngữ đến kỹ năng nghe - nói Tiếng Anh khối ngành đặc thù tại một trường đại học công lập trên địa bàn Thành phố Hồ Chí Minh</v>
      </c>
      <c r="D79" s="4" t="str">
        <f>IFERROR(__xludf.DUMMYFUNCTION("""COMPUTED_VALUE"""),"Nguyễn Điền Huệ Thư; Tạ Huỳnh Thảo")</f>
        <v>Nguyễn Điền Huệ Thư; Tạ Huỳnh Thảo</v>
      </c>
      <c r="E79" s="4" t="str">
        <f>IFERROR(__xludf.DUMMYFUNCTION("""COMPUTED_VALUE"""),"Trường Đại học Mở TP. Hồ Chí Minh")</f>
        <v>Trường Đại học Mở TP. Hồ Chí Minh</v>
      </c>
      <c r="F79" s="4" t="str">
        <f>IFERROR(__xludf.DUMMYFUNCTION("""COMPUTED_VALUE"""),"KHGD2026-078.png")</f>
        <v>KHGD2026-078.png</v>
      </c>
    </row>
    <row r="80">
      <c r="A80" s="4" t="str">
        <f>IFERROR(__xludf.DUMMYFUNCTION("""COMPUTED_VALUE"""),"KHGD2026-079")</f>
        <v>KHGD2026-079</v>
      </c>
      <c r="B80" s="4" t="str">
        <f>IFERROR(__xludf.DUMMYFUNCTION("""COMPUTED_VALUE"""),"Khoa học giáo dục")</f>
        <v>Khoa học giáo dục</v>
      </c>
      <c r="C80" s="4" t="str">
        <f>IFERROR(__xludf.DUMMYFUNCTION("""COMPUTED_VALUE"""),"Bồi dưỡng tình yêu nước và nhận thức về bản sắc văn hóa địa phương qua hoạt động dạy học môn Ngữ văn lớp 10 trong bối cảnh sáp nhập địa giới hành chính và chuyển đổi số")</f>
        <v>Bồi dưỡng tình yêu nước và nhận thức về bản sắc văn hóa địa phương qua hoạt động dạy học môn Ngữ văn lớp 10 trong bối cảnh sáp nhập địa giới hành chính và chuyển đổi số</v>
      </c>
      <c r="D80" s="4" t="str">
        <f>IFERROR(__xludf.DUMMYFUNCTION("""COMPUTED_VALUE"""),"Nguyễn Thị Thảo Hoa; Trần Mai Lan; Nguyễn Thị Vân Anh; Lèo Hương Giang; Nguyễn Thanh Phương")</f>
        <v>Nguyễn Thị Thảo Hoa; Trần Mai Lan; Nguyễn Thị Vân Anh; Lèo Hương Giang; Nguyễn Thanh Phương</v>
      </c>
      <c r="E80" s="4" t="str">
        <f>IFERROR(__xludf.DUMMYFUNCTION("""COMPUTED_VALUE"""),"Trường Đại học Hạ Long")</f>
        <v>Trường Đại học Hạ Long</v>
      </c>
      <c r="F80" s="4" t="str">
        <f>IFERROR(__xludf.DUMMYFUNCTION("""COMPUTED_VALUE"""),"KHGD2026-079.png")</f>
        <v>KHGD2026-079.png</v>
      </c>
    </row>
    <row r="81">
      <c r="A81" s="4" t="str">
        <f>IFERROR(__xludf.DUMMYFUNCTION("""COMPUTED_VALUE"""),"KHGD2026-080")</f>
        <v>KHGD2026-080</v>
      </c>
      <c r="B81" s="4" t="str">
        <f>IFERROR(__xludf.DUMMYFUNCTION("""COMPUTED_VALUE"""),"Khoa học giáo dục")</f>
        <v>Khoa học giáo dục</v>
      </c>
      <c r="C81" s="4" t="str">
        <f>IFERROR(__xludf.DUMMYFUNCTION("""COMPUTED_VALUE"""),"Tác động của việc chơi Game Online đến năng lực Tiếng Anh của sinh viên không chuyên ngôn ngữ tại Trường Đại học Mở Thành phố Hồ Chí Minh")</f>
        <v>Tác động của việc chơi Game Online đến năng lực Tiếng Anh của sinh viên không chuyên ngôn ngữ tại Trường Đại học Mở Thành phố Hồ Chí Minh</v>
      </c>
      <c r="D81" s="4" t="str">
        <f>IFERROR(__xludf.DUMMYFUNCTION("""COMPUTED_VALUE"""),"Nguyễn Lê Phương Mai; Lê Đoàn Khánh Như")</f>
        <v>Nguyễn Lê Phương Mai; Lê Đoàn Khánh Như</v>
      </c>
      <c r="E81" s="4" t="str">
        <f>IFERROR(__xludf.DUMMYFUNCTION("""COMPUTED_VALUE"""),"Trường Đại học Mở TP. Hồ Chí Minh")</f>
        <v>Trường Đại học Mở TP. Hồ Chí Minh</v>
      </c>
      <c r="F81" s="4" t="str">
        <f>IFERROR(__xludf.DUMMYFUNCTION("""COMPUTED_VALUE"""),"KHGD2026-080.png")</f>
        <v>KHGD2026-080.png</v>
      </c>
    </row>
    <row r="82">
      <c r="A82" s="4" t="str">
        <f>IFERROR(__xludf.DUMMYFUNCTION("""COMPUTED_VALUE"""),"KHGD2026-081")</f>
        <v>KHGD2026-081</v>
      </c>
      <c r="B82" s="4" t="str">
        <f>IFERROR(__xludf.DUMMYFUNCTION("""COMPUTED_VALUE"""),"Khoa học giáo dục")</f>
        <v>Khoa học giáo dục</v>
      </c>
      <c r="C82" s="4" t="str">
        <f>IFERROR(__xludf.DUMMYFUNCTION("""COMPUTED_VALUE"""),"Giải pháp chuyển đổi số trong giám sát học vụ: Khắc phục điểm mù đánh giá bằng phương pháp phân cụm quỹ đạo giờ thư viện")</f>
        <v>Giải pháp chuyển đổi số trong giám sát học vụ: Khắc phục điểm mù đánh giá bằng phương pháp phân cụm quỹ đạo giờ thư viện</v>
      </c>
      <c r="D82" s="4" t="str">
        <f>IFERROR(__xludf.DUMMYFUNCTION("""COMPUTED_VALUE"""),"Nguyễn Mai Yến Nhi.; Đặng Tường Linh; Châu Gia Bảo; Hoàng Văn Hướng")</f>
        <v>Nguyễn Mai Yến Nhi.; Đặng Tường Linh; Châu Gia Bảo; Hoàng Văn Hướng</v>
      </c>
      <c r="E82" s="4" t="str">
        <f>IFERROR(__xludf.DUMMYFUNCTION("""COMPUTED_VALUE"""),"Trường Đại học Bình Dương")</f>
        <v>Trường Đại học Bình Dương</v>
      </c>
      <c r="F82" s="4" t="str">
        <f>IFERROR(__xludf.DUMMYFUNCTION("""COMPUTED_VALUE"""),"KHGD2026-081.png")</f>
        <v>KHGD2026-081.png</v>
      </c>
    </row>
    <row r="83">
      <c r="A83" s="4" t="str">
        <f>IFERROR(__xludf.DUMMYFUNCTION("""COMPUTED_VALUE"""),"KHGD2026-083")</f>
        <v>KHGD2026-083</v>
      </c>
      <c r="B83" s="4" t="str">
        <f>IFERROR(__xludf.DUMMYFUNCTION("""COMPUTED_VALUE"""),"Khoa học giáo dục")</f>
        <v>Khoa học giáo dục</v>
      </c>
      <c r="C83" s="4" t="str">
        <f>IFERROR(__xludf.DUMMYFUNCTION("""COMPUTED_VALUE"""),"Nghiên cứu chế tạo giấy thủ công từ vật liệu hữu cơ và ứng dụng dạy học trải nghiệm nghề truyền thống giới thiệu di sản văn hóa phi vật thể cấp quốc gia của tỉnh Quảng Ninh")</f>
        <v>Nghiên cứu chế tạo giấy thủ công từ vật liệu hữu cơ và ứng dụng dạy học trải nghiệm nghề truyền thống giới thiệu di sản văn hóa phi vật thể cấp quốc gia của tỉnh Quảng Ninh</v>
      </c>
      <c r="D83" s="4" t="str">
        <f>IFERROR(__xludf.DUMMYFUNCTION("""COMPUTED_VALUE"""),"Nguyễn Hoài An; Lê Thị Thúy Nga; Vũ Ngọc Mai; Nguyễn Vũ Minh Tâm; Trần Thi Đoan Trang")</f>
        <v>Nguyễn Hoài An; Lê Thị Thúy Nga; Vũ Ngọc Mai; Nguyễn Vũ Minh Tâm; Trần Thi Đoan Trang</v>
      </c>
      <c r="E83" s="4" t="str">
        <f>IFERROR(__xludf.DUMMYFUNCTION("""COMPUTED_VALUE"""),"Trường Đại học Hạ Long")</f>
        <v>Trường Đại học Hạ Long</v>
      </c>
      <c r="F83" s="4" t="str">
        <f>IFERROR(__xludf.DUMMYFUNCTION("""COMPUTED_VALUE"""),"KHGD2026-083.png")</f>
        <v>KHGD2026-083.png</v>
      </c>
    </row>
    <row r="84">
      <c r="A84" s="4" t="str">
        <f>IFERROR(__xludf.DUMMYFUNCTION("""COMPUTED_VALUE"""),"KHGD2026-084")</f>
        <v>KHGD2026-084</v>
      </c>
      <c r="B84" s="4" t="str">
        <f>IFERROR(__xludf.DUMMYFUNCTION("""COMPUTED_VALUE"""),"Khoa học giáo dục")</f>
        <v>Khoa học giáo dục</v>
      </c>
      <c r="C84" s="4" t="str">
        <f>IFERROR(__xludf.DUMMYFUNCTION("""COMPUTED_VALUE"""),"Phát triển năng lực viết chữ cho học sinh lớp 2 thông qua hoạt động trải nghiệm sáng tạo")</f>
        <v>Phát triển năng lực viết chữ cho học sinh lớp 2 thông qua hoạt động trải nghiệm sáng tạo</v>
      </c>
      <c r="D84" s="4" t="str">
        <f>IFERROR(__xludf.DUMMYFUNCTION("""COMPUTED_VALUE"""),"Trần Phương Uyên; Trần Thị Thu; Trần Thị Xuân; Nguyễn Thị Huyền Trang; Dương Thị Thanh")</f>
        <v>Trần Phương Uyên; Trần Thị Thu; Trần Thị Xuân; Nguyễn Thị Huyền Trang; Dương Thị Thanh</v>
      </c>
      <c r="E84" s="4" t="str">
        <f>IFERROR(__xludf.DUMMYFUNCTION("""COMPUTED_VALUE"""),"Trường Đại học Hạ Long")</f>
        <v>Trường Đại học Hạ Long</v>
      </c>
      <c r="F84" s="4" t="str">
        <f>IFERROR(__xludf.DUMMYFUNCTION("""COMPUTED_VALUE"""),"KHGD2026-084.png")</f>
        <v>KHGD2026-084.png</v>
      </c>
    </row>
    <row r="85">
      <c r="A85" s="4" t="str">
        <f>IFERROR(__xludf.DUMMYFUNCTION("""COMPUTED_VALUE"""),"KHGD2026-085")</f>
        <v>KHGD2026-085</v>
      </c>
      <c r="B85" s="4" t="str">
        <f>IFERROR(__xludf.DUMMYFUNCTION("""COMPUTED_VALUE"""),"Khoa học giáo dục")</f>
        <v>Khoa học giáo dục</v>
      </c>
      <c r="C85" s="4" t="str">
        <f>IFERROR(__xludf.DUMMYFUNCTION("""COMPUTED_VALUE"""),"Thiết kế hoạt động giáo dục phòng tránh tai nạn thông qua trò chơi đóng vai theo chủ đề cho trẻ 5 - 6 tuổi tại trường Mẫu giáo Thực hành Sư Phạm, Khoa Sư phạm, Trường Đại học Hạ Long")</f>
        <v>Thiết kế hoạt động giáo dục phòng tránh tai nạn thông qua trò chơi đóng vai theo chủ đề cho trẻ 5 - 6 tuổi tại trường Mẫu giáo Thực hành Sư Phạm, Khoa Sư phạm, Trường Đại học Hạ Long</v>
      </c>
      <c r="D85" s="4" t="str">
        <f>IFERROR(__xludf.DUMMYFUNCTION("""COMPUTED_VALUE"""),"Phạm Minh Nguyệt; Phạm Yến Nhi; Đinh Thị Thanh Trúc; Vy Thùy Trang")</f>
        <v>Phạm Minh Nguyệt; Phạm Yến Nhi; Đinh Thị Thanh Trúc; Vy Thùy Trang</v>
      </c>
      <c r="E85" s="4" t="str">
        <f>IFERROR(__xludf.DUMMYFUNCTION("""COMPUTED_VALUE"""),"Trường Đại học Hạ Long")</f>
        <v>Trường Đại học Hạ Long</v>
      </c>
      <c r="F85" s="4" t="str">
        <f>IFERROR(__xludf.DUMMYFUNCTION("""COMPUTED_VALUE"""),"KHGD2026-085.png")</f>
        <v>KHGD2026-085.png</v>
      </c>
    </row>
    <row r="86">
      <c r="A86" s="4" t="str">
        <f>IFERROR(__xludf.DUMMYFUNCTION("""COMPUTED_VALUE"""),"KHGD2026-086")</f>
        <v>KHGD2026-086</v>
      </c>
      <c r="B86" s="4" t="str">
        <f>IFERROR(__xludf.DUMMYFUNCTION("""COMPUTED_VALUE"""),"Khoa học giáo dục")</f>
        <v>Khoa học giáo dục</v>
      </c>
      <c r="C86" s="4" t="str">
        <f>IFERROR(__xludf.DUMMYFUNCTION("""COMPUTED_VALUE"""),"Tích hợp giáo dục di sản Hát Then của người Tày ở Bình Liêu vào tổ chức hoạt động trải nghiệm STEM chủ đề Âm thanh cho học sinh lớp 7")</f>
        <v>Tích hợp giáo dục di sản Hát Then của người Tày ở Bình Liêu vào tổ chức hoạt động trải nghiệm STEM chủ đề Âm thanh cho học sinh lớp 7</v>
      </c>
      <c r="D86" s="4" t="str">
        <f>IFERROR(__xludf.DUMMYFUNCTION("""COMPUTED_VALUE"""),"Đào Phương Linh; Đoàn Ngọc Bách Diệp; Hà Diệu Linh; Nguyễn Hoàng Hiệp; Hoàng Trường Huy")</f>
        <v>Đào Phương Linh; Đoàn Ngọc Bách Diệp; Hà Diệu Linh; Nguyễn Hoàng Hiệp; Hoàng Trường Huy</v>
      </c>
      <c r="E86" s="4" t="str">
        <f>IFERROR(__xludf.DUMMYFUNCTION("""COMPUTED_VALUE"""),"Trường Đại học Hạ Long")</f>
        <v>Trường Đại học Hạ Long</v>
      </c>
      <c r="F86" s="4" t="str">
        <f>IFERROR(__xludf.DUMMYFUNCTION("""COMPUTED_VALUE"""),"KHGD2026-086.png")</f>
        <v>KHGD2026-086.png</v>
      </c>
    </row>
    <row r="87">
      <c r="A87" s="4" t="str">
        <f>IFERROR(__xludf.DUMMYFUNCTION("""COMPUTED_VALUE"""),"KHGD2026-087")</f>
        <v>KHGD2026-087</v>
      </c>
      <c r="B87" s="4" t="str">
        <f>IFERROR(__xludf.DUMMYFUNCTION("""COMPUTED_VALUE"""),"Khoa học giáo dục")</f>
        <v>Khoa học giáo dục</v>
      </c>
      <c r="C87" s="4" t="str">
        <f>IFERROR(__xludf.DUMMYFUNCTION("""COMPUTED_VALUE"""),"KIẾN THỨC VỀ NHẬN BIẾT NGỘ ĐỘC THUỐC TÊ CỦA SINH VIÊN ĐIỀU DƯỠNG CHUYÊN NGÀNH GÂY MÊ HỒI SỨC TẠI ĐẠI HỌC Y DƯỢC THÀNH PHỐ HỒ CHÍ MINH NĂM 2025.")</f>
        <v>KIẾN THỨC VỀ NHẬN BIẾT NGỘ ĐỘC THUỐC TÊ CỦA SINH VIÊN ĐIỀU DƯỠNG CHUYÊN NGÀNH GÂY MÊ HỒI SỨC TẠI ĐẠI HỌC Y DƯỢC THÀNH PHỐ HỒ CHÍ MINH NĂM 2025.</v>
      </c>
      <c r="D87" s="4" t="str">
        <f>IFERROR(__xludf.DUMMYFUNCTION("""COMPUTED_VALUE"""),"Trần Hải Đăng; Phạm Lê Huỳnh")</f>
        <v>Trần Hải Đăng; Phạm Lê Huỳnh</v>
      </c>
      <c r="E87" s="4" t="str">
        <f>IFERROR(__xludf.DUMMYFUNCTION("""COMPUTED_VALUE"""),"Đại học Y Dược TP. Hồ Chí Minh")</f>
        <v>Đại học Y Dược TP. Hồ Chí Minh</v>
      </c>
      <c r="F87" s="4" t="str">
        <f>IFERROR(__xludf.DUMMYFUNCTION("""COMPUTED_VALUE"""),"KHGD2026-087.png")</f>
        <v>KHGD2026-087.png</v>
      </c>
    </row>
    <row r="88">
      <c r="A88" s="4" t="str">
        <f>IFERROR(__xludf.DUMMYFUNCTION("""COMPUTED_VALUE"""),"KHGD2026-088")</f>
        <v>KHGD2026-088</v>
      </c>
      <c r="B88" s="4" t="str">
        <f>IFERROR(__xludf.DUMMYFUNCTION("""COMPUTED_VALUE"""),"Khoa học giáo dục")</f>
        <v>Khoa học giáo dục</v>
      </c>
      <c r="C88" s="4" t="str">
        <f>IFERROR(__xludf.DUMMYFUNCTION("""COMPUTED_VALUE"""),"Digital Fabric Atlas – Thư viện mẫu vải số phục vụ giảng dạy và học tập")</f>
        <v>Digital Fabric Atlas – Thư viện mẫu vải số phục vụ giảng dạy và học tập</v>
      </c>
      <c r="D88" s="4" t="str">
        <f>IFERROR(__xludf.DUMMYFUNCTION("""COMPUTED_VALUE"""),"Huỳnh Cẩm Loan; Đỗ Thị Ngọc Kiều; Bùi Thị Phương Loan")</f>
        <v>Huỳnh Cẩm Loan; Đỗ Thị Ngọc Kiều; Bùi Thị Phương Loan</v>
      </c>
      <c r="E88" s="4" t="str">
        <f>IFERROR(__xludf.DUMMYFUNCTION("""COMPUTED_VALUE"""),"Trường Đại học Công Thương TP. Hồ Chí Minh")</f>
        <v>Trường Đại học Công Thương TP. Hồ Chí Minh</v>
      </c>
      <c r="F88" s="4" t="str">
        <f>IFERROR(__xludf.DUMMYFUNCTION("""COMPUTED_VALUE"""),"KHGD2026-088.png")</f>
        <v>KHGD2026-088.png</v>
      </c>
    </row>
    <row r="89">
      <c r="A89" s="4" t="str">
        <f>IFERROR(__xludf.DUMMYFUNCTION("""COMPUTED_VALUE"""),"KHGD2026-089")</f>
        <v>KHGD2026-089</v>
      </c>
      <c r="B89" s="4" t="str">
        <f>IFERROR(__xludf.DUMMYFUNCTION("""COMPUTED_VALUE"""),"Khoa học giáo dục")</f>
        <v>Khoa học giáo dục</v>
      </c>
      <c r="C89" s="4" t="str">
        <f>IFERROR(__xludf.DUMMYFUNCTION("""COMPUTED_VALUE"""),"TÁC ĐỘNG CỦA CƠ CHẾ TÍCH ĐIỂM THUỘC MÔ HÌNH UEH GREEN CITIZENS ĐẾN HÀNH VI SỐNG XANH CỦA SINH VIÊN TẠI ĐẠI HỌC KINH TẾ TP. HCM")</f>
        <v>TÁC ĐỘNG CỦA CƠ CHẾ TÍCH ĐIỂM THUỘC MÔ HÌNH UEH GREEN CITIZENS ĐẾN HÀNH VI SỐNG XANH CỦA SINH VIÊN TẠI ĐẠI HỌC KINH TẾ TP. HCM</v>
      </c>
      <c r="D89" s="4" t="str">
        <f>IFERROR(__xludf.DUMMYFUNCTION("""COMPUTED_VALUE"""),"Nguyễn Lê Trà My")</f>
        <v>Nguyễn Lê Trà My</v>
      </c>
      <c r="E89" s="4" t="str">
        <f>IFERROR(__xludf.DUMMYFUNCTION("""COMPUTED_VALUE"""),"Đại học Kinh tế TP. Hồ Chí Minh")</f>
        <v>Đại học Kinh tế TP. Hồ Chí Minh</v>
      </c>
      <c r="F89" s="4" t="str">
        <f>IFERROR(__xludf.DUMMYFUNCTION("""COMPUTED_VALUE"""),"KHGD2026-089.png")</f>
        <v>KHGD2026-089.png</v>
      </c>
    </row>
    <row r="90">
      <c r="A90" s="4" t="str">
        <f>IFERROR(__xludf.DUMMYFUNCTION("""COMPUTED_VALUE"""),"KHGD2026-090")</f>
        <v>KHGD2026-090</v>
      </c>
      <c r="B90" s="4" t="str">
        <f>IFERROR(__xludf.DUMMYFUNCTION("""COMPUTED_VALUE"""),"Khoa học giáo dục")</f>
        <v>Khoa học giáo dục</v>
      </c>
      <c r="C90" s="4" t="str">
        <f>IFERROR(__xludf.DUMMYFUNCTION("""COMPUTED_VALUE"""),"Sự chuyển biến trong đầu tư giáo dục cho con cái của phụ huynh Hàn Quốc (Trường hợp gia đình Hàn Quốc cư trú tại Việt Nam)")</f>
        <v>Sự chuyển biến trong đầu tư giáo dục cho con cái của phụ huynh Hàn Quốc (Trường hợp gia đình Hàn Quốc cư trú tại Việt Nam)</v>
      </c>
      <c r="D90" s="4" t="str">
        <f>IFERROR(__xludf.DUMMYFUNCTION("""COMPUTED_VALUE"""),"Nguyễn Đặng Thanh Thanh; Mai Đăng Khải")</f>
        <v>Nguyễn Đặng Thanh Thanh; Mai Đăng Khải</v>
      </c>
      <c r="E90" s="4" t="str">
        <f>IFERROR(__xludf.DUMMYFUNCTION("""COMPUTED_VALUE"""),"Trường Đại học Khoa học xã hội và Nhân văn,")</f>
        <v>Trường Đại học Khoa học xã hội và Nhân văn,</v>
      </c>
      <c r="F90" s="4" t="str">
        <f>IFERROR(__xludf.DUMMYFUNCTION("""COMPUTED_VALUE"""),"KHGD2026-090.png")</f>
        <v>KHGD2026-090.png</v>
      </c>
    </row>
    <row r="91">
      <c r="A91" s="4" t="str">
        <f>IFERROR(__xludf.DUMMYFUNCTION("""COMPUTED_VALUE"""),"KHGD2026-091")</f>
        <v>KHGD2026-091</v>
      </c>
      <c r="B91" s="4" t="str">
        <f>IFERROR(__xludf.DUMMYFUNCTION("""COMPUTED_VALUE"""),"Khoa học giáo dục")</f>
        <v>Khoa học giáo dục</v>
      </c>
      <c r="C91" s="4" t="str">
        <f>IFERROR(__xludf.DUMMYFUNCTION("""COMPUTED_VALUE"""),"English majors’ perceptions of ethics and information verification in AI - assisted academic writing at tertiary level")</f>
        <v>English majors’ perceptions of ethics and information verification in AI - assisted academic writing at tertiary level</v>
      </c>
      <c r="D91" s="4" t="str">
        <f>IFERROR(__xludf.DUMMYFUNCTION("""COMPUTED_VALUE"""),"Nguyễn Trần Mai Quyên; Nguyễn Thị Thanh Bình; Nguyễn Thị Anh Thư; Hồ Thị Mỹ Kim; Lưu Thị Minh Tâm")</f>
        <v>Nguyễn Trần Mai Quyên; Nguyễn Thị Thanh Bình; Nguyễn Thị Anh Thư; Hồ Thị Mỹ Kim; Lưu Thị Minh Tâm</v>
      </c>
      <c r="E91" s="4" t="str">
        <f>IFERROR(__xludf.DUMMYFUNCTION("""COMPUTED_VALUE"""),"Trường Đại học Công Thương TP. Hồ Chí Minh")</f>
        <v>Trường Đại học Công Thương TP. Hồ Chí Minh</v>
      </c>
      <c r="F91" s="4" t="str">
        <f>IFERROR(__xludf.DUMMYFUNCTION("""COMPUTED_VALUE"""),"KHGD2026-091.png")</f>
        <v>KHGD2026-091.png</v>
      </c>
    </row>
    <row r="92">
      <c r="A92" s="4" t="str">
        <f>IFERROR(__xludf.DUMMYFUNCTION("""COMPUTED_VALUE"""),"KHGD2026-092")</f>
        <v>KHGD2026-092</v>
      </c>
      <c r="B92" s="4" t="str">
        <f>IFERROR(__xludf.DUMMYFUNCTION("""COMPUTED_VALUE"""),"Khoa học giáo dục")</f>
        <v>Khoa học giáo dục</v>
      </c>
      <c r="C92" s="4" t="str">
        <f>IFERROR(__xludf.DUMMYFUNCTION("""COMPUTED_VALUE"""),"THIẾT KẾ TRÒ CHƠI ĐIỆN TỬ NHẰM GIÚP TRẺ MẪU GIÁO 5–6 TUỔI LÀM QUEN VỚI CÁC NÉT CHỮ VIẾT TIẾNG VIỆT")</f>
        <v>THIẾT KẾ TRÒ CHƠI ĐIỆN TỬ NHẰM GIÚP TRẺ MẪU GIÁO 5–6 TUỔI LÀM QUEN VỚI CÁC NÉT CHỮ VIẾT TIẾNG VIỆT</v>
      </c>
      <c r="D92" s="4" t="str">
        <f>IFERROR(__xludf.DUMMYFUNCTION("""COMPUTED_VALUE"""),"Ngô Thị Như Thùy; Trần Lý Kiều Thơ; Nguyễn Minh Phúc; Nguyễn Văn Thường; Ngô Tuấn Hưng")</f>
        <v>Ngô Thị Như Thùy; Trần Lý Kiều Thơ; Nguyễn Minh Phúc; Nguyễn Văn Thường; Ngô Tuấn Hưng</v>
      </c>
      <c r="E92" s="4" t="str">
        <f>IFERROR(__xludf.DUMMYFUNCTION("""COMPUTED_VALUE"""),"Trường Đại học Sài Gòn")</f>
        <v>Trường Đại học Sài Gòn</v>
      </c>
      <c r="F92" s="4" t="str">
        <f>IFERROR(__xludf.DUMMYFUNCTION("""COMPUTED_VALUE"""),"KHGD2026-092.png")</f>
        <v>KHGD2026-092.png</v>
      </c>
    </row>
    <row r="93">
      <c r="A93" s="4" t="str">
        <f>IFERROR(__xludf.DUMMYFUNCTION("""COMPUTED_VALUE"""),"KHGD2026-093")</f>
        <v>KHGD2026-093</v>
      </c>
      <c r="B93" s="4" t="str">
        <f>IFERROR(__xludf.DUMMYFUNCTION("""COMPUTED_VALUE"""),"Khoa học giáo dục")</f>
        <v>Khoa học giáo dục</v>
      </c>
      <c r="C93" s="4" t="str">
        <f>IFERROR(__xludf.DUMMYFUNCTION("""COMPUTED_VALUE"""),"Ảnh hưởng của hình - âm - nghĩa trong quá trình ghi nhớ chữ Hán của sinh viên năm nhất ngành Ngôn ngữ Trung Quốc")</f>
        <v>Ảnh hưởng của hình - âm - nghĩa trong quá trình ghi nhớ chữ Hán của sinh viên năm nhất ngành Ngôn ngữ Trung Quốc</v>
      </c>
      <c r="D93" s="4" t="str">
        <f>IFERROR(__xludf.DUMMYFUNCTION("""COMPUTED_VALUE"""),"Võ Hoàng Hải Đăng")</f>
        <v>Võ Hoàng Hải Đăng</v>
      </c>
      <c r="E93" s="4" t="str">
        <f>IFERROR(__xludf.DUMMYFUNCTION("""COMPUTED_VALUE"""),"Trường Đại học Công Thương TP. Hồ Chí Minh")</f>
        <v>Trường Đại học Công Thương TP. Hồ Chí Minh</v>
      </c>
      <c r="F93" s="4" t="str">
        <f>IFERROR(__xludf.DUMMYFUNCTION("""COMPUTED_VALUE"""),"KHGD2026-093.png")</f>
        <v>KHGD2026-093.png</v>
      </c>
    </row>
    <row r="94">
      <c r="A94" s="4" t="str">
        <f>IFERROR(__xludf.DUMMYFUNCTION("""COMPUTED_VALUE"""),"KHGD2026-094")</f>
        <v>KHGD2026-094</v>
      </c>
      <c r="B94" s="4" t="str">
        <f>IFERROR(__xludf.DUMMYFUNCTION("""COMPUTED_VALUE"""),"Khoa học giáo dục")</f>
        <v>Khoa học giáo dục</v>
      </c>
      <c r="C94" s="4" t="str">
        <f>IFERROR(__xludf.DUMMYFUNCTION("""COMPUTED_VALUE"""),"THIẾT KẾ TRÒ CHƠI NHẰM PHÁT TRIỂN KHẢ NĂNG ÂM NHẠC CHO TRẺ MẪU GIÁO 5-6 TUỔI")</f>
        <v>THIẾT KẾ TRÒ CHƠI NHẰM PHÁT TRIỂN KHẢ NĂNG ÂM NHẠC CHO TRẺ MẪU GIÁO 5-6 TUỔI</v>
      </c>
      <c r="D94" s="4" t="str">
        <f>IFERROR(__xludf.DUMMYFUNCTION("""COMPUTED_VALUE"""),"Trần Phúc Mỹ Linh; Trần Thị Hòa Minh; Đỗ Thị Thanh Hiền; Nguyễn Thị Thùy Linh")</f>
        <v>Trần Phúc Mỹ Linh; Trần Thị Hòa Minh; Đỗ Thị Thanh Hiền; Nguyễn Thị Thùy Linh</v>
      </c>
      <c r="E94" s="4" t="str">
        <f>IFERROR(__xludf.DUMMYFUNCTION("""COMPUTED_VALUE"""),"Trường Đại học Sài Gòn")</f>
        <v>Trường Đại học Sài Gòn</v>
      </c>
      <c r="F94" s="4" t="str">
        <f>IFERROR(__xludf.DUMMYFUNCTION("""COMPUTED_VALUE"""),"KHGD2026-094.png")</f>
        <v>KHGD2026-094.png</v>
      </c>
    </row>
    <row r="95">
      <c r="A95" s="4" t="str">
        <f>IFERROR(__xludf.DUMMYFUNCTION("""COMPUTED_VALUE"""),"KHGD2026-095")</f>
        <v>KHGD2026-095</v>
      </c>
      <c r="B95" s="4" t="str">
        <f>IFERROR(__xludf.DUMMYFUNCTION("""COMPUTED_VALUE"""),"Khoa học giáo dục")</f>
        <v>Khoa học giáo dục</v>
      </c>
      <c r="C95" s="4" t="str">
        <f>IFERROR(__xludf.DUMMYFUNCTION("""COMPUTED_VALUE"""),"Phân tích lỗi sai thường gặp của sinh viên K14 ngành Ngôn ngữ Trung Quốc khi học môn Biên dịch thương mại")</f>
        <v>Phân tích lỗi sai thường gặp của sinh viên K14 ngành Ngôn ngữ Trung Quốc khi học môn Biên dịch thương mại</v>
      </c>
      <c r="D95" s="4" t="str">
        <f>IFERROR(__xludf.DUMMYFUNCTION("""COMPUTED_VALUE"""),"Phạm Thanh Yến; Dương Thị Diệu; Đồng Thị Thu Hiền")</f>
        <v>Phạm Thanh Yến; Dương Thị Diệu; Đồng Thị Thu Hiền</v>
      </c>
      <c r="E95" s="4" t="str">
        <f>IFERROR(__xludf.DUMMYFUNCTION("""COMPUTED_VALUE"""),"Trường Đại học Công Thương TP. Hồ Chí Minh")</f>
        <v>Trường Đại học Công Thương TP. Hồ Chí Minh</v>
      </c>
      <c r="F95" s="4" t="str">
        <f>IFERROR(__xludf.DUMMYFUNCTION("""COMPUTED_VALUE"""),"KHGD2026-095.png")</f>
        <v>KHGD2026-095.png</v>
      </c>
    </row>
    <row r="96">
      <c r="A96" s="4" t="str">
        <f>IFERROR(__xludf.DUMMYFUNCTION("""COMPUTED_VALUE"""),"KHGD2026-096")</f>
        <v>KHGD2026-096</v>
      </c>
      <c r="B96" s="4" t="str">
        <f>IFERROR(__xludf.DUMMYFUNCTION("""COMPUTED_VALUE"""),"Khoa học giáo dục")</f>
        <v>Khoa học giáo dục</v>
      </c>
      <c r="C96" s="4" t="str">
        <f>IFERROR(__xludf.DUMMYFUNCTION("""COMPUTED_VALUE"""),"The use of short stories to improve English essay writing among freshman English majors at a Vietnamese public university")</f>
        <v>The use of short stories to improve English essay writing among freshman English majors at a Vietnamese public university</v>
      </c>
      <c r="D96" s="4" t="str">
        <f>IFERROR(__xludf.DUMMYFUNCTION("""COMPUTED_VALUE"""),"Nguyễn Hà Huy Thắng")</f>
        <v>Nguyễn Hà Huy Thắng</v>
      </c>
      <c r="E96" s="4" t="str">
        <f>IFERROR(__xludf.DUMMYFUNCTION("""COMPUTED_VALUE"""),"Trường Đại học Công Thương TP. Hồ Chí Minh")</f>
        <v>Trường Đại học Công Thương TP. Hồ Chí Minh</v>
      </c>
      <c r="F96" s="4" t="str">
        <f>IFERROR(__xludf.DUMMYFUNCTION("""COMPUTED_VALUE"""),"KHGD2026-096.png")</f>
        <v>KHGD2026-096.png</v>
      </c>
    </row>
    <row r="97">
      <c r="A97" s="4" t="str">
        <f>IFERROR(__xludf.DUMMYFUNCTION("""COMPUTED_VALUE"""),"KHGD2026-097")</f>
        <v>KHGD2026-097</v>
      </c>
      <c r="B97" s="4" t="str">
        <f>IFERROR(__xludf.DUMMYFUNCTION("""COMPUTED_VALUE"""),"Khoa học giáo dục")</f>
        <v>Khoa học giáo dục</v>
      </c>
      <c r="C97" s="4" t="str">
        <f>IFERROR(__xludf.DUMMYFUNCTION("""COMPUTED_VALUE"""),"Vai trò của sinh viên Thành phố Hồ Chí Minh trong việc thực hiện trong phong trào ""Bình dân học vụ số""")</f>
        <v>Vai trò của sinh viên Thành phố Hồ Chí Minh trong việc thực hiện trong phong trào "Bình dân học vụ số"</v>
      </c>
      <c r="D97" s="4" t="str">
        <f>IFERROR(__xludf.DUMMYFUNCTION("""COMPUTED_VALUE"""),"Quách Hải Đăng")</f>
        <v>Quách Hải Đăng</v>
      </c>
      <c r="E97" s="4" t="str">
        <f>IFERROR(__xludf.DUMMYFUNCTION("""COMPUTED_VALUE"""),"Trường Đại học Khoa học xã hội và Nhân văn,")</f>
        <v>Trường Đại học Khoa học xã hội và Nhân văn,</v>
      </c>
      <c r="F97" s="4" t="str">
        <f>IFERROR(__xludf.DUMMYFUNCTION("""COMPUTED_VALUE"""),"KHGD2026-097.png")</f>
        <v>KHGD2026-097.png</v>
      </c>
    </row>
    <row r="98">
      <c r="A98" s="4" t="str">
        <f>IFERROR(__xludf.DUMMYFUNCTION("""COMPUTED_VALUE"""),"KHGD2026-098")</f>
        <v>KHGD2026-098</v>
      </c>
      <c r="B98" s="4" t="str">
        <f>IFERROR(__xludf.DUMMYFUNCTION("""COMPUTED_VALUE"""),"Khoa học giáo dục")</f>
        <v>Khoa học giáo dục</v>
      </c>
      <c r="C98" s="4" t="str">
        <f>IFERROR(__xludf.DUMMYFUNCTION("""COMPUTED_VALUE"""),"Đọc mở rộng có hướng dẫn: Nghiên cứu trường hợp ở một trường đại học tại Việt Nam (Scaffolded Extensive Reading: A case study at a university in Vietnam)")</f>
        <v>Đọc mở rộng có hướng dẫn: Nghiên cứu trường hợp ở một trường đại học tại Việt Nam (Scaffolded Extensive Reading: A case study at a university in Vietnam)</v>
      </c>
      <c r="D98" s="4" t="str">
        <f>IFERROR(__xludf.DUMMYFUNCTION("""COMPUTED_VALUE"""),"Võ Thái Bình; Nguyễn Thị Vân Anh; Nguyễn Thị Thanh Bình; Bùi Bảo Châu; Nguyễn Trần Đăng Khôi")</f>
        <v>Võ Thái Bình; Nguyễn Thị Vân Anh; Nguyễn Thị Thanh Bình; Bùi Bảo Châu; Nguyễn Trần Đăng Khôi</v>
      </c>
      <c r="E98" s="4" t="str">
        <f>IFERROR(__xludf.DUMMYFUNCTION("""COMPUTED_VALUE"""),"Trường Đại học Khoa học xã hội và Nhân văn,")</f>
        <v>Trường Đại học Khoa học xã hội và Nhân văn,</v>
      </c>
      <c r="F98" s="4" t="str">
        <f>IFERROR(__xludf.DUMMYFUNCTION("""COMPUTED_VALUE"""),"KHGD2026-098.png")</f>
        <v>KHGD2026-098.png</v>
      </c>
    </row>
    <row r="99">
      <c r="A99" s="4" t="str">
        <f>IFERROR(__xludf.DUMMYFUNCTION("""COMPUTED_VALUE"""),"KHGD2026-099")</f>
        <v>KHGD2026-099</v>
      </c>
      <c r="B99" s="4" t="str">
        <f>IFERROR(__xludf.DUMMYFUNCTION("""COMPUTED_VALUE"""),"Khoa học giáo dục")</f>
        <v>Khoa học giáo dục</v>
      </c>
      <c r="C99" s="4" t="str">
        <f>IFERROR(__xludf.DUMMYFUNCTION("""COMPUTED_VALUE"""),"Việc cải thiện kỹ năng viết của sinh viên ngành Ngôn ngữ Anh: Nhận xét từ bạn học và nhận xét từ Grammarly (English majors's writing improvement: Peer feedback vs. Grammarly feedback)")</f>
        <v>Việc cải thiện kỹ năng viết của sinh viên ngành Ngôn ngữ Anh: Nhận xét từ bạn học và nhận xét từ Grammarly (English majors's writing improvement: Peer feedback vs. Grammarly feedback)</v>
      </c>
      <c r="D99" s="4" t="str">
        <f>IFERROR(__xludf.DUMMYFUNCTION("""COMPUTED_VALUE"""),"Võ Thế Thanh Giang; Allawi; Nguyễn Trần Phương Anh; Phạm Trần Linh Đan; Hoàng Hà Giang")</f>
        <v>Võ Thế Thanh Giang; Allawi; Nguyễn Trần Phương Anh; Phạm Trần Linh Đan; Hoàng Hà Giang</v>
      </c>
      <c r="E99" s="4" t="str">
        <f>IFERROR(__xludf.DUMMYFUNCTION("""COMPUTED_VALUE"""),"Trường Đại học Khoa học xã hội và Nhân văn, ĐHQG-HCM")</f>
        <v>Trường Đại học Khoa học xã hội và Nhân văn, ĐHQG-HCM</v>
      </c>
      <c r="F99" s="4" t="str">
        <f>IFERROR(__xludf.DUMMYFUNCTION("""COMPUTED_VALUE"""),"KHGD2026-099.png")</f>
        <v>KHGD2026-099.png</v>
      </c>
    </row>
    <row r="100">
      <c r="A100" s="4" t="str">
        <f>IFERROR(__xludf.DUMMYFUNCTION("""COMPUTED_VALUE"""),"KHGD2026-100")</f>
        <v>KHGD2026-100</v>
      </c>
      <c r="B100" s="4" t="str">
        <f>IFERROR(__xludf.DUMMYFUNCTION("""COMPUTED_VALUE"""),"Khoa học giáo dục")</f>
        <v>Khoa học giáo dục</v>
      </c>
      <c r="C100" s="4" t="str">
        <f>IFERROR(__xludf.DUMMYFUNCTION("""COMPUTED_VALUE"""),"THIẾT KẾ VÀ TỔ CHỨC DẠY HỌC CHỦ ĐỀ “CHUYỂN HÓA CHẤT BÉO THÀNH XÀ PHÒNG” THEO ĐỊNH HƯỚNG E-STEM")</f>
        <v>THIẾT KẾ VÀ TỔ CHỨC DẠY HỌC CHỦ ĐỀ “CHUYỂN HÓA CHẤT BÉO THÀNH XÀ PHÒNG” THEO ĐỊNH HƯỚNG E-STEM</v>
      </c>
      <c r="D100" s="4" t="str">
        <f>IFERROR(__xludf.DUMMYFUNCTION("""COMPUTED_VALUE"""),"Vũ Duy Trọng; Ngô Thị Hồng Hoa; Phạm Thị Tình")</f>
        <v>Vũ Duy Trọng; Ngô Thị Hồng Hoa; Phạm Thị Tình</v>
      </c>
      <c r="E100" s="4" t="str">
        <f>IFERROR(__xludf.DUMMYFUNCTION("""COMPUTED_VALUE"""),"Trường Đại học Sài Gòn")</f>
        <v>Trường Đại học Sài Gòn</v>
      </c>
      <c r="F100" s="4" t="str">
        <f>IFERROR(__xludf.DUMMYFUNCTION("""COMPUTED_VALUE"""),"KHGD2026-100.png")</f>
        <v>KHGD2026-100.png</v>
      </c>
    </row>
    <row r="101">
      <c r="A101" s="4" t="str">
        <f>IFERROR(__xludf.DUMMYFUNCTION("""COMPUTED_VALUE"""),"KHGD2026-101")</f>
        <v>KHGD2026-101</v>
      </c>
      <c r="B101" s="4" t="str">
        <f>IFERROR(__xludf.DUMMYFUNCTION("""COMPUTED_VALUE"""),"Khoa học giáo dục")</f>
        <v>Khoa học giáo dục</v>
      </c>
      <c r="C101" s="4" t="str">
        <f>IFERROR(__xludf.DUMMYFUNCTION("""COMPUTED_VALUE"""),"THIẾT KẾ VÀ TỔ CHỨC DẠY HỌC CHỦ ĐỀ “TÁCH TINH DẦU TỪ CÁC NGUỒN THẢO MỘC TỰ NHIÊN” THEO ĐỊNH HƯỚNG E-STEM")</f>
        <v>THIẾT KẾ VÀ TỔ CHỨC DẠY HỌC CHỦ ĐỀ “TÁCH TINH DẦU TỪ CÁC NGUỒN THẢO MỘC TỰ NHIÊN” THEO ĐỊNH HƯỚNG E-STEM</v>
      </c>
      <c r="D101" s="4" t="str">
        <f>IFERROR(__xludf.DUMMYFUNCTION("""COMPUTED_VALUE"""),"Nguyễn Mai Đăng Quyên; Tô Bích Ni; Hoàng Quốc Trung")</f>
        <v>Nguyễn Mai Đăng Quyên; Tô Bích Ni; Hoàng Quốc Trung</v>
      </c>
      <c r="E101" s="4" t="str">
        <f>IFERROR(__xludf.DUMMYFUNCTION("""COMPUTED_VALUE"""),"Trường Đại học Sài Gòn")</f>
        <v>Trường Đại học Sài Gòn</v>
      </c>
      <c r="F101" s="4" t="str">
        <f>IFERROR(__xludf.DUMMYFUNCTION("""COMPUTED_VALUE"""),"KHGD2026-101.png")</f>
        <v>KHGD2026-101.png</v>
      </c>
    </row>
    <row r="102">
      <c r="A102" s="4" t="str">
        <f>IFERROR(__xludf.DUMMYFUNCTION("""COMPUTED_VALUE"""),"KHGD2026-102")</f>
        <v>KHGD2026-102</v>
      </c>
      <c r="B102" s="4" t="str">
        <f>IFERROR(__xludf.DUMMYFUNCTION("""COMPUTED_VALUE"""),"Khoa học giáo dục")</f>
        <v>Khoa học giáo dục</v>
      </c>
      <c r="C102" s="4" t="str">
        <f>IFERROR(__xludf.DUMMYFUNCTION("""COMPUTED_VALUE"""),"DẠY HỌC KHÁM PHÁ CÓ HƯỚNG DẪN ĐỊNH LI CÔSIN VỚI SỰ HỖ TRỢ CỦA CHATGPT Ở LỚP 10")</f>
        <v>DẠY HỌC KHÁM PHÁ CÓ HƯỚNG DẪN ĐỊNH LI CÔSIN VỚI SỰ HỖ TRỢ CỦA CHATGPT Ở LỚP 10</v>
      </c>
      <c r="D102" s="4" t="str">
        <f>IFERROR(__xludf.DUMMYFUNCTION("""COMPUTED_VALUE"""),"Trần Hoàng Mỹ")</f>
        <v>Trần Hoàng Mỹ</v>
      </c>
      <c r="E102" s="4" t="str">
        <f>IFERROR(__xludf.DUMMYFUNCTION("""COMPUTED_VALUE"""),"Trường Đại học Sài Gòn")</f>
        <v>Trường Đại học Sài Gòn</v>
      </c>
      <c r="F102" s="4" t="str">
        <f>IFERROR(__xludf.DUMMYFUNCTION("""COMPUTED_VALUE"""),"KHGD2026-102.png")</f>
        <v>KHGD2026-102.png</v>
      </c>
    </row>
    <row r="103">
      <c r="A103" s="4" t="str">
        <f>IFERROR(__xludf.DUMMYFUNCTION("""COMPUTED_VALUE"""),"KHGD2026-103")</f>
        <v>KHGD2026-103</v>
      </c>
      <c r="B103" s="4" t="str">
        <f>IFERROR(__xludf.DUMMYFUNCTION("""COMPUTED_VALUE"""),"Khoa học giáo dục")</f>
        <v>Khoa học giáo dục</v>
      </c>
      <c r="C103" s="4" t="str">
        <f>IFERROR(__xludf.DUMMYFUNCTION("""COMPUTED_VALUE"""),"Giáo dục kỹ năng vận động tinh cho trẻ mẫu giáo 5 - 6 tuổi thông qua hoạt động giáo dục STEAM")</f>
        <v>Giáo dục kỹ năng vận động tinh cho trẻ mẫu giáo 5 - 6 tuổi thông qua hoạt động giáo dục STEAM</v>
      </c>
      <c r="D103" s="4" t="str">
        <f>IFERROR(__xludf.DUMMYFUNCTION("""COMPUTED_VALUE"""),"Nguyễn Thị Linh; Lê Thị Thuỳ Linh; Vũ Hải Hà; Nguyễn Thu Phương; Dương Thị Lan Anh")</f>
        <v>Nguyễn Thị Linh; Lê Thị Thuỳ Linh; Vũ Hải Hà; Nguyễn Thu Phương; Dương Thị Lan Anh</v>
      </c>
      <c r="E103" s="4" t="str">
        <f>IFERROR(__xludf.DUMMYFUNCTION("""COMPUTED_VALUE"""),"Trường Đại học Thủ đô Hà Nội")</f>
        <v>Trường Đại học Thủ đô Hà Nội</v>
      </c>
      <c r="F103" s="4" t="str">
        <f>IFERROR(__xludf.DUMMYFUNCTION("""COMPUTED_VALUE"""),"KHGD2026-103.png")</f>
        <v>KHGD2026-103.png</v>
      </c>
    </row>
    <row r="104">
      <c r="A104" s="4" t="str">
        <f>IFERROR(__xludf.DUMMYFUNCTION("""COMPUTED_VALUE"""),"KHGD2026-104")</f>
        <v>KHGD2026-104</v>
      </c>
      <c r="B104" s="4" t="str">
        <f>IFERROR(__xludf.DUMMYFUNCTION("""COMPUTED_VALUE"""),"Khoa học giáo dục")</f>
        <v>Khoa học giáo dục</v>
      </c>
      <c r="C104" s="4" t="str">
        <f>IFERROR(__xludf.DUMMYFUNCTION("""COMPUTED_VALUE"""),"Nghiên cứu ứng dụng Chatbot - Trợ lý ảo AI trong đào tạo Y học cổ truyền")</f>
        <v>Nghiên cứu ứng dụng Chatbot - Trợ lý ảo AI trong đào tạo Y học cổ truyền</v>
      </c>
      <c r="D104" s="4" t="str">
        <f>IFERROR(__xludf.DUMMYFUNCTION("""COMPUTED_VALUE"""),"Tạ Bích Hồng; Phạm Thị Quỳnh Trang; Đỗ Văn Khoa; Lê Văn Minh; Vũ Tiến Dũng")</f>
        <v>Tạ Bích Hồng; Phạm Thị Quỳnh Trang; Đỗ Văn Khoa; Lê Văn Minh; Vũ Tiến Dũng</v>
      </c>
      <c r="E104" s="4" t="str">
        <f>IFERROR(__xludf.DUMMYFUNCTION("""COMPUTED_VALUE"""),"Trường Đại học Victoria Hòa Bình")</f>
        <v>Trường Đại học Victoria Hòa Bình</v>
      </c>
      <c r="F104" s="4" t="str">
        <f>IFERROR(__xludf.DUMMYFUNCTION("""COMPUTED_VALUE"""),"KHGD2026-104.png")</f>
        <v>KHGD2026-104.png</v>
      </c>
    </row>
    <row r="105">
      <c r="A105" s="4" t="str">
        <f>IFERROR(__xludf.DUMMYFUNCTION("""COMPUTED_VALUE"""),"KHGD2026-105")</f>
        <v>KHGD2026-105</v>
      </c>
      <c r="B105" s="4" t="str">
        <f>IFERROR(__xludf.DUMMYFUNCTION("""COMPUTED_VALUE"""),"Khoa học giáo dục")</f>
        <v>Khoa học giáo dục</v>
      </c>
      <c r="C105" s="4" t="str">
        <f>IFERROR(__xludf.DUMMYFUNCTION("""COMPUTED_VALUE"""),"Tác động của việc điều chỉnh trần học phí theo cơ chế tự chủ đại học (Nghị định 97/2023/NĐ-CP) đến áp lực chi phí và an sinh của sinh viên: Phân tích chính sách và mô hình mô phỏng tại Thành phố Hà Nội")</f>
        <v>Tác động của việc điều chỉnh trần học phí theo cơ chế tự chủ đại học (Nghị định 97/2023/NĐ-CP) đến áp lực chi phí và an sinh của sinh viên: Phân tích chính sách và mô hình mô phỏng tại Thành phố Hà Nội</v>
      </c>
      <c r="D105" s="4" t="str">
        <f>IFERROR(__xludf.DUMMYFUNCTION("""COMPUTED_VALUE"""),"Đỗ Viết Giang; Võ Thành Đạt; Đặng Thị Minh Anh; Nguyễn Thị Quỳnh Trang; Phạm Việt Bình")</f>
        <v>Đỗ Viết Giang; Võ Thành Đạt; Đặng Thị Minh Anh; Nguyễn Thị Quỳnh Trang; Phạm Việt Bình</v>
      </c>
      <c r="E105" s="4" t="str">
        <f>IFERROR(__xludf.DUMMYFUNCTION("""COMPUTED_VALUE"""),"Trường Đại học Ngoại thương")</f>
        <v>Trường Đại học Ngoại thương</v>
      </c>
      <c r="F105" s="4" t="str">
        <f>IFERROR(__xludf.DUMMYFUNCTION("""COMPUTED_VALUE"""),"KHGD2026-105.png")</f>
        <v>KHGD2026-105.png</v>
      </c>
    </row>
    <row r="106">
      <c r="A106" s="4" t="str">
        <f>IFERROR(__xludf.DUMMYFUNCTION("""COMPUTED_VALUE"""),"KHGD2026-106")</f>
        <v>KHGD2026-106</v>
      </c>
      <c r="B106" s="4" t="str">
        <f>IFERROR(__xludf.DUMMYFUNCTION("""COMPUTED_VALUE"""),"Khoa học giáo dục")</f>
        <v>Khoa học giáo dục</v>
      </c>
      <c r="C106" s="4" t="str">
        <f>IFERROR(__xludf.DUMMYFUNCTION("""COMPUTED_VALUE"""),"ỨNG DỤNG GEOGEBRA VÀ TRÍ TUỆ NHÂN TẠO TRONG XÂY DỰNG VIDEO BÀI GIẢNG HÌNH HỌC TRỰC QUAN CHO HỌC SINH BỊ SUY GIẢM THỊ LỰC")</f>
        <v>ỨNG DỤNG GEOGEBRA VÀ TRÍ TUỆ NHÂN TẠO TRONG XÂY DỰNG VIDEO BÀI GIẢNG HÌNH HỌC TRỰC QUAN CHO HỌC SINH BỊ SUY GIẢM THỊ LỰC</v>
      </c>
      <c r="D106" s="4" t="str">
        <f>IFERROR(__xludf.DUMMYFUNCTION("""COMPUTED_VALUE"""),"Dương Thị Hải Yến; Phan Ngọc Minh Hằng; Nguyễn Lâm Thảo Ly; Lê Thành Nhân; Trịnh Tuấn Hưng")</f>
        <v>Dương Thị Hải Yến; Phan Ngọc Minh Hằng; Nguyễn Lâm Thảo Ly; Lê Thành Nhân; Trịnh Tuấn Hưng</v>
      </c>
      <c r="E106" s="4" t="str">
        <f>IFERROR(__xludf.DUMMYFUNCTION("""COMPUTED_VALUE"""),"Trường Đại học Khoa học tự nhiên, ĐHQG-HCM")</f>
        <v>Trường Đại học Khoa học tự nhiên, ĐHQG-HCM</v>
      </c>
      <c r="F106" s="4" t="str">
        <f>IFERROR(__xludf.DUMMYFUNCTION("""COMPUTED_VALUE"""),"KHGD2026-106.png")</f>
        <v>KHGD2026-106.png</v>
      </c>
    </row>
    <row r="107">
      <c r="A107" s="4" t="str">
        <f>IFERROR(__xludf.DUMMYFUNCTION("""COMPUTED_VALUE"""),"KHGD2026-107")</f>
        <v>KHGD2026-107</v>
      </c>
      <c r="B107" s="4" t="str">
        <f>IFERROR(__xludf.DUMMYFUNCTION("""COMPUTED_VALUE"""),"Khoa học giáo dục")</f>
        <v>Khoa học giáo dục</v>
      </c>
      <c r="C107" s="4" t="str">
        <f>IFERROR(__xludf.DUMMYFUNCTION("""COMPUTED_VALUE"""),"Ứng dụng Deepseek như công cụ hỗ trợ phát triển kỹ năng Nói cho sinh viên chuyên ngành Ngôn ngữ Anh tại trường Đại học Thủ đô Hà Nội.")</f>
        <v>Ứng dụng Deepseek như công cụ hỗ trợ phát triển kỹ năng Nói cho sinh viên chuyên ngành Ngôn ngữ Anh tại trường Đại học Thủ đô Hà Nội.</v>
      </c>
      <c r="D107" s="4" t="str">
        <f>IFERROR(__xludf.DUMMYFUNCTION("""COMPUTED_VALUE"""),"Đỗ Thu Uyên; Đinh Quốc Huy; Bùi Thị Xuân Mai; Nguyễn Linh Chi; Nguyễn Hoàng Yến Nhi")</f>
        <v>Đỗ Thu Uyên; Đinh Quốc Huy; Bùi Thị Xuân Mai; Nguyễn Linh Chi; Nguyễn Hoàng Yến Nhi</v>
      </c>
      <c r="E107" s="4" t="str">
        <f>IFERROR(__xludf.DUMMYFUNCTION("""COMPUTED_VALUE"""),"Trường Đại học Thủ đô Hà Nội")</f>
        <v>Trường Đại học Thủ đô Hà Nội</v>
      </c>
      <c r="F107" s="4" t="str">
        <f>IFERROR(__xludf.DUMMYFUNCTION("""COMPUTED_VALUE"""),"KHGD2026-107.png")</f>
        <v>KHGD2026-107.png</v>
      </c>
    </row>
    <row r="108">
      <c r="A108" s="4" t="str">
        <f>IFERROR(__xludf.DUMMYFUNCTION("""COMPUTED_VALUE"""),"KHGD2026-108")</f>
        <v>KHGD2026-108</v>
      </c>
      <c r="B108" s="4" t="str">
        <f>IFERROR(__xludf.DUMMYFUNCTION("""COMPUTED_VALUE"""),"Khoa học giáo dục")</f>
        <v>Khoa học giáo dục</v>
      </c>
      <c r="C108" s="4" t="str">
        <f>IFERROR(__xludf.DUMMYFUNCTION("""COMPUTED_VALUE"""),"Thiết kế chatbot tích hợp trò chơi hóa hỗ trợ kỹ năng rèn luyện chính tả cho học sinh lớp 3")</f>
        <v>Thiết kế chatbot tích hợp trò chơi hóa hỗ trợ kỹ năng rèn luyện chính tả cho học sinh lớp 3</v>
      </c>
      <c r="D108" s="4" t="str">
        <f>IFERROR(__xludf.DUMMYFUNCTION("""COMPUTED_VALUE"""),"Hồ Phạm Khánh Duy; Trần Tấn Đạt; Phạm Thị Như Ý; Nguyễn Nhật Thiên; Quách Anh Khôi")</f>
        <v>Hồ Phạm Khánh Duy; Trần Tấn Đạt; Phạm Thị Như Ý; Nguyễn Nhật Thiên; Quách Anh Khôi</v>
      </c>
      <c r="E108" s="4" t="str">
        <f>IFERROR(__xludf.DUMMYFUNCTION("""COMPUTED_VALUE"""),"Trường Đại học Bạc Liêu")</f>
        <v>Trường Đại học Bạc Liêu</v>
      </c>
      <c r="F108" s="4" t="str">
        <f>IFERROR(__xludf.DUMMYFUNCTION("""COMPUTED_VALUE"""),"KHGD2026-108.png")</f>
        <v>KHGD2026-108.png</v>
      </c>
    </row>
    <row r="109">
      <c r="A109" s="4" t="str">
        <f>IFERROR(__xludf.DUMMYFUNCTION("""COMPUTED_VALUE"""),"KHGD2026-109")</f>
        <v>KHGD2026-109</v>
      </c>
      <c r="B109" s="4" t="str">
        <f>IFERROR(__xludf.DUMMYFUNCTION("""COMPUTED_VALUE"""),"Khoa học giáo dục")</f>
        <v>Khoa học giáo dục</v>
      </c>
      <c r="C109" s="4" t="str">
        <f>IFERROR(__xludf.DUMMYFUNCTION("""COMPUTED_VALUE"""),"Nghiên cứu việc học tự định hướng của sinh viên năm nhất với sự hỗ trợ của trí tuệ nhân tạo tạo sinh và trong việc học một số môn chung ở trường đại học.")</f>
        <v>Nghiên cứu việc học tự định hướng của sinh viên năm nhất với sự hỗ trợ của trí tuệ nhân tạo tạo sinh và trong việc học một số môn chung ở trường đại học.</v>
      </c>
      <c r="D109" s="4" t="str">
        <f>IFERROR(__xludf.DUMMYFUNCTION("""COMPUTED_VALUE"""),"Trịnh Diệu An; Nguyễn Thị Trinh")</f>
        <v>Trịnh Diệu An; Nguyễn Thị Trinh</v>
      </c>
      <c r="E109" s="4" t="str">
        <f>IFERROR(__xludf.DUMMYFUNCTION("""COMPUTED_VALUE"""),"Trường Đại học Giáo dục, ĐHQG Hà Nội")</f>
        <v>Trường Đại học Giáo dục, ĐHQG Hà Nội</v>
      </c>
      <c r="F109" s="4" t="str">
        <f>IFERROR(__xludf.DUMMYFUNCTION("""COMPUTED_VALUE"""),"KHGD2026-109.png")</f>
        <v>KHGD2026-109.png</v>
      </c>
    </row>
    <row r="110">
      <c r="A110" s="4" t="str">
        <f>IFERROR(__xludf.DUMMYFUNCTION("""COMPUTED_VALUE"""),"KHGD2026-110")</f>
        <v>KHGD2026-110</v>
      </c>
      <c r="B110" s="4" t="str">
        <f>IFERROR(__xludf.DUMMYFUNCTION("""COMPUTED_VALUE"""),"Khoa học giáo dục")</f>
        <v>Khoa học giáo dục</v>
      </c>
      <c r="C110" s="4" t="str">
        <f>IFERROR(__xludf.DUMMYFUNCTION("""COMPUTED_VALUE"""),"THE FORMATION OF AI TRUST IN HUMAN-IN-THE-LOOP SYSTEMS: QUANTITATIVE MODELING OF VIETNAMESE UNIVERSITY STUDENTS WITH REGIONAL COMPARATIVE EVIDENCE")</f>
        <v>THE FORMATION OF AI TRUST IN HUMAN-IN-THE-LOOP SYSTEMS: QUANTITATIVE MODELING OF VIETNAMESE UNIVERSITY STUDENTS WITH REGIONAL COMPARATIVE EVIDENCE</v>
      </c>
      <c r="D110" s="4" t="str">
        <f>IFERROR(__xludf.DUMMYFUNCTION("""COMPUTED_VALUE"""),"Trần Thị Xuân Mai; Lê Giang Hồng Minh; Nguyễn Châu Thảo Nguyên; Nhâm Bảo Trân; Nguyễn Lê Đức Huy")</f>
        <v>Trần Thị Xuân Mai; Lê Giang Hồng Minh; Nguyễn Châu Thảo Nguyên; Nhâm Bảo Trân; Nguyễn Lê Đức Huy</v>
      </c>
      <c r="E110" s="4" t="str">
        <f>IFERROR(__xludf.DUMMYFUNCTION("""COMPUTED_VALUE"""),"Phân hiệu Trường Đại học Ngoại thương tại TP. Hồ Chí Minh")</f>
        <v>Phân hiệu Trường Đại học Ngoại thương tại TP. Hồ Chí Minh</v>
      </c>
      <c r="F110" s="4" t="str">
        <f>IFERROR(__xludf.DUMMYFUNCTION("""COMPUTED_VALUE"""),"KHGD2026-110.png")</f>
        <v>KHGD2026-110.png</v>
      </c>
    </row>
    <row r="111">
      <c r="A111" s="4" t="str">
        <f>IFERROR(__xludf.DUMMYFUNCTION("""COMPUTED_VALUE"""),"KHGD2026-111")</f>
        <v>KHGD2026-111</v>
      </c>
      <c r="B111" s="4" t="str">
        <f>IFERROR(__xludf.DUMMYFUNCTION("""COMPUTED_VALUE"""),"Khoa học giáo dục")</f>
        <v>Khoa học giáo dục</v>
      </c>
      <c r="C111" s="4" t="str">
        <f>IFERROR(__xludf.DUMMYFUNCTION("""COMPUTED_VALUE"""),"FACTORS AFFECTING ENTREPRENEURIAL INTENTIONS AMONG ECONOMICS STUDENTS AT VIETNAM UNIVERSITIES")</f>
        <v>FACTORS AFFECTING ENTREPRENEURIAL INTENTIONS AMONG ECONOMICS STUDENTS AT VIETNAM UNIVERSITIES</v>
      </c>
      <c r="D111" s="4" t="str">
        <f>IFERROR(__xludf.DUMMYFUNCTION("""COMPUTED_VALUE"""),"Đỗ Tuấn Khôi; Nguyễn Ngọc Trà Giang; Dương Ngọc Uyển Nhi; Nguyễn Nhật Thành; Nguyễn Trí Thành")</f>
        <v>Đỗ Tuấn Khôi; Nguyễn Ngọc Trà Giang; Dương Ngọc Uyển Nhi; Nguyễn Nhật Thành; Nguyễn Trí Thành</v>
      </c>
      <c r="E111" s="4" t="str">
        <f>IFERROR(__xludf.DUMMYFUNCTION("""COMPUTED_VALUE"""),"Phân hiệu Trường Đại học Ngoại thương tại TP. Hồ Chí Minh")</f>
        <v>Phân hiệu Trường Đại học Ngoại thương tại TP. Hồ Chí Minh</v>
      </c>
      <c r="F111" s="4" t="str">
        <f>IFERROR(__xludf.DUMMYFUNCTION("""COMPUTED_VALUE"""),"KHGD2026-111.png")</f>
        <v>KHGD2026-111.png</v>
      </c>
    </row>
    <row r="112">
      <c r="A112" s="4" t="str">
        <f>IFERROR(__xludf.DUMMYFUNCTION("""COMPUTED_VALUE"""),"KHGD2026-112")</f>
        <v>KHGD2026-112</v>
      </c>
      <c r="B112" s="4" t="str">
        <f>IFERROR(__xludf.DUMMYFUNCTION("""COMPUTED_VALUE"""),"Khoa học giáo dục")</f>
        <v>Khoa học giáo dục</v>
      </c>
      <c r="C112" s="4" t="str">
        <f>IFERROR(__xludf.DUMMYFUNCTION("""COMPUTED_VALUE"""),"Nghiên cứu về ảnh hưởng tích cực của “Phương pháp nghe chép chính tả” tới kỹ năng nghe của sinh viên năm nhất khoa Ngôn ngữ và Văn hóa Trung Quốc và đề xuất giải pháp xây dựng kho ngữ liệu.")</f>
        <v>Nghiên cứu về ảnh hưởng tích cực của “Phương pháp nghe chép chính tả” tới kỹ năng nghe của sinh viên năm nhất khoa Ngôn ngữ và Văn hóa Trung Quốc và đề xuất giải pháp xây dựng kho ngữ liệu.</v>
      </c>
      <c r="D112" s="4" t="str">
        <f>IFERROR(__xludf.DUMMYFUNCTION("""COMPUTED_VALUE"""),"Lê Thu Huyền; Đặng Thị Mai Quyên; Đào Thị Minh Trang; Tô Thị Lệ; Nguyễn Thị Uyên")</f>
        <v>Lê Thu Huyền; Đặng Thị Mai Quyên; Đào Thị Minh Trang; Tô Thị Lệ; Nguyễn Thị Uyên</v>
      </c>
      <c r="E112" s="4" t="str">
        <f>IFERROR(__xludf.DUMMYFUNCTION("""COMPUTED_VALUE"""),"Trường Đại học Ngoại ngữ, ĐHQG Hà Nội")</f>
        <v>Trường Đại học Ngoại ngữ, ĐHQG Hà Nội</v>
      </c>
      <c r="F112" s="4" t="str">
        <f>IFERROR(__xludf.DUMMYFUNCTION("""COMPUTED_VALUE"""),"KHGD2026-112.png")</f>
        <v>KHGD2026-112.png</v>
      </c>
    </row>
    <row r="113">
      <c r="A113" s="4" t="str">
        <f>IFERROR(__xludf.DUMMYFUNCTION("""COMPUTED_VALUE"""),"KHGD2026-113")</f>
        <v>KHGD2026-113</v>
      </c>
      <c r="B113" s="4" t="str">
        <f>IFERROR(__xludf.DUMMYFUNCTION("""COMPUTED_VALUE"""),"Khoa học giáo dục")</f>
        <v>Khoa học giáo dục</v>
      </c>
      <c r="C113" s="4" t="str">
        <f>IFERROR(__xludf.DUMMYFUNCTION("""COMPUTED_VALUE"""),"Comparative Logistics Skill Demand across Five Asian Markets and Alignment with Vietnamese University Curricula")</f>
        <v>Comparative Logistics Skill Demand across Five Asian Markets and Alignment with Vietnamese University Curricula</v>
      </c>
      <c r="D113" s="4" t="str">
        <f>IFERROR(__xludf.DUMMYFUNCTION("""COMPUTED_VALUE"""),"Nguyễn Anh Khoa; Vũ Tâm Minh; Lê Thị Khánh Vi")</f>
        <v>Nguyễn Anh Khoa; Vũ Tâm Minh; Lê Thị Khánh Vi</v>
      </c>
      <c r="E113" s="4" t="str">
        <f>IFERROR(__xludf.DUMMYFUNCTION("""COMPUTED_VALUE"""),"Phân hiệu Trường Đại học Ngoại thương tại TP. Hồ Chí Minh")</f>
        <v>Phân hiệu Trường Đại học Ngoại thương tại TP. Hồ Chí Minh</v>
      </c>
      <c r="F113" s="4" t="str">
        <f>IFERROR(__xludf.DUMMYFUNCTION("""COMPUTED_VALUE"""),"KHGD2026-113.png")</f>
        <v>KHGD2026-113.png</v>
      </c>
    </row>
    <row r="114">
      <c r="A114" s="4" t="str">
        <f>IFERROR(__xludf.DUMMYFUNCTION("""COMPUTED_VALUE"""),"KHGD2026-114")</f>
        <v>KHGD2026-114</v>
      </c>
      <c r="B114" s="4" t="str">
        <f>IFERROR(__xludf.DUMMYFUNCTION("""COMPUTED_VALUE"""),"Khoa học giáo dục")</f>
        <v>Khoa học giáo dục</v>
      </c>
      <c r="C114" s="4" t="str">
        <f>IFERROR(__xludf.DUMMYFUNCTION("""COMPUTED_VALUE"""),"Exploring Students’ Perception of AI-Based Summarization Tools in Reading Comprehension: A Mixed-Methods Study in Banking Academy of Vietnam")</f>
        <v>Exploring Students’ Perception of AI-Based Summarization Tools in Reading Comprehension: A Mixed-Methods Study in Banking Academy of Vietnam</v>
      </c>
      <c r="D114" s="4" t="str">
        <f>IFERROR(__xludf.DUMMYFUNCTION("""COMPUTED_VALUE"""),"Trình Minh Diệp; Hà Thục Uyên; Lê Thị Thu Quỳnh; Nguyễn Lan Anh; Đặng Thị Thùy Ninh")</f>
        <v>Trình Minh Diệp; Hà Thục Uyên; Lê Thị Thu Quỳnh; Nguyễn Lan Anh; Đặng Thị Thùy Ninh</v>
      </c>
      <c r="E114" s="4" t="str">
        <f>IFERROR(__xludf.DUMMYFUNCTION("""COMPUTED_VALUE"""),"Học viện Ngân hàng")</f>
        <v>Học viện Ngân hàng</v>
      </c>
      <c r="F114" s="4" t="str">
        <f>IFERROR(__xludf.DUMMYFUNCTION("""COMPUTED_VALUE"""),"KHGD2026-114.png")</f>
        <v>KHGD2026-114.png</v>
      </c>
    </row>
    <row r="115">
      <c r="A115" s="4" t="str">
        <f>IFERROR(__xludf.DUMMYFUNCTION("""COMPUTED_VALUE"""),"KHGD2026-115")</f>
        <v>KHGD2026-115</v>
      </c>
      <c r="B115" s="4" t="str">
        <f>IFERROR(__xludf.DUMMYFUNCTION("""COMPUTED_VALUE"""),"Khoa học giáo dục")</f>
        <v>Khoa học giáo dục</v>
      </c>
      <c r="C115" s="4" t="str">
        <f>IFERROR(__xludf.DUMMYFUNCTION("""COMPUTED_VALUE"""),"Phát huy vai trò của mạng xã hội trong giáo dục chủ nghĩa yêu nước Việt Nam cho sinh viên Học viện Ngân hàng trong kỷ nguyên số")</f>
        <v>Phát huy vai trò của mạng xã hội trong giáo dục chủ nghĩa yêu nước Việt Nam cho sinh viên Học viện Ngân hàng trong kỷ nguyên số</v>
      </c>
      <c r="D115" s="4" t="str">
        <f>IFERROR(__xludf.DUMMYFUNCTION("""COMPUTED_VALUE"""),"Lã Ngọc Kim Khánh; Nguyễn Thị Ngọc Linh; Nguyễn Khánh Linh; Nguyễn Phạm Hoài Vi")</f>
        <v>Lã Ngọc Kim Khánh; Nguyễn Thị Ngọc Linh; Nguyễn Khánh Linh; Nguyễn Phạm Hoài Vi</v>
      </c>
      <c r="E115" s="4" t="str">
        <f>IFERROR(__xludf.DUMMYFUNCTION("""COMPUTED_VALUE"""),"Học viện Ngân hàng")</f>
        <v>Học viện Ngân hàng</v>
      </c>
      <c r="F115" s="4" t="str">
        <f>IFERROR(__xludf.DUMMYFUNCTION("""COMPUTED_VALUE"""),"KHGD2026-115.png")</f>
        <v>KHGD2026-115.png</v>
      </c>
    </row>
    <row r="116">
      <c r="A116" s="4" t="str">
        <f>IFERROR(__xludf.DUMMYFUNCTION("""COMPUTED_VALUE"""),"KHGD2026-116")</f>
        <v>KHGD2026-116</v>
      </c>
      <c r="B116" s="4" t="str">
        <f>IFERROR(__xludf.DUMMYFUNCTION("""COMPUTED_VALUE"""),"Khoa học giáo dục")</f>
        <v>Khoa học giáo dục</v>
      </c>
      <c r="C116" s="4" t="str">
        <f>IFERROR(__xludf.DUMMYFUNCTION("""COMPUTED_VALUE"""),"ARTIFICIAL INTELLIGENCE IN EDUCATION: A BIDRECTIONAL IMPACT ON STUDENTS’ SELF-DIRECTED LEARNING CAPACITY")</f>
        <v>ARTIFICIAL INTELLIGENCE IN EDUCATION: A BIDRECTIONAL IMPACT ON STUDENTS’ SELF-DIRECTED LEARNING CAPACITY</v>
      </c>
      <c r="D116" s="4" t="str">
        <f>IFERROR(__xludf.DUMMYFUNCTION("""COMPUTED_VALUE"""),"Nguyễn Quang Mạnh; Nguyễn Thảo Trang; Lã Thị Thu Trang; Nguyễn Quốc Lợi; Nguyễn Thị Minh Châu")</f>
        <v>Nguyễn Quang Mạnh; Nguyễn Thảo Trang; Lã Thị Thu Trang; Nguyễn Quốc Lợi; Nguyễn Thị Minh Châu</v>
      </c>
      <c r="E116" s="4" t="str">
        <f>IFERROR(__xludf.DUMMYFUNCTION("""COMPUTED_VALUE"""),"Học viện Ngân hàng")</f>
        <v>Học viện Ngân hàng</v>
      </c>
      <c r="F116" s="4" t="str">
        <f>IFERROR(__xludf.DUMMYFUNCTION("""COMPUTED_VALUE"""),"KHGD2026-116.png")</f>
        <v>KHGD2026-116.png</v>
      </c>
    </row>
    <row r="117">
      <c r="A117" s="4" t="str">
        <f>IFERROR(__xludf.DUMMYFUNCTION("""COMPUTED_VALUE"""),"KHGD2026-117")</f>
        <v>KHGD2026-117</v>
      </c>
      <c r="B117" s="4" t="str">
        <f>IFERROR(__xludf.DUMMYFUNCTION("""COMPUTED_VALUE"""),"Khoa học giáo dục")</f>
        <v>Khoa học giáo dục</v>
      </c>
      <c r="C117" s="4" t="str">
        <f>IFERROR(__xludf.DUMMYFUNCTION("""COMPUTED_VALUE"""),"Gig Economy và Cân bằng học tập- công việc của sinh viên khối ngành kinh tế trong kỷ nguyên số.")</f>
        <v>Gig Economy và Cân bằng học tập- công việc của sinh viên khối ngành kinh tế trong kỷ nguyên số.</v>
      </c>
      <c r="D117" s="4" t="str">
        <f>IFERROR(__xludf.DUMMYFUNCTION("""COMPUTED_VALUE"""),"Đặng Vĩnh Thịnh; Đỗ Thuỳ Linh; Lưu Huyền Trang; Nguyễn Thị Khánh Linh; Ngô Việt Thắng")</f>
        <v>Đặng Vĩnh Thịnh; Đỗ Thuỳ Linh; Lưu Huyền Trang; Nguyễn Thị Khánh Linh; Ngô Việt Thắng</v>
      </c>
      <c r="E117" s="4" t="str">
        <f>IFERROR(__xludf.DUMMYFUNCTION("""COMPUTED_VALUE"""),"Học viện Ngân hàng")</f>
        <v>Học viện Ngân hàng</v>
      </c>
      <c r="F117" s="4" t="str">
        <f>IFERROR(__xludf.DUMMYFUNCTION("""COMPUTED_VALUE"""),"KHGD2026-117.png")</f>
        <v>KHGD2026-117.png</v>
      </c>
    </row>
    <row r="118">
      <c r="A118" s="4" t="str">
        <f>IFERROR(__xludf.DUMMYFUNCTION("""COMPUTED_VALUE"""),"KHGD2026-118")</f>
        <v>KHGD2026-118</v>
      </c>
      <c r="B118" s="4" t="str">
        <f>IFERROR(__xludf.DUMMYFUNCTION("""COMPUTED_VALUE"""),"Khoa học giáo dục")</f>
        <v>Khoa học giáo dục</v>
      </c>
      <c r="C118" s="4" t="str">
        <f>IFERROR(__xludf.DUMMYFUNCTION("""COMPUTED_VALUE"""),"Vận dụng mô hình tư duy phản biện của Paul-Elder để hướng dẫn học sinh lớp 8 rèn luyện kĩ năng trình bày ý kiến trong bài văn nghị luận xã hội")</f>
        <v>Vận dụng mô hình tư duy phản biện của Paul-Elder để hướng dẫn học sinh lớp 8 rèn luyện kĩ năng trình bày ý kiến trong bài văn nghị luận xã hội</v>
      </c>
      <c r="D118" s="4" t="str">
        <f>IFERROR(__xludf.DUMMYFUNCTION("""COMPUTED_VALUE"""),"Nguyễn Thụy Mai Thảo; Châu Nguyễn Ái My; Nguyễn Thùy Dung")</f>
        <v>Nguyễn Thụy Mai Thảo; Châu Nguyễn Ái My; Nguyễn Thùy Dung</v>
      </c>
      <c r="E118" s="4" t="str">
        <f>IFERROR(__xludf.DUMMYFUNCTION("""COMPUTED_VALUE"""),"Trường Đại học Sư phạm TP. Hồ Chí Minh")</f>
        <v>Trường Đại học Sư phạm TP. Hồ Chí Minh</v>
      </c>
      <c r="F118" s="4" t="str">
        <f>IFERROR(__xludf.DUMMYFUNCTION("""COMPUTED_VALUE"""),"KHGD2026-118.png")</f>
        <v>KHGD2026-118.png</v>
      </c>
    </row>
    <row r="119">
      <c r="A119" s="4" t="str">
        <f>IFERROR(__xludf.DUMMYFUNCTION("""COMPUTED_VALUE"""),"KHGD2026-119")</f>
        <v>KHGD2026-119</v>
      </c>
      <c r="B119" s="4" t="str">
        <f>IFERROR(__xludf.DUMMYFUNCTION("""COMPUTED_VALUE"""),"Khoa học giáo dục")</f>
        <v>Khoa học giáo dục</v>
      </c>
      <c r="C119" s="4" t="str">
        <f>IFERROR(__xludf.DUMMYFUNCTION("""COMPUTED_VALUE"""),"Xây dựng sách velcro hỗ trợ kỹ năng nhận biết chữ cái cho trẻ tự kỷ chức năng cao học hoà nhập ở lớp Một")</f>
        <v>Xây dựng sách velcro hỗ trợ kỹ năng nhận biết chữ cái cho trẻ tự kỷ chức năng cao học hoà nhập ở lớp Một</v>
      </c>
      <c r="D119" s="4" t="str">
        <f>IFERROR(__xludf.DUMMYFUNCTION("""COMPUTED_VALUE"""),"Nguyễn Hoàng Vũ; Đinh Thị Thuỳ Mai; Phạm Hồ Như Quỳnh; Đỗ Hồng Ngọc")</f>
        <v>Nguyễn Hoàng Vũ; Đinh Thị Thuỳ Mai; Phạm Hồ Như Quỳnh; Đỗ Hồng Ngọc</v>
      </c>
      <c r="E119" s="4" t="str">
        <f>IFERROR(__xludf.DUMMYFUNCTION("""COMPUTED_VALUE"""),"Trường Đại học Sư phạm TP. Hồ Chí Minh")</f>
        <v>Trường Đại học Sư phạm TP. Hồ Chí Minh</v>
      </c>
      <c r="F119" s="4" t="str">
        <f>IFERROR(__xludf.DUMMYFUNCTION("""COMPUTED_VALUE"""),"KHGD2026-119.png")</f>
        <v>KHGD2026-119.png</v>
      </c>
    </row>
    <row r="120">
      <c r="A120" s="4" t="str">
        <f>IFERROR(__xludf.DUMMYFUNCTION("""COMPUTED_VALUE"""),"KHGD2026-120")</f>
        <v>KHGD2026-120</v>
      </c>
      <c r="B120" s="4" t="str">
        <f>IFERROR(__xludf.DUMMYFUNCTION("""COMPUTED_VALUE"""),"Khoa học giáo dục")</f>
        <v>Khoa học giáo dục</v>
      </c>
      <c r="C120" s="4" t="str">
        <f>IFERROR(__xludf.DUMMYFUNCTION("""COMPUTED_VALUE"""),"Xây dựng mô hình trò chơi mô phỏng board game phát triển vốn từ vựng cho sinh viên khoa tiếng Nga ở cấp độ A0 - A1")</f>
        <v>Xây dựng mô hình trò chơi mô phỏng board game phát triển vốn từ vựng cho sinh viên khoa tiếng Nga ở cấp độ A0 - A1</v>
      </c>
      <c r="D120" s="4" t="str">
        <f>IFERROR(__xludf.DUMMYFUNCTION("""COMPUTED_VALUE"""),"Trịnh Gia Khiêm; Dương Quang Vinh; Nguyễn Gia Nghi; Tạ Thị Thu Hiền; Nguyễn Thị Phương Thảo")</f>
        <v>Trịnh Gia Khiêm; Dương Quang Vinh; Nguyễn Gia Nghi; Tạ Thị Thu Hiền; Nguyễn Thị Phương Thảo</v>
      </c>
      <c r="E120" s="4" t="str">
        <f>IFERROR(__xludf.DUMMYFUNCTION("""COMPUTED_VALUE"""),"Trường Đại học Sư phạm TP. Hồ Chí Minh")</f>
        <v>Trường Đại học Sư phạm TP. Hồ Chí Minh</v>
      </c>
      <c r="F120" s="4" t="str">
        <f>IFERROR(__xludf.DUMMYFUNCTION("""COMPUTED_VALUE"""),"KHGD2026-120.png")</f>
        <v>KHGD2026-120.png</v>
      </c>
    </row>
    <row r="121">
      <c r="A121" s="4" t="str">
        <f>IFERROR(__xludf.DUMMYFUNCTION("""COMPUTED_VALUE"""),"KHGD2026-121")</f>
        <v>KHGD2026-121</v>
      </c>
      <c r="B121" s="4" t="str">
        <f>IFERROR(__xludf.DUMMYFUNCTION("""COMPUTED_VALUE"""),"Khoa học giáo dục")</f>
        <v>Khoa học giáo dục</v>
      </c>
      <c r="C121" s="4" t="str">
        <f>IFERROR(__xludf.DUMMYFUNCTION("""COMPUTED_VALUE"""),"Investigating the Impact of a ChatGPT-Based Chatbot as a Support Tool on the English Writing Performance of High School Students")</f>
        <v>Investigating the Impact of a ChatGPT-Based Chatbot as a Support Tool on the English Writing Performance of High School Students</v>
      </c>
      <c r="D121" s="4" t="str">
        <f>IFERROR(__xludf.DUMMYFUNCTION("""COMPUTED_VALUE"""),"Nguyễn Minh Anh")</f>
        <v>Nguyễn Minh Anh</v>
      </c>
      <c r="E121" s="4" t="str">
        <f>IFERROR(__xludf.DUMMYFUNCTION("""COMPUTED_VALUE"""),"Trường Đại học Sư phạm, Đại học Thái Nguyên")</f>
        <v>Trường Đại học Sư phạm, Đại học Thái Nguyên</v>
      </c>
      <c r="F121" s="4" t="str">
        <f>IFERROR(__xludf.DUMMYFUNCTION("""COMPUTED_VALUE"""),"KHGD2026-121.png")</f>
        <v>KHGD2026-121.png</v>
      </c>
    </row>
    <row r="122">
      <c r="A122" s="4" t="str">
        <f>IFERROR(__xludf.DUMMYFUNCTION("""COMPUTED_VALUE"""),"KHGD2026-122")</f>
        <v>KHGD2026-122</v>
      </c>
      <c r="B122" s="4" t="str">
        <f>IFERROR(__xludf.DUMMYFUNCTION("""COMPUTED_VALUE"""),"Khoa học giáo dục")</f>
        <v>Khoa học giáo dục</v>
      </c>
      <c r="C122" s="4" t="str">
        <f>IFERROR(__xludf.DUMMYFUNCTION("""COMPUTED_VALUE"""),"Kỹ năng tự học của sinh viên Phân hiệu Học viện Hành chính và Quản trị công tại Thành phố Hồ Chí Minh")</f>
        <v>Kỹ năng tự học của sinh viên Phân hiệu Học viện Hành chính và Quản trị công tại Thành phố Hồ Chí Minh</v>
      </c>
      <c r="D122" s="4" t="str">
        <f>IFERROR(__xludf.DUMMYFUNCTION("""COMPUTED_VALUE"""),"Nguyễn Trần Khánh Hà; Bùi Ngọc GIa Hân; Ngô Trương Thanh Hương; Nguyễn Ngọc Mỹ Dung")</f>
        <v>Nguyễn Trần Khánh Hà; Bùi Ngọc GIa Hân; Ngô Trương Thanh Hương; Nguyễn Ngọc Mỹ Dung</v>
      </c>
      <c r="E122" s="4" t="str">
        <f>IFERROR(__xludf.DUMMYFUNCTION("""COMPUTED_VALUE"""),"Phân hiệu Học viện Hành chính và Quản trị công tại TP. Hồ Chí Minh")</f>
        <v>Phân hiệu Học viện Hành chính và Quản trị công tại TP. Hồ Chí Minh</v>
      </c>
      <c r="F122" s="4" t="str">
        <f>IFERROR(__xludf.DUMMYFUNCTION("""COMPUTED_VALUE"""),"KHGD2026-122.png")</f>
        <v>KHGD2026-122.png</v>
      </c>
    </row>
    <row r="123">
      <c r="A123" s="4" t="str">
        <f>IFERROR(__xludf.DUMMYFUNCTION("""COMPUTED_VALUE"""),"KHGD2026-123")</f>
        <v>KHGD2026-123</v>
      </c>
      <c r="B123" s="4" t="str">
        <f>IFERROR(__xludf.DUMMYFUNCTION("""COMPUTED_VALUE"""),"Khoa học giáo dục")</f>
        <v>Khoa học giáo dục</v>
      </c>
      <c r="C123" s="4" t="str">
        <f>IFERROR(__xludf.DUMMYFUNCTION("""COMPUTED_VALUE"""),"Ảnh hưởng của trí tuệ nhân tạo (AI) đến việc học tập của sinh viên Trường Đại học Kiểm sát")</f>
        <v>Ảnh hưởng của trí tuệ nhân tạo (AI) đến việc học tập của sinh viên Trường Đại học Kiểm sát</v>
      </c>
      <c r="D123" s="4" t="str">
        <f>IFERROR(__xludf.DUMMYFUNCTION("""COMPUTED_VALUE"""),"Hà Đức Anh; Nguyễn Quang Minh; Nguyễn Hữu Hiếu; Lò Trần Lực; Lý Quang Bằng")</f>
        <v>Hà Đức Anh; Nguyễn Quang Minh; Nguyễn Hữu Hiếu; Lò Trần Lực; Lý Quang Bằng</v>
      </c>
      <c r="E123" s="4" t="str">
        <f>IFERROR(__xludf.DUMMYFUNCTION("""COMPUTED_VALUE"""),"Trường Đại học Kiểm sát")</f>
        <v>Trường Đại học Kiểm sát</v>
      </c>
      <c r="F123" s="4" t="str">
        <f>IFERROR(__xludf.DUMMYFUNCTION("""COMPUTED_VALUE"""),"KHGD2026-123.png")</f>
        <v>KHGD2026-123.png</v>
      </c>
    </row>
    <row r="124">
      <c r="A124" s="4" t="str">
        <f>IFERROR(__xludf.DUMMYFUNCTION("""COMPUTED_VALUE"""),"KHGD2026-124")</f>
        <v>KHGD2026-124</v>
      </c>
      <c r="B124" s="4" t="str">
        <f>IFERROR(__xludf.DUMMYFUNCTION("""COMPUTED_VALUE"""),"Khoa học giáo dục")</f>
        <v>Khoa học giáo dục</v>
      </c>
      <c r="C124" s="4" t="str">
        <f>IFERROR(__xludf.DUMMYFUNCTION("""COMPUTED_VALUE"""),"VAI TRÒ CỦA GIÁO DỤC KHỞI NGHIỆP SỐ TRONG VIỆC HÌNH THÀNH Ý ĐỊNH KHỞI NGHIỆP SỐ: PHÂN TÍCH MULTI-DIMENSIONAL BẰNG NCA VÀ PLS-SEM.")</f>
        <v>VAI TRÒ CỦA GIÁO DỤC KHỞI NGHIỆP SỐ TRONG VIỆC HÌNH THÀNH Ý ĐỊNH KHỞI NGHIỆP SỐ: PHÂN TÍCH MULTI-DIMENSIONAL BẰNG NCA VÀ PLS-SEM.</v>
      </c>
      <c r="D124" s="4" t="str">
        <f>IFERROR(__xludf.DUMMYFUNCTION("""COMPUTED_VALUE"""),"Nguyễn Thuý Anh; Nguyễn Thị Hoài Oanh; Trần Trương Dâng; Ngô Thanh Thảo")</f>
        <v>Nguyễn Thuý Anh; Nguyễn Thị Hoài Oanh; Trần Trương Dâng; Ngô Thanh Thảo</v>
      </c>
      <c r="E124" s="4" t="str">
        <f>IFERROR(__xludf.DUMMYFUNCTION("""COMPUTED_VALUE"""),"Đại học Duy Tân")</f>
        <v>Đại học Duy Tân</v>
      </c>
      <c r="F124" s="4" t="str">
        <f>IFERROR(__xludf.DUMMYFUNCTION("""COMPUTED_VALUE"""),"KHGD2026-124.png")</f>
        <v>KHGD2026-124.png</v>
      </c>
    </row>
    <row r="125">
      <c r="A125" s="4" t="str">
        <f>IFERROR(__xludf.DUMMYFUNCTION("""COMPUTED_VALUE"""),"KHGD2026-125")</f>
        <v>KHGD2026-125</v>
      </c>
      <c r="B125" s="4" t="str">
        <f>IFERROR(__xludf.DUMMYFUNCTION("""COMPUTED_VALUE"""),"Khoa học giáo dục")</f>
        <v>Khoa học giáo dục</v>
      </c>
      <c r="C125" s="4" t="str">
        <f>IFERROR(__xludf.DUMMYFUNCTION("""COMPUTED_VALUE"""),"Tác động của kỹ năng số đến kết quả phát triển vốn con người của sinh viên đại học thuộc lĩnh vực kinh doanh và quản lý ở Hà Nội")</f>
        <v>Tác động của kỹ năng số đến kết quả phát triển vốn con người của sinh viên đại học thuộc lĩnh vực kinh doanh và quản lý ở Hà Nội</v>
      </c>
      <c r="D125" s="4" t="str">
        <f>IFERROR(__xludf.DUMMYFUNCTION("""COMPUTED_VALUE"""),"Nguyễn Khánh Ly; Lý Lê Bảo Trang; Nguyễn Phương Linh; Nguyễn Xuân Vinh; Phạm Minh Tuệ")</f>
        <v>Nguyễn Khánh Ly; Lý Lê Bảo Trang; Nguyễn Phương Linh; Nguyễn Xuân Vinh; Phạm Minh Tuệ</v>
      </c>
      <c r="E125" s="4" t="str">
        <f>IFERROR(__xludf.DUMMYFUNCTION("""COMPUTED_VALUE"""),"Đại học Kinh tế Quốc dân")</f>
        <v>Đại học Kinh tế Quốc dân</v>
      </c>
      <c r="F125" s="4" t="str">
        <f>IFERROR(__xludf.DUMMYFUNCTION("""COMPUTED_VALUE"""),"KHGD2026-125.png")</f>
        <v>KHGD2026-125.png</v>
      </c>
    </row>
    <row r="126">
      <c r="A126" s="4" t="str">
        <f>IFERROR(__xludf.DUMMYFUNCTION("""COMPUTED_VALUE"""),"KHGD2026-126")</f>
        <v>KHGD2026-126</v>
      </c>
      <c r="B126" s="4" t="str">
        <f>IFERROR(__xludf.DUMMYFUNCTION("""COMPUTED_VALUE"""),"Khoa học giáo dục")</f>
        <v>Khoa học giáo dục</v>
      </c>
      <c r="C126" s="4" t="str">
        <f>IFERROR(__xludf.DUMMYFUNCTION("""COMPUTED_VALUE"""),"Kiến thức, thái độ và nhu cầu của sinh viên đại học y dược thành phố hồ chí minh về đào tạo các nội dung liên quan đến sức khỏe toàn cầu")</f>
        <v>Kiến thức, thái độ và nhu cầu của sinh viên đại học y dược thành phố hồ chí minh về đào tạo các nội dung liên quan đến sức khỏe toàn cầu</v>
      </c>
      <c r="D126" s="4" t="str">
        <f>IFERROR(__xludf.DUMMYFUNCTION("""COMPUTED_VALUE"""),"Lê Bảo Phúc Nhân; Nguyễn Phú Nhất")</f>
        <v>Lê Bảo Phúc Nhân; Nguyễn Phú Nhất</v>
      </c>
      <c r="E126" s="4" t="str">
        <f>IFERROR(__xludf.DUMMYFUNCTION("""COMPUTED_VALUE"""),"Đại học Y Dược TP. Hồ Chí Minh")</f>
        <v>Đại học Y Dược TP. Hồ Chí Minh</v>
      </c>
      <c r="F126" s="4" t="str">
        <f>IFERROR(__xludf.DUMMYFUNCTION("""COMPUTED_VALUE"""),"KHGD2026-126.png")</f>
        <v>KHGD2026-126.png</v>
      </c>
    </row>
    <row r="127">
      <c r="A127" s="4" t="str">
        <f>IFERROR(__xludf.DUMMYFUNCTION("""COMPUTED_VALUE"""),"KHGD2026-127")</f>
        <v>KHGD2026-127</v>
      </c>
      <c r="B127" s="4" t="str">
        <f>IFERROR(__xludf.DUMMYFUNCTION("""COMPUTED_VALUE"""),"Khoa học giáo dục")</f>
        <v>Khoa học giáo dục</v>
      </c>
      <c r="C127" s="4" t="str">
        <f>IFERROR(__xludf.DUMMYFUNCTION("""COMPUTED_VALUE"""),"Kiến thức, thái độ và thực hành tiêm chủng các vắc-xin khuyến cáo cho nhân viên y tế ở sinh viên y khoa")</f>
        <v>Kiến thức, thái độ và thực hành tiêm chủng các vắc-xin khuyến cáo cho nhân viên y tế ở sinh viên y khoa</v>
      </c>
      <c r="D127" s="4" t="str">
        <f>IFERROR(__xludf.DUMMYFUNCTION("""COMPUTED_VALUE"""),"Phạm Đăng Huy; Đoàn Trần Diễm Phúc; Trần Nguyễn Thùy Trang; Phan Minh Trí; Phan Bảo Linh")</f>
        <v>Phạm Đăng Huy; Đoàn Trần Diễm Phúc; Trần Nguyễn Thùy Trang; Phan Minh Trí; Phan Bảo Linh</v>
      </c>
      <c r="E127" s="4" t="str">
        <f>IFERROR(__xludf.DUMMYFUNCTION("""COMPUTED_VALUE"""),"Đại học Y Dược TP. Hồ Chí Minh")</f>
        <v>Đại học Y Dược TP. Hồ Chí Minh</v>
      </c>
      <c r="F127" s="4" t="str">
        <f>IFERROR(__xludf.DUMMYFUNCTION("""COMPUTED_VALUE"""),"KHGD2026-127.png")</f>
        <v>KHGD2026-127.png</v>
      </c>
    </row>
    <row r="128">
      <c r="A128" s="4" t="str">
        <f>IFERROR(__xludf.DUMMYFUNCTION("""COMPUTED_VALUE"""),"KHGD2026-128")</f>
        <v>KHGD2026-128</v>
      </c>
      <c r="B128" s="4" t="str">
        <f>IFERROR(__xludf.DUMMYFUNCTION("""COMPUTED_VALUE"""),"Khoa học giáo dục")</f>
        <v>Khoa học giáo dục</v>
      </c>
      <c r="C128" s="4" t="str">
        <f>IFERROR(__xludf.DUMMYFUNCTION("""COMPUTED_VALUE"""),"TỔNG QUAN HỆ THỐNG VỀ PHÁT TRIỂN VÀ ỨNG DỤNG CÁC KHUNG NĂNG LỰC DƯỢC")</f>
        <v>TỔNG QUAN HỆ THỐNG VỀ PHÁT TRIỂN VÀ ỨNG DỤNG CÁC KHUNG NĂNG LỰC DƯỢC</v>
      </c>
      <c r="D128" s="4" t="str">
        <f>IFERROR(__xludf.DUMMYFUNCTION("""COMPUTED_VALUE"""),"Phạm Hoàng Việt Khanh; Nguyễn Thị Hồng Lan Thảo; Nguyễn Ngọc Trâm; Nguyễn Ngọc Bảo Trân; Tô Thanh Lan")</f>
        <v>Phạm Hoàng Việt Khanh; Nguyễn Thị Hồng Lan Thảo; Nguyễn Ngọc Trâm; Nguyễn Ngọc Bảo Trân; Tô Thanh Lan</v>
      </c>
      <c r="E128" s="4" t="str">
        <f>IFERROR(__xludf.DUMMYFUNCTION("""COMPUTED_VALUE"""),"Đại học Y Dược TP. Hồ Chí Minh")</f>
        <v>Đại học Y Dược TP. Hồ Chí Minh</v>
      </c>
      <c r="F128" s="4" t="str">
        <f>IFERROR(__xludf.DUMMYFUNCTION("""COMPUTED_VALUE"""),"KHGD2026-128.png")</f>
        <v>KHGD2026-128.png</v>
      </c>
    </row>
    <row r="129">
      <c r="A129" s="4" t="str">
        <f>IFERROR(__xludf.DUMMYFUNCTION("""COMPUTED_VALUE"""),"KHGD2026-129")</f>
        <v>KHGD2026-129</v>
      </c>
      <c r="B129" s="4" t="str">
        <f>IFERROR(__xludf.DUMMYFUNCTION("""COMPUTED_VALUE"""),"Khoa học giáo dục")</f>
        <v>Khoa học giáo dục</v>
      </c>
      <c r="C129" s="4" t="str">
        <f>IFERROR(__xludf.DUMMYFUNCTION("""COMPUTED_VALUE"""),"MỐI QUAN HỆ GIỮA HỌC VẤN, KINH NGHIỆM VÀ MỨC LƯƠNG TRONG NGÀNH NHÂN SỰ: BẰNG CHỨNG TỪ TIN TUYỂN DỤNG TẠI TP. HỒ CHÍ MINH VÀ HÀM Ý CHO GIÁO DỤC")</f>
        <v>MỐI QUAN HỆ GIỮA HỌC VẤN, KINH NGHIỆM VÀ MỨC LƯƠNG TRONG NGÀNH NHÂN SỰ: BẰNG CHỨNG TỪ TIN TUYỂN DỤNG TẠI TP. HỒ CHÍ MINH VÀ HÀM Ý CHO GIÁO DỤC</v>
      </c>
      <c r="D129" s="4" t="str">
        <f>IFERROR(__xludf.DUMMYFUNCTION("""COMPUTED_VALUE"""),"Bùi Thị Quỳnh Trang; Trần Thị Hoài Thu; Đỗ Hồng Ngọc; Danh Nguyễn Nhật Khang")</f>
        <v>Bùi Thị Quỳnh Trang; Trần Thị Hoài Thu; Đỗ Hồng Ngọc; Danh Nguyễn Nhật Khang</v>
      </c>
      <c r="E129" s="4" t="str">
        <f>IFERROR(__xludf.DUMMYFUNCTION("""COMPUTED_VALUE"""),"Đại học Kinh tế TP. Hồ Chí Minh")</f>
        <v>Đại học Kinh tế TP. Hồ Chí Minh</v>
      </c>
      <c r="F129" s="4" t="str">
        <f>IFERROR(__xludf.DUMMYFUNCTION("""COMPUTED_VALUE"""),"KHGD2026-129.png")</f>
        <v>KHGD2026-129.png</v>
      </c>
    </row>
    <row r="130">
      <c r="A130" s="4" t="str">
        <f>IFERROR(__xludf.DUMMYFUNCTION("""COMPUTED_VALUE"""),"KHGD2026-130")</f>
        <v>KHGD2026-130</v>
      </c>
      <c r="B130" s="4" t="str">
        <f>IFERROR(__xludf.DUMMYFUNCTION("""COMPUTED_VALUE"""),"Khoa học giáo dục")</f>
        <v>Khoa học giáo dục</v>
      </c>
      <c r="C130" s="4" t="str">
        <f>IFERROR(__xludf.DUMMYFUNCTION("""COMPUTED_VALUE"""),"Khung hướng dẫn sử dụng ai nhằm nâng cao nhận thức đạo đức công nghệ của sinh viên: trường hợp một trường đại học đào tạo ngoại ngữ trên địa bàn Hà Nội.")</f>
        <v>Khung hướng dẫn sử dụng ai nhằm nâng cao nhận thức đạo đức công nghệ của sinh viên: trường hợp một trường đại học đào tạo ngoại ngữ trên địa bàn Hà Nội.</v>
      </c>
      <c r="D130" s="4" t="str">
        <f>IFERROR(__xludf.DUMMYFUNCTION("""COMPUTED_VALUE"""),"Nguyễn Thu Thảo; Trần Thị Huyền Trang; Bùi Bảo Linh; Trần Yến Nhi; Lê Thị Ngọc Huyền")</f>
        <v>Nguyễn Thu Thảo; Trần Thị Huyền Trang; Bùi Bảo Linh; Trần Yến Nhi; Lê Thị Ngọc Huyền</v>
      </c>
      <c r="E130" s="4" t="str">
        <f>IFERROR(__xludf.DUMMYFUNCTION("""COMPUTED_VALUE"""),"Trường Đại học Ngoại ngữ, ĐHQG Hà Nội")</f>
        <v>Trường Đại học Ngoại ngữ, ĐHQG Hà Nội</v>
      </c>
      <c r="F130" s="4" t="str">
        <f>IFERROR(__xludf.DUMMYFUNCTION("""COMPUTED_VALUE"""),"KHGD2026-130.png")</f>
        <v>KHGD2026-130.png</v>
      </c>
    </row>
    <row r="131">
      <c r="A131" s="4" t="str">
        <f>IFERROR(__xludf.DUMMYFUNCTION("""COMPUTED_VALUE"""),"KHGD2026-131")</f>
        <v>KHGD2026-131</v>
      </c>
      <c r="B131" s="4" t="str">
        <f>IFERROR(__xludf.DUMMYFUNCTION("""COMPUTED_VALUE"""),"Khoa học giáo dục")</f>
        <v>Khoa học giáo dục</v>
      </c>
      <c r="C131" s="4" t="str">
        <f>IFERROR(__xludf.DUMMYFUNCTION("""COMPUTED_VALUE"""),"The impact of Digital Entrepreneurship Education and Digital Competence on Digital Entrepreneurial Intention among university students and recent graduates in Ho Chi Minh City")</f>
        <v>The impact of Digital Entrepreneurship Education and Digital Competence on Digital Entrepreneurial Intention among university students and recent graduates in Ho Chi Minh City</v>
      </c>
      <c r="D131" s="4" t="str">
        <f>IFERROR(__xludf.DUMMYFUNCTION("""COMPUTED_VALUE"""),"Đỗ Thị Ánh Linh; Nguyễn Thị Quy; Nguyễn Thị Mai Nhung; Nguyễn Nhật Khang")</f>
        <v>Đỗ Thị Ánh Linh; Nguyễn Thị Quy; Nguyễn Thị Mai Nhung; Nguyễn Nhật Khang</v>
      </c>
      <c r="E131" s="4" t="str">
        <f>IFERROR(__xludf.DUMMYFUNCTION("""COMPUTED_VALUE"""),"Phân hiệu Trường Đại học Ngoại thương tại TP. Hồ Chí Minh")</f>
        <v>Phân hiệu Trường Đại học Ngoại thương tại TP. Hồ Chí Minh</v>
      </c>
      <c r="F131" s="4" t="str">
        <f>IFERROR(__xludf.DUMMYFUNCTION("""COMPUTED_VALUE"""),"KHGD2026-131.png")</f>
        <v>KHGD2026-131.png</v>
      </c>
    </row>
    <row r="132">
      <c r="A132" s="4" t="str">
        <f>IFERROR(__xludf.DUMMYFUNCTION("""COMPUTED_VALUE"""),"KHGD2026-132")</f>
        <v>KHGD2026-132</v>
      </c>
      <c r="B132" s="4" t="str">
        <f>IFERROR(__xludf.DUMMYFUNCTION("""COMPUTED_VALUE"""),"Khoa học giáo dục")</f>
        <v>Khoa học giáo dục</v>
      </c>
      <c r="C132" s="4" t="str">
        <f>IFERROR(__xludf.DUMMYFUNCTION("""COMPUTED_VALUE"""),"Đánh giá mối quan hệ giữa năng lực tích lũy từ việc đạt văn bằng nhỏ - chứng chỉ vi mô (micro-credentials) tới khả năng làm việc, nhận diện và công nhận nhân tài tại các ngân hàng thương mại tại Việt Nam")</f>
        <v>Đánh giá mối quan hệ giữa năng lực tích lũy từ việc đạt văn bằng nhỏ - chứng chỉ vi mô (micro-credentials) tới khả năng làm việc, nhận diện và công nhận nhân tài tại các ngân hàng thương mại tại Việt Nam</v>
      </c>
      <c r="D132" s="4" t="str">
        <f>IFERROR(__xludf.DUMMYFUNCTION("""COMPUTED_VALUE"""),"Nguyễn Ngọc Quỳnh Anh; Nguyễn Thị Minh Lý; Phạm Thùy Trang; Nguyễn Tuệ Minh")</f>
        <v>Nguyễn Ngọc Quỳnh Anh; Nguyễn Thị Minh Lý; Phạm Thùy Trang; Nguyễn Tuệ Minh</v>
      </c>
      <c r="E132" s="4" t="str">
        <f>IFERROR(__xludf.DUMMYFUNCTION("""COMPUTED_VALUE"""),"Học viện Ngân hàng")</f>
        <v>Học viện Ngân hàng</v>
      </c>
      <c r="F132" s="4" t="str">
        <f>IFERROR(__xludf.DUMMYFUNCTION("""COMPUTED_VALUE"""),"KHGD2026-132.png")</f>
        <v>KHGD2026-132.png</v>
      </c>
    </row>
    <row r="133">
      <c r="A133" s="4" t="str">
        <f>IFERROR(__xludf.DUMMYFUNCTION("""COMPUTED_VALUE"""),"KHGD2026-133")</f>
        <v>KHGD2026-133</v>
      </c>
      <c r="B133" s="4" t="str">
        <f>IFERROR(__xludf.DUMMYFUNCTION("""COMPUTED_VALUE"""),"Khoa học giáo dục")</f>
        <v>Khoa học giáo dục</v>
      </c>
      <c r="C133" s="4" t="str">
        <f>IFERROR(__xludf.DUMMYFUNCTION("""COMPUTED_VALUE"""),"Kỹ năng xanh của sinh viên Học viện Ngân hàng trong bối cảnh chuyển đổi kinh tế xanh")</f>
        <v>Kỹ năng xanh của sinh viên Học viện Ngân hàng trong bối cảnh chuyển đổi kinh tế xanh</v>
      </c>
      <c r="D133" s="4" t="str">
        <f>IFERROR(__xludf.DUMMYFUNCTION("""COMPUTED_VALUE"""),"Phạm Phương Uyên; Đoàn Việt Anh; Phạm Như Thành; Đỗ Khánh Ly")</f>
        <v>Phạm Phương Uyên; Đoàn Việt Anh; Phạm Như Thành; Đỗ Khánh Ly</v>
      </c>
      <c r="E133" s="4" t="str">
        <f>IFERROR(__xludf.DUMMYFUNCTION("""COMPUTED_VALUE"""),"Học viện Ngân hàng")</f>
        <v>Học viện Ngân hàng</v>
      </c>
      <c r="F133" s="4" t="str">
        <f>IFERROR(__xludf.DUMMYFUNCTION("""COMPUTED_VALUE"""),"KHGD2026-133.png")</f>
        <v>KHGD2026-133.png</v>
      </c>
    </row>
    <row r="134">
      <c r="A134" s="4" t="str">
        <f>IFERROR(__xludf.DUMMYFUNCTION("""COMPUTED_VALUE"""),"KHGD2026-134")</f>
        <v>KHGD2026-134</v>
      </c>
      <c r="B134" s="4" t="str">
        <f>IFERROR(__xludf.DUMMYFUNCTION("""COMPUTED_VALUE"""),"Khoa học giáo dục")</f>
        <v>Khoa học giáo dục</v>
      </c>
      <c r="C134" s="4" t="str">
        <f>IFERROR(__xludf.DUMMYFUNCTION("""COMPUTED_VALUE"""),"Nghiên cứu phát triển môi trường Thực tế ảo thích ứng cảm xúc trong đào tạo kỹ năng ứng phó khủng hoảng giao tiếp y tế.")</f>
        <v>Nghiên cứu phát triển môi trường Thực tế ảo thích ứng cảm xúc trong đào tạo kỹ năng ứng phó khủng hoảng giao tiếp y tế.</v>
      </c>
      <c r="D134" s="4" t="str">
        <f>IFERROR(__xludf.DUMMYFUNCTION("""COMPUTED_VALUE"""),"Trần Thị Ngọc Thư; Lê Vĩ Kỳ; Lê Nữ Trà Mi; Phan Công Anh")</f>
        <v>Trần Thị Ngọc Thư; Lê Vĩ Kỳ; Lê Nữ Trà Mi; Phan Công Anh</v>
      </c>
      <c r="E134" s="4" t="str">
        <f>IFERROR(__xludf.DUMMYFUNCTION("""COMPUTED_VALUE"""),"Đại học Kinh tế TP. Hồ Chí Minh")</f>
        <v>Đại học Kinh tế TP. Hồ Chí Minh</v>
      </c>
      <c r="F134" s="4" t="str">
        <f>IFERROR(__xludf.DUMMYFUNCTION("""COMPUTED_VALUE"""),"KHGD2026-134.png")</f>
        <v>KHGD2026-134.png</v>
      </c>
    </row>
    <row r="135">
      <c r="A135" s="4" t="str">
        <f>IFERROR(__xludf.DUMMYFUNCTION("""COMPUTED_VALUE"""),"KHGD2026-135")</f>
        <v>KHGD2026-135</v>
      </c>
      <c r="B135" s="4" t="str">
        <f>IFERROR(__xludf.DUMMYFUNCTION("""COMPUTED_VALUE"""),"Khoa học giáo dục")</f>
        <v>Khoa học giáo dục</v>
      </c>
      <c r="C135" s="4" t="str">
        <f>IFERROR(__xludf.DUMMYFUNCTION("""COMPUTED_VALUE"""),"Các yếu tố ảnh hưởng đến ý định sử dụng Trí tuệ nhân tạo trong học tập của sinh viên Trường Đại học Văn Lang")</f>
        <v>Các yếu tố ảnh hưởng đến ý định sử dụng Trí tuệ nhân tạo trong học tập của sinh viên Trường Đại học Văn Lang</v>
      </c>
      <c r="D135" s="4" t="str">
        <f>IFERROR(__xludf.DUMMYFUNCTION("""COMPUTED_VALUE"""),"Nguyễn Thị Ngọc Anh")</f>
        <v>Nguyễn Thị Ngọc Anh</v>
      </c>
      <c r="E135" s="4" t="str">
        <f>IFERROR(__xludf.DUMMYFUNCTION("""COMPUTED_VALUE"""),"Trường Đại học Văn Lang")</f>
        <v>Trường Đại học Văn Lang</v>
      </c>
      <c r="F135" s="4" t="str">
        <f>IFERROR(__xludf.DUMMYFUNCTION("""COMPUTED_VALUE"""),"KHGD2026-135.png")</f>
        <v>KHGD2026-135.png</v>
      </c>
    </row>
    <row r="136">
      <c r="A136" s="4" t="str">
        <f>IFERROR(__xludf.DUMMYFUNCTION("""COMPUTED_VALUE"""),"KHGD2026-136")</f>
        <v>KHGD2026-136</v>
      </c>
      <c r="B136" s="4" t="str">
        <f>IFERROR(__xludf.DUMMYFUNCTION("""COMPUTED_VALUE"""),"Khoa học giáo dục")</f>
        <v>Khoa học giáo dục</v>
      </c>
      <c r="C136" s="4" t="str">
        <f>IFERROR(__xludf.DUMMYFUNCTION("""COMPUTED_VALUE"""),"Xây dựng mô hình quản lý năng lực an toàn phòng thí nghiệm cho sinh viên theo tiếp cận OBE")</f>
        <v>Xây dựng mô hình quản lý năng lực an toàn phòng thí nghiệm cho sinh viên theo tiếp cận OBE</v>
      </c>
      <c r="D136" s="4" t="str">
        <f>IFERROR(__xludf.DUMMYFUNCTION("""COMPUTED_VALUE"""),"Dương Minh Thiên; Lê Ngọc Thắng; Lê Minh Tuấn")</f>
        <v>Dương Minh Thiên; Lê Ngọc Thắng; Lê Minh Tuấn</v>
      </c>
      <c r="E136" s="4" t="str">
        <f>IFERROR(__xludf.DUMMYFUNCTION("""COMPUTED_VALUE"""),"Đại học Y Dược TP. Hồ Chí Minh")</f>
        <v>Đại học Y Dược TP. Hồ Chí Minh</v>
      </c>
      <c r="F136" s="4" t="str">
        <f>IFERROR(__xludf.DUMMYFUNCTION("""COMPUTED_VALUE"""),"KHGD2026-136.png")</f>
        <v>KHGD2026-136.png</v>
      </c>
    </row>
    <row r="137">
      <c r="A137" s="4" t="str">
        <f>IFERROR(__xludf.DUMMYFUNCTION("""COMPUTED_VALUE"""),"KHGD2026-137")</f>
        <v>KHGD2026-137</v>
      </c>
      <c r="B137" s="4" t="str">
        <f>IFERROR(__xludf.DUMMYFUNCTION("""COMPUTED_VALUE"""),"Khoa học giáo dục")</f>
        <v>Khoa học giáo dục</v>
      </c>
      <c r="C137" s="4" t="str">
        <f>IFERROR(__xludf.DUMMYFUNCTION("""COMPUTED_VALUE"""),"GIẢI PHÁP NÂNG CAO HIỆU QUẢ HOẠT ĐỘNG ĐOÀN - HỘI THÔNG QUA HOÀN THIỆN CÔNG CỤ KHẢO SÁT VÀ HỆ THỐNG ĐÁNH GIÁ CHẤT LƯỢNG CHƯƠNG TRÌNH")</f>
        <v>GIẢI PHÁP NÂNG CAO HIỆU QUẢ HOẠT ĐỘNG ĐOÀN - HỘI THÔNG QUA HOÀN THIỆN CÔNG CỤ KHẢO SÁT VÀ HỆ THỐNG ĐÁNH GIÁ CHẤT LƯỢNG CHƯƠNG TRÌNH</v>
      </c>
      <c r="D137" s="4" t="str">
        <f>IFERROR(__xludf.DUMMYFUNCTION("""COMPUTED_VALUE"""),"Lê Hoàng Hương Thảo; Phạm Đào Trà My")</f>
        <v>Lê Hoàng Hương Thảo; Phạm Đào Trà My</v>
      </c>
      <c r="E137" s="4" t="str">
        <f>IFERROR(__xludf.DUMMYFUNCTION("""COMPUTED_VALUE"""),"Đại học Kinh tế TP. Hồ Chí Minh")</f>
        <v>Đại học Kinh tế TP. Hồ Chí Minh</v>
      </c>
      <c r="F137" s="4" t="str">
        <f>IFERROR(__xludf.DUMMYFUNCTION("""COMPUTED_VALUE"""),"KHGD2026-137.png")</f>
        <v>KHGD2026-137.png</v>
      </c>
    </row>
    <row r="138">
      <c r="A138" s="4" t="str">
        <f>IFERROR(__xludf.DUMMYFUNCTION("""COMPUTED_VALUE"""),"KHGD2026-138")</f>
        <v>KHGD2026-138</v>
      </c>
      <c r="B138" s="4" t="str">
        <f>IFERROR(__xludf.DUMMYFUNCTION("""COMPUTED_VALUE"""),"Khoa học giáo dục")</f>
        <v>Khoa học giáo dục</v>
      </c>
      <c r="C138" s="4" t="str">
        <f>IFERROR(__xludf.DUMMYFUNCTION("""COMPUTED_VALUE"""),"Xây dựng Ebook: Ứng dụng mô hình TPACK trong việc nâng cao năng lực số cho giáo viên môn lịch sử cấp Trung học phổ thông")</f>
        <v>Xây dựng Ebook: Ứng dụng mô hình TPACK trong việc nâng cao năng lực số cho giáo viên môn lịch sử cấp Trung học phổ thông</v>
      </c>
      <c r="D138" s="4" t="str">
        <f>IFERROR(__xludf.DUMMYFUNCTION("""COMPUTED_VALUE"""),"Nguyễn Tuấn Anh; Nguyễn Thị Thuỳ Linh; Nguyễn Thị Trang; Nguyễn Khánh Linh; Nguyễn Thu Thảo")</f>
        <v>Nguyễn Tuấn Anh; Nguyễn Thị Thuỳ Linh; Nguyễn Thị Trang; Nguyễn Khánh Linh; Nguyễn Thu Thảo</v>
      </c>
      <c r="E138" s="4" t="str">
        <f>IFERROR(__xludf.DUMMYFUNCTION("""COMPUTED_VALUE"""),"Trường Đại học Giáo dục, ĐHQG Hà Nội")</f>
        <v>Trường Đại học Giáo dục, ĐHQG Hà Nội</v>
      </c>
      <c r="F138" s="4" t="str">
        <f>IFERROR(__xludf.DUMMYFUNCTION("""COMPUTED_VALUE"""),"KHGD2026-138.png")</f>
        <v>KHGD2026-138.png</v>
      </c>
    </row>
    <row r="139">
      <c r="A139" s="4" t="str">
        <f>IFERROR(__xludf.DUMMYFUNCTION("""COMPUTED_VALUE"""),"KHGD2026-139")</f>
        <v>KHGD2026-139</v>
      </c>
      <c r="B139" s="4" t="str">
        <f>IFERROR(__xludf.DUMMYFUNCTION("""COMPUTED_VALUE"""),"Khoa học giáo dục")</f>
        <v>Khoa học giáo dục</v>
      </c>
      <c r="C139" s="4" t="str">
        <f>IFERROR(__xludf.DUMMYFUNCTION("""COMPUTED_VALUE"""),"Xây dựng website tích hợp AI phân tích cá nhân hoá kết quả học tập của học sinh trung học phổ thông")</f>
        <v>Xây dựng website tích hợp AI phân tích cá nhân hoá kết quả học tập của học sinh trung học phổ thông</v>
      </c>
      <c r="D139" s="4" t="str">
        <f>IFERROR(__xludf.DUMMYFUNCTION("""COMPUTED_VALUE"""),"Lê Phương Uyên; Lê Gia Huy")</f>
        <v>Lê Phương Uyên; Lê Gia Huy</v>
      </c>
      <c r="E139" s="4" t="str">
        <f>IFERROR(__xludf.DUMMYFUNCTION("""COMPUTED_VALUE"""),"Trường Đại học Giáo dục, ĐHQG Hà Nội")</f>
        <v>Trường Đại học Giáo dục, ĐHQG Hà Nội</v>
      </c>
      <c r="F139" s="4" t="str">
        <f>IFERROR(__xludf.DUMMYFUNCTION("""COMPUTED_VALUE"""),"KHGD2026-139.png")</f>
        <v>KHGD2026-139.png</v>
      </c>
    </row>
    <row r="140">
      <c r="A140" s="4" t="str">
        <f>IFERROR(__xludf.DUMMYFUNCTION("""COMPUTED_VALUE"""),"KHGD2026-140")</f>
        <v>KHGD2026-140</v>
      </c>
      <c r="B140" s="4" t="str">
        <f>IFERROR(__xludf.DUMMYFUNCTION("""COMPUTED_VALUE"""),"Khoa học giáo dục")</f>
        <v>Khoa học giáo dục</v>
      </c>
      <c r="C140" s="4" t="str">
        <f>IFERROR(__xludf.DUMMYFUNCTION("""COMPUTED_VALUE"""),"Mối quan hệ giữa hiểu biết trí tuệ nhân tạo, sự phụ thuộc trí tuệ nhân tạo và kĩ năng thế kỉ 21 của sinh viên: Nghiên cứu trường hợp ở một trường đại học công lập tại Thành phố Hồ Chí Minh")</f>
        <v>Mối quan hệ giữa hiểu biết trí tuệ nhân tạo, sự phụ thuộc trí tuệ nhân tạo và kĩ năng thế kỉ 21 của sinh viên: Nghiên cứu trường hợp ở một trường đại học công lập tại Thành phố Hồ Chí Minh</v>
      </c>
      <c r="D140" s="4" t="str">
        <f>IFERROR(__xludf.DUMMYFUNCTION("""COMPUTED_VALUE"""),"Trần Thúy Trinh; Trần Nguyễn Giáng My; Đặng Thị Lê Ngân; Nguyễn Ngọc Gia Hân")</f>
        <v>Trần Thúy Trinh; Trần Nguyễn Giáng My; Đặng Thị Lê Ngân; Nguyễn Ngọc Gia Hân</v>
      </c>
      <c r="E140" s="4" t="str">
        <f>IFERROR(__xludf.DUMMYFUNCTION("""COMPUTED_VALUE"""),"Trường Đại học Sư phạm TP. Hồ Chí Minh")</f>
        <v>Trường Đại học Sư phạm TP. Hồ Chí Minh</v>
      </c>
      <c r="F140" s="4" t="str">
        <f>IFERROR(__xludf.DUMMYFUNCTION("""COMPUTED_VALUE"""),"KHGD2026-140.png")</f>
        <v>KHGD2026-140.png</v>
      </c>
    </row>
    <row r="141">
      <c r="A141" s="4" t="str">
        <f>IFERROR(__xludf.DUMMYFUNCTION("""COMPUTED_VALUE"""),"KHGD2026-141")</f>
        <v>KHGD2026-141</v>
      </c>
      <c r="B141" s="4" t="str">
        <f>IFERROR(__xludf.DUMMYFUNCTION("""COMPUTED_VALUE"""),"Khoa học giáo dục")</f>
        <v>Khoa học giáo dục</v>
      </c>
      <c r="C141" s="4" t="str">
        <f>IFERROR(__xludf.DUMMYFUNCTION("""COMPUTED_VALUE"""),"LIÊM CHÍNH THI CỬ VÀ THIẾT KẾ GIÁM SÁT DỰA TRÊN RỦI RO: BẰNG CHỨNG KINH TẾ LƯỢNG PHÁP CHỨNG TỪ DỮ LIỆU ĐIỂM THI THPT VIỆT NAM, 2017-2026")</f>
        <v>LIÊM CHÍNH THI CỬ VÀ THIẾT KẾ GIÁM SÁT DỰA TRÊN RỦI RO: BẰNG CHỨNG KINH TẾ LƯỢNG PHÁP CHỨNG TỪ DỮ LIỆU ĐIỂM THI THPT VIỆT NAM, 2017-2026</v>
      </c>
      <c r="D141" s="4" t="str">
        <f>IFERROR(__xludf.DUMMYFUNCTION("""COMPUTED_VALUE"""),"Nguyễn Hoàng Minh Phương; Phan Ngọc Liễu; Lương Thị Diệu Hiền; Trần Thị Minh Thư; Huỳnh Tô Trúc Vy")</f>
        <v>Nguyễn Hoàng Minh Phương; Phan Ngọc Liễu; Lương Thị Diệu Hiền; Trần Thị Minh Thư; Huỳnh Tô Trúc Vy</v>
      </c>
      <c r="E141" s="4" t="str">
        <f>IFERROR(__xludf.DUMMYFUNCTION("""COMPUTED_VALUE"""),"Đại học Kinh tế TP. Hồ Chí Minh")</f>
        <v>Đại học Kinh tế TP. Hồ Chí Minh</v>
      </c>
      <c r="F141" s="4" t="str">
        <f>IFERROR(__xludf.DUMMYFUNCTION("""COMPUTED_VALUE"""),"KHGD2026-141.png")</f>
        <v>KHGD2026-141.png</v>
      </c>
    </row>
    <row r="142">
      <c r="A142" s="4" t="str">
        <f>IFERROR(__xludf.DUMMYFUNCTION("""COMPUTED_VALUE"""),"KHGD2026-142")</f>
        <v>KHGD2026-142</v>
      </c>
      <c r="B142" s="4" t="str">
        <f>IFERROR(__xludf.DUMMYFUNCTION("""COMPUTED_VALUE"""),"Khoa học giáo dục")</f>
        <v>Khoa học giáo dục</v>
      </c>
      <c r="C142" s="4" t="str">
        <f>IFERROR(__xludf.DUMMYFUNCTION("""COMPUTED_VALUE"""),"Ứng dụng bài tập bổ trợ chuyên môn nâng cao thành tích bơi ếch cho sinh viên đội tuyển bơi lội Trường Đại học Sư phạm Hà Nội")</f>
        <v>Ứng dụng bài tập bổ trợ chuyên môn nâng cao thành tích bơi ếch cho sinh viên đội tuyển bơi lội Trường Đại học Sư phạm Hà Nội</v>
      </c>
      <c r="D142" s="4" t="str">
        <f>IFERROR(__xludf.DUMMYFUNCTION("""COMPUTED_VALUE"""),"Trần Phương Thảo")</f>
        <v>Trần Phương Thảo</v>
      </c>
      <c r="E142" s="4" t="str">
        <f>IFERROR(__xludf.DUMMYFUNCTION("""COMPUTED_VALUE"""),"Trường Đại học Sư phạm Hà Nội")</f>
        <v>Trường Đại học Sư phạm Hà Nội</v>
      </c>
      <c r="F142" s="4" t="str">
        <f>IFERROR(__xludf.DUMMYFUNCTION("""COMPUTED_VALUE"""),"KHGD2026-142.png")</f>
        <v>KHGD2026-142.png</v>
      </c>
    </row>
    <row r="143">
      <c r="A143" s="4" t="str">
        <f>IFERROR(__xludf.DUMMYFUNCTION("""COMPUTED_VALUE"""),"KHGD2026-143")</f>
        <v>KHGD2026-143</v>
      </c>
      <c r="B143" s="4" t="str">
        <f>IFERROR(__xludf.DUMMYFUNCTION("""COMPUTED_VALUE"""),"Khoa học giáo dục")</f>
        <v>Khoa học giáo dục</v>
      </c>
      <c r="C143" s="4" t="str">
        <f>IFERROR(__xludf.DUMMYFUNCTION("""COMPUTED_VALUE"""),"Xây dựng và kiểm chứng mô hình ứng dụng trí tuệ nhân tạo trong thiết kế Cổng học liệu số nhằm nâng cao hiệu quả dạy học Cầu lông cho học sinh lớp 10 trường THPT Huỳnh Thúc Kháng, tỉnh Nghệ An")</f>
        <v>Xây dựng và kiểm chứng mô hình ứng dụng trí tuệ nhân tạo trong thiết kế Cổng học liệu số nhằm nâng cao hiệu quả dạy học Cầu lông cho học sinh lớp 10 trường THPT Huỳnh Thúc Kháng, tỉnh Nghệ An</v>
      </c>
      <c r="D143" s="4" t="str">
        <f>IFERROR(__xludf.DUMMYFUNCTION("""COMPUTED_VALUE"""),"Nguyễn Thị Thanh Minh; Thái Phúc Thành; Thái Thị Quỳnh Hoa")</f>
        <v>Nguyễn Thị Thanh Minh; Thái Phúc Thành; Thái Thị Quỳnh Hoa</v>
      </c>
      <c r="E143" s="4" t="str">
        <f>IFERROR(__xludf.DUMMYFUNCTION("""COMPUTED_VALUE"""),"Trường Đại học Vinh")</f>
        <v>Trường Đại học Vinh</v>
      </c>
      <c r="F143" s="4" t="str">
        <f>IFERROR(__xludf.DUMMYFUNCTION("""COMPUTED_VALUE"""),"KHGD2026-143.png")</f>
        <v>KHGD2026-143.png</v>
      </c>
    </row>
    <row r="144">
      <c r="A144" s="4" t="str">
        <f>IFERROR(__xludf.DUMMYFUNCTION("""COMPUTED_VALUE"""),"KHGD2026-144")</f>
        <v>KHGD2026-144</v>
      </c>
      <c r="B144" s="4" t="str">
        <f>IFERROR(__xludf.DUMMYFUNCTION("""COMPUTED_VALUE"""),"Khoa học giáo dục")</f>
        <v>Khoa học giáo dục</v>
      </c>
      <c r="C144" s="4" t="str">
        <f>IFERROR(__xludf.DUMMYFUNCTION("""COMPUTED_VALUE"""),"ỨNG DỤNG PHÂN TÍCH ĐẶC ĐIỂM TRỌNG TÂM CƠ THỂ (COM) ĐỂ ĐIỀU CHỈNH MỘT SỐ KỸ THUẬT CƠ BẢN TRONG MÔN CẦU LÔNG CHO SINH VIÊN CHUYÊN SÂU TẠI ĐHSP TDTT TPHCM")</f>
        <v>ỨNG DỤNG PHÂN TÍCH ĐẶC ĐIỂM TRỌNG TÂM CƠ THỂ (COM) ĐỂ ĐIỀU CHỈNH MỘT SỐ KỸ THUẬT CƠ BẢN TRONG MÔN CẦU LÔNG CHO SINH VIÊN CHUYÊN SÂU TẠI ĐHSP TDTT TPHCM</v>
      </c>
      <c r="D144" s="4" t="str">
        <f>IFERROR(__xludf.DUMMYFUNCTION("""COMPUTED_VALUE"""),"Trần Thị Kim Thoa; Diệp Như Anh")</f>
        <v>Trần Thị Kim Thoa; Diệp Như Anh</v>
      </c>
      <c r="E144" s="4" t="str">
        <f>IFERROR(__xludf.DUMMYFUNCTION("""COMPUTED_VALUE"""),"Trường Đại học Sư phạm Thể dục Thể Thao TP. Hồ Chí Minh")</f>
        <v>Trường Đại học Sư phạm Thể dục Thể Thao TP. Hồ Chí Minh</v>
      </c>
      <c r="F144" s="4" t="str">
        <f>IFERROR(__xludf.DUMMYFUNCTION("""COMPUTED_VALUE"""),"KHGD2026-144.png")</f>
        <v>KHGD2026-144.png</v>
      </c>
    </row>
    <row r="145">
      <c r="A145" s="4" t="str">
        <f>IFERROR(__xludf.DUMMYFUNCTION("""COMPUTED_VALUE"""),"KHGD2026-146")</f>
        <v>KHGD2026-146</v>
      </c>
      <c r="B145" s="4" t="str">
        <f>IFERROR(__xludf.DUMMYFUNCTION("""COMPUTED_VALUE"""),"Khoa học giáo dục")</f>
        <v>Khoa học giáo dục</v>
      </c>
      <c r="C145" s="4" t="str">
        <f>IFERROR(__xludf.DUMMYFUNCTION("""COMPUTED_VALUE"""),"Lựa chọn ứng dụng một số bài tập phát triển sức bật nhằm nâng cao thành tích nhảy cao kiểu bước qua cho nữ học sinh lớp 8 trường THCS Tân Hội")</f>
        <v>Lựa chọn ứng dụng một số bài tập phát triển sức bật nhằm nâng cao thành tích nhảy cao kiểu bước qua cho nữ học sinh lớp 8 trường THCS Tân Hội</v>
      </c>
      <c r="D145" s="4" t="str">
        <f>IFERROR(__xludf.DUMMYFUNCTION("""COMPUTED_VALUE"""),"Nguyễn Ngọc Bảo; Nguyễn Thanh Tâm; Phạm Thị An Hà")</f>
        <v>Nguyễn Ngọc Bảo; Nguyễn Thanh Tâm; Phạm Thị An Hà</v>
      </c>
      <c r="E145" s="4" t="str">
        <f>IFERROR(__xludf.DUMMYFUNCTION("""COMPUTED_VALUE"""),"Trường Đại học Thủ đô Hà Nội")</f>
        <v>Trường Đại học Thủ đô Hà Nội</v>
      </c>
      <c r="F145" s="4" t="str">
        <f>IFERROR(__xludf.DUMMYFUNCTION("""COMPUTED_VALUE"""),"KHGD2026-146.png")</f>
        <v>KHGD2026-146.png</v>
      </c>
    </row>
    <row r="146">
      <c r="A146" s="4" t="str">
        <f>IFERROR(__xludf.DUMMYFUNCTION("""COMPUTED_VALUE"""),"KHGD2026-147")</f>
        <v>KHGD2026-147</v>
      </c>
      <c r="B146" s="4" t="str">
        <f>IFERROR(__xludf.DUMMYFUNCTION("""COMPUTED_VALUE"""),"Khoa học giáo dục")</f>
        <v>Khoa học giáo dục</v>
      </c>
      <c r="C146" s="4" t="str">
        <f>IFERROR(__xludf.DUMMYFUNCTION("""COMPUTED_VALUE"""),"FACTORS SHAPING STUDENTS’ CONTINUANCE INTENTION TO USE GENERATIVE AI FOR ACADEMIC PURPOSES: THE MEDIATING ROLE OF PERCEIVED USEFULNESS — EVIDENCE FROM A BILINGUAL HIGHER EDUCATION INSTITUTION IN VIETNAM")</f>
        <v>FACTORS SHAPING STUDENTS’ CONTINUANCE INTENTION TO USE GENERATIVE AI FOR ACADEMIC PURPOSES: THE MEDIATING ROLE OF PERCEIVED USEFULNESS — EVIDENCE FROM A BILINGUAL HIGHER EDUCATION INSTITUTION IN VIETNAM</v>
      </c>
      <c r="D146" s="4" t="str">
        <f>IFERROR(__xludf.DUMMYFUNCTION("""COMPUTED_VALUE"""),"Đoàn Nguyễn Khánh Linh")</f>
        <v>Đoàn Nguyễn Khánh Linh</v>
      </c>
      <c r="E146" s="4" t="str">
        <f>IFERROR(__xludf.DUMMYFUNCTION("""COMPUTED_VALUE"""),"Trường Đại học Nguyễn Tất Thành")</f>
        <v>Trường Đại học Nguyễn Tất Thành</v>
      </c>
      <c r="F146" s="4" t="str">
        <f>IFERROR(__xludf.DUMMYFUNCTION("""COMPUTED_VALUE"""),"KHGD2026-147.png")</f>
        <v>KHGD2026-147.png</v>
      </c>
    </row>
    <row r="147">
      <c r="A147" s="4" t="str">
        <f>IFERROR(__xludf.DUMMYFUNCTION("""COMPUTED_VALUE"""),"KHGD2026-148")</f>
        <v>KHGD2026-148</v>
      </c>
      <c r="B147" s="4" t="str">
        <f>IFERROR(__xludf.DUMMYFUNCTION("""COMPUTED_VALUE"""),"Khoa học giáo dục")</f>
        <v>Khoa học giáo dục</v>
      </c>
      <c r="C147" s="4" t="str">
        <f>IFERROR(__xludf.DUMMYFUNCTION("""COMPUTED_VALUE"""),"TEACHER AND TECHNICAL SUPPORT IN AI-ASSISTED LEARNING: ASSOCIATIONS WITH BASIC PSYCHOLOGICAL NEED SATISFACTION, SELF-REPORTED AI LITERACY, AND PERCEIVED ACADEMIC PERFORMANCE AMONG UNIVERSITY STUDENTS IN HO CHI MINH CITY")</f>
        <v>TEACHER AND TECHNICAL SUPPORT IN AI-ASSISTED LEARNING: ASSOCIATIONS WITH BASIC PSYCHOLOGICAL NEED SATISFACTION, SELF-REPORTED AI LITERACY, AND PERCEIVED ACADEMIC PERFORMANCE AMONG UNIVERSITY STUDENTS IN HO CHI MINH CITY</v>
      </c>
      <c r="D147" s="4" t="str">
        <f>IFERROR(__xludf.DUMMYFUNCTION("""COMPUTED_VALUE"""),"Võ Minh Hiến; Phạm Quang Khải")</f>
        <v>Võ Minh Hiến; Phạm Quang Khải</v>
      </c>
      <c r="E147" s="4" t="str">
        <f>IFERROR(__xludf.DUMMYFUNCTION("""COMPUTED_VALUE"""),"Trường Đại học Nguyễn Tất Thành")</f>
        <v>Trường Đại học Nguyễn Tất Thành</v>
      </c>
      <c r="F147" s="4" t="str">
        <f>IFERROR(__xludf.DUMMYFUNCTION("""COMPUTED_VALUE"""),"KHGD2026-148.png")</f>
        <v>KHGD2026-148.png</v>
      </c>
    </row>
    <row r="148">
      <c r="A148" s="4" t="str">
        <f>IFERROR(__xludf.DUMMYFUNCTION("""COMPUTED_VALUE"""),"KHGD2026-149")</f>
        <v>KHGD2026-149</v>
      </c>
      <c r="B148" s="4" t="str">
        <f>IFERROR(__xludf.DUMMYFUNCTION("""COMPUTED_VALUE"""),"Khoa học giáo dục")</f>
        <v>Khoa học giáo dục</v>
      </c>
      <c r="C148" s="4" t="str">
        <f>IFERROR(__xludf.DUMMYFUNCTION("""COMPUTED_VALUE"""),"Thực trạng trì hoãn việc phát triển bản thân của sinh viên trường Đại học Nghệ An")</f>
        <v>Thực trạng trì hoãn việc phát triển bản thân của sinh viên trường Đại học Nghệ An</v>
      </c>
      <c r="D148" s="4" t="str">
        <f>IFERROR(__xludf.DUMMYFUNCTION("""COMPUTED_VALUE"""),"Nguyễn Thuỳ Dương; Lê Văn Hiếu; Đặng Quỳnh Giang; Nguyễn Thị Thảo Hiền")</f>
        <v>Nguyễn Thuỳ Dương; Lê Văn Hiếu; Đặng Quỳnh Giang; Nguyễn Thị Thảo Hiền</v>
      </c>
      <c r="E148" s="4" t="str">
        <f>IFERROR(__xludf.DUMMYFUNCTION("""COMPUTED_VALUE"""),"Trường Đại học Nghệ An")</f>
        <v>Trường Đại học Nghệ An</v>
      </c>
      <c r="F148" s="4" t="str">
        <f>IFERROR(__xludf.DUMMYFUNCTION("""COMPUTED_VALUE"""),"KHGD2026-149.png")</f>
        <v>KHGD2026-149.png</v>
      </c>
    </row>
    <row r="149">
      <c r="A149" s="4" t="str">
        <f>IFERROR(__xludf.DUMMYFUNCTION("""COMPUTED_VALUE"""),"KHGD2026-150")</f>
        <v>KHGD2026-150</v>
      </c>
      <c r="B149" s="4" t="str">
        <f>IFERROR(__xludf.DUMMYFUNCTION("""COMPUTED_VALUE"""),"Khoa học giáo dục")</f>
        <v>Khoa học giáo dục</v>
      </c>
      <c r="C149" s="4" t="str">
        <f>IFERROR(__xludf.DUMMYFUNCTION("""COMPUTED_VALUE"""),"Student stress and academic achievement in International School students")</f>
        <v>Student stress and academic achievement in International School students</v>
      </c>
      <c r="D149" s="4" t="str">
        <f>IFERROR(__xludf.DUMMYFUNCTION("""COMPUTED_VALUE"""),"Dương Thị Khánh Linh; Bùi Thị Thùy Linh")</f>
        <v>Dương Thị Khánh Linh; Bùi Thị Thùy Linh</v>
      </c>
      <c r="E149" s="4" t="str">
        <f>IFERROR(__xludf.DUMMYFUNCTION("""COMPUTED_VALUE"""),"Trường Quốc tế, ĐHQG Hà Nội")</f>
        <v>Trường Quốc tế, ĐHQG Hà Nội</v>
      </c>
      <c r="F149" s="4" t="str">
        <f>IFERROR(__xludf.DUMMYFUNCTION("""COMPUTED_VALUE"""),"KHGD2026-150.png")</f>
        <v>KHGD2026-150.png</v>
      </c>
    </row>
    <row r="150">
      <c r="A150" s="4" t="str">
        <f>IFERROR(__xludf.DUMMYFUNCTION("""COMPUTED_VALUE"""),"KHGD2026-151")</f>
        <v>KHGD2026-151</v>
      </c>
      <c r="B150" s="4" t="str">
        <f>IFERROR(__xludf.DUMMYFUNCTION("""COMPUTED_VALUE"""),"Khoa học giáo dục")</f>
        <v>Khoa học giáo dục</v>
      </c>
      <c r="C150" s="4" t="str">
        <f>IFERROR(__xludf.DUMMYFUNCTION("""COMPUTED_VALUE"""),"Áp dụng Trí tuệ nhân tạo và vấn đề Liêm chính học thuật (đạo đức học thuật) đối với sinh viên Việt Nam")</f>
        <v>Áp dụng Trí tuệ nhân tạo và vấn đề Liêm chính học thuật (đạo đức học thuật) đối với sinh viên Việt Nam</v>
      </c>
      <c r="D150" s="4" t="str">
        <f>IFERROR(__xludf.DUMMYFUNCTION("""COMPUTED_VALUE"""),"Nguyễn Thị Tuyết Lâm; Bùi Mai Chi; Đoàn Minh Đức")</f>
        <v>Nguyễn Thị Tuyết Lâm; Bùi Mai Chi; Đoàn Minh Đức</v>
      </c>
      <c r="E150" s="4" t="str">
        <f>IFERROR(__xludf.DUMMYFUNCTION("""COMPUTED_VALUE"""),"Học viện Tài chính")</f>
        <v>Học viện Tài chính</v>
      </c>
      <c r="F150" s="4" t="str">
        <f>IFERROR(__xludf.DUMMYFUNCTION("""COMPUTED_VALUE"""),"KHGD2026-151.png")</f>
        <v>KHGD2026-151.png</v>
      </c>
    </row>
    <row r="151">
      <c r="A151" s="4" t="str">
        <f>IFERROR(__xludf.DUMMYFUNCTION("""COMPUTED_VALUE"""),"KHGD2026-152")</f>
        <v>KHGD2026-152</v>
      </c>
      <c r="B151" s="4" t="str">
        <f>IFERROR(__xludf.DUMMYFUNCTION("""COMPUTED_VALUE"""),"Khoa học giáo dục")</f>
        <v>Khoa học giáo dục</v>
      </c>
      <c r="C151" s="4" t="str">
        <f>IFERROR(__xludf.DUMMYFUNCTION("""COMPUTED_VALUE"""),"Ý chí học tập của sinh viên chương trình đào tạo chất lượng cao tại một trường đại học ở Thành phố Hồ Chí Minh")</f>
        <v>Ý chí học tập của sinh viên chương trình đào tạo chất lượng cao tại một trường đại học ở Thành phố Hồ Chí Minh</v>
      </c>
      <c r="D151" s="4" t="str">
        <f>IFERROR(__xludf.DUMMYFUNCTION("""COMPUTED_VALUE"""),"Phạm Phương Loan; Hồ Trúc Đào; Huỳnh Thị Hồng Phấn")</f>
        <v>Phạm Phương Loan; Hồ Trúc Đào; Huỳnh Thị Hồng Phấn</v>
      </c>
      <c r="E151" s="4" t="str">
        <f>IFERROR(__xludf.DUMMYFUNCTION("""COMPUTED_VALUE"""),"Trường Đại học Mở TP. Hồ Chí Minh")</f>
        <v>Trường Đại học Mở TP. Hồ Chí Minh</v>
      </c>
      <c r="F151" s="4" t="str">
        <f>IFERROR(__xludf.DUMMYFUNCTION("""COMPUTED_VALUE"""),"KHGD2026-152.png")</f>
        <v>KHGD2026-152.png</v>
      </c>
    </row>
    <row r="152">
      <c r="A152" s="4" t="str">
        <f>IFERROR(__xludf.DUMMYFUNCTION("""COMPUTED_VALUE"""),"KHGD2026-153")</f>
        <v>KHGD2026-153</v>
      </c>
      <c r="B152" s="4" t="str">
        <f>IFERROR(__xludf.DUMMYFUNCTION("""COMPUTED_VALUE"""),"Khoa học giáo dục")</f>
        <v>Khoa học giáo dục</v>
      </c>
      <c r="C152" s="4" t="str">
        <f>IFERROR(__xludf.DUMMYFUNCTION("""COMPUTED_VALUE"""),"Ứng dụng công nghệ 3D vào thiết kế mascot hỗ trợ kỹ năng giao tiếp cho trẻ tự kỷ 5-10 tuổi")</f>
        <v>Ứng dụng công nghệ 3D vào thiết kế mascot hỗ trợ kỹ năng giao tiếp cho trẻ tự kỷ 5-10 tuổi</v>
      </c>
      <c r="D152" s="4" t="str">
        <f>IFERROR(__xludf.DUMMYFUNCTION("""COMPUTED_VALUE"""),"Bùi Thị Hương Giang; Đặng Anh Thư; Nguyễn Hoàng Hồng Sơn; Vương Xuân Khang; Lê Nguyệt Minh")</f>
        <v>Bùi Thị Hương Giang; Đặng Anh Thư; Nguyễn Hoàng Hồng Sơn; Vương Xuân Khang; Lê Nguyệt Minh</v>
      </c>
      <c r="E152" s="4" t="str">
        <f>IFERROR(__xludf.DUMMYFUNCTION("""COMPUTED_VALUE"""),"Trường Đại học Kiến Trúc Hà Nội")</f>
        <v>Trường Đại học Kiến Trúc Hà Nội</v>
      </c>
      <c r="F152" s="4" t="str">
        <f>IFERROR(__xludf.DUMMYFUNCTION("""COMPUTED_VALUE"""),"KHGD2026-153.png")</f>
        <v>KHGD2026-153.png</v>
      </c>
    </row>
    <row r="153">
      <c r="A153" s="4" t="str">
        <f>IFERROR(__xludf.DUMMYFUNCTION("""COMPUTED_VALUE"""),"KHGD2026-154")</f>
        <v>KHGD2026-154</v>
      </c>
      <c r="B153" s="4" t="str">
        <f>IFERROR(__xludf.DUMMYFUNCTION("""COMPUTED_VALUE"""),"Khoa học giáo dục")</f>
        <v>Khoa học giáo dục</v>
      </c>
      <c r="C153" s="4" t="str">
        <f>IFERROR(__xludf.DUMMYFUNCTION("""COMPUTED_VALUE"""),"THE IMPACT OF AI-DRIVEN LEARNING ON STUDENTS’ PSYCHOLOGICAL WELL-BEING AND ACADEMIC INTEGRITY IN THE DIGITAL EDUCATION ERA: EVIDENCE FROM STUDENTS FROM UNIVERSITY OF ECONOMICS HO CHI MINH CITY, VIETNAM")</f>
        <v>THE IMPACT OF AI-DRIVEN LEARNING ON STUDENTS’ PSYCHOLOGICAL WELL-BEING AND ACADEMIC INTEGRITY IN THE DIGITAL EDUCATION ERA: EVIDENCE FROM STUDENTS FROM UNIVERSITY OF ECONOMICS HO CHI MINH CITY, VIETNAM</v>
      </c>
      <c r="D153" s="4" t="str">
        <f>IFERROR(__xludf.DUMMYFUNCTION("""COMPUTED_VALUE"""),"Trần Nam Khang; Đào Nguyễn Cẩm Tú; Dương Ngọc Diễm Quỳnh; Trần Nguyễn Gia Bảo; Lâm Bích Duyên")</f>
        <v>Trần Nam Khang; Đào Nguyễn Cẩm Tú; Dương Ngọc Diễm Quỳnh; Trần Nguyễn Gia Bảo; Lâm Bích Duyên</v>
      </c>
      <c r="E153" s="4" t="str">
        <f>IFERROR(__xludf.DUMMYFUNCTION("""COMPUTED_VALUE"""),"Trường Đại học Kinh Tế TP. Hồ Chí Minh")</f>
        <v>Trường Đại học Kinh Tế TP. Hồ Chí Minh</v>
      </c>
      <c r="F153" s="4" t="str">
        <f>IFERROR(__xludf.DUMMYFUNCTION("""COMPUTED_VALUE"""),"KHGD2026-154.png")</f>
        <v>KHGD2026-154.png</v>
      </c>
    </row>
    <row r="154">
      <c r="A154" s="4" t="str">
        <f>IFERROR(__xludf.DUMMYFUNCTION("""COMPUTED_VALUE"""),"KHGD2026-155")</f>
        <v>KHGD2026-155</v>
      </c>
      <c r="B154" s="4" t="str">
        <f>IFERROR(__xludf.DUMMYFUNCTION("""COMPUTED_VALUE"""),"Khoa học giáo dục")</f>
        <v>Khoa học giáo dục</v>
      </c>
      <c r="C154" s="4" t="str">
        <f>IFERROR(__xludf.DUMMYFUNCTION("""COMPUTED_VALUE"""),"Ảnh hưởng của kiến thức về AI, thái độ đối với AI, niềm tin vào năng lực sử dụng AI đến thành tích học tập của sinh viên dưới vai trò điều tiết của thời lượng sử dụng AI và số năm học của sinh viên")</f>
        <v>Ảnh hưởng của kiến thức về AI, thái độ đối với AI, niềm tin vào năng lực sử dụng AI đến thành tích học tập của sinh viên dưới vai trò điều tiết của thời lượng sử dụng AI và số năm học của sinh viên</v>
      </c>
      <c r="D154" s="4" t="str">
        <f>IFERROR(__xludf.DUMMYFUNCTION("""COMPUTED_VALUE"""),"Đặng Hoàng Anh Thư; Nguyễn Thị Gia Khánh; Nguyễn Ngọc Quỳnh Như; Trương Nguyễn Huỳnh")</f>
        <v>Đặng Hoàng Anh Thư; Nguyễn Thị Gia Khánh; Nguyễn Ngọc Quỳnh Như; Trương Nguyễn Huỳnh</v>
      </c>
      <c r="E154" s="4" t="str">
        <f>IFERROR(__xludf.DUMMYFUNCTION("""COMPUTED_VALUE"""),"Trường Đại học Khoa học xã hội và Nhân văn, ĐHQG-HCM")</f>
        <v>Trường Đại học Khoa học xã hội và Nhân văn, ĐHQG-HCM</v>
      </c>
      <c r="F154" s="4" t="str">
        <f>IFERROR(__xludf.DUMMYFUNCTION("""COMPUTED_VALUE"""),"KHGD2026-155.png")</f>
        <v>KHGD2026-155.png</v>
      </c>
    </row>
    <row r="155">
      <c r="A155" s="4" t="str">
        <f>IFERROR(__xludf.DUMMYFUNCTION("""COMPUTED_VALUE"""),"KHGD2026-156")</f>
        <v>KHGD2026-156</v>
      </c>
      <c r="B155" s="4" t="str">
        <f>IFERROR(__xludf.DUMMYFUNCTION("""COMPUTED_VALUE"""),"Khoa học giáo dục")</f>
        <v>Khoa học giáo dục</v>
      </c>
      <c r="C155" s="4" t="str">
        <f>IFERROR(__xludf.DUMMYFUNCTION("""COMPUTED_VALUE"""),"Mối liên hệ giữa các thành phần nhân cách theo mô hình HEXACO và nỗi sợ bị bỏ lỡ (Fear of Missing Out - FoMO) ở sinh viên")</f>
        <v>Mối liên hệ giữa các thành phần nhân cách theo mô hình HEXACO và nỗi sợ bị bỏ lỡ (Fear of Missing Out - FoMO) ở sinh viên</v>
      </c>
      <c r="D155" s="4" t="str">
        <f>IFERROR(__xludf.DUMMYFUNCTION("""COMPUTED_VALUE"""),"Đỗ Quốc An")</f>
        <v>Đỗ Quốc An</v>
      </c>
      <c r="E155" s="4" t="str">
        <f>IFERROR(__xludf.DUMMYFUNCTION("""COMPUTED_VALUE"""),"Trường Đại học Khoa học xã hội và Nhân văn, ĐHQG-HCM")</f>
        <v>Trường Đại học Khoa học xã hội và Nhân văn, ĐHQG-HCM</v>
      </c>
      <c r="F155" s="4" t="str">
        <f>IFERROR(__xludf.DUMMYFUNCTION("""COMPUTED_VALUE"""),"KHGD2026-156.png")</f>
        <v>KHGD2026-156.png</v>
      </c>
    </row>
    <row r="156">
      <c r="A156" s="4" t="str">
        <f>IFERROR(__xludf.DUMMYFUNCTION("""COMPUTED_VALUE"""),"KHGD2026-157")</f>
        <v>KHGD2026-157</v>
      </c>
      <c r="B156" s="4" t="str">
        <f>IFERROR(__xludf.DUMMYFUNCTION("""COMPUTED_VALUE"""),"Khoa học giáo dục")</f>
        <v>Khoa học giáo dục</v>
      </c>
      <c r="C156" s="4" t="str">
        <f>IFERROR(__xludf.DUMMYFUNCTION("""COMPUTED_VALUE"""),"Ảnh hưởng của mức độ phụ thuộc vào AI tạo sinh (Generative AI) đến khả năng sáng tạo của sinh viên")</f>
        <v>Ảnh hưởng của mức độ phụ thuộc vào AI tạo sinh (Generative AI) đến khả năng sáng tạo của sinh viên</v>
      </c>
      <c r="D156" s="4" t="str">
        <f>IFERROR(__xludf.DUMMYFUNCTION("""COMPUTED_VALUE"""),"Nguyễn Ngọc Bình An; Đỗ Quốc An; Lê Hòa Dân An; Phạm Hoàng Tâm An; Hà Nhật Khuê")</f>
        <v>Nguyễn Ngọc Bình An; Đỗ Quốc An; Lê Hòa Dân An; Phạm Hoàng Tâm An; Hà Nhật Khuê</v>
      </c>
      <c r="E156" s="4" t="str">
        <f>IFERROR(__xludf.DUMMYFUNCTION("""COMPUTED_VALUE"""),"Trường Đại học Khoa học xã hội và Nhân văn, ĐHQG-HCM")</f>
        <v>Trường Đại học Khoa học xã hội và Nhân văn, ĐHQG-HCM</v>
      </c>
      <c r="F156" s="4" t="str">
        <f>IFERROR(__xludf.DUMMYFUNCTION("""COMPUTED_VALUE"""),"KHGD2026-157.png")</f>
        <v>KHGD2026-157.png</v>
      </c>
    </row>
    <row r="157">
      <c r="A157" s="4" t="str">
        <f>IFERROR(__xludf.DUMMYFUNCTION("""COMPUTED_VALUE"""),"KHGD2026-158")</f>
        <v>KHGD2026-158</v>
      </c>
      <c r="B157" s="4" t="str">
        <f>IFERROR(__xludf.DUMMYFUNCTION("""COMPUTED_VALUE"""),"Khoa học giáo dục")</f>
        <v>Khoa học giáo dục</v>
      </c>
      <c r="C157" s="4" t="str">
        <f>IFERROR(__xludf.DUMMYFUNCTION("""COMPUTED_VALUE"""),"Khó khăn trong điều tiết cảm xúc và hành vi Trì hoãn học tập trong kỷ nguyên AI: Vai trò của Vốn tâm lý")</f>
        <v>Khó khăn trong điều tiết cảm xúc và hành vi Trì hoãn học tập trong kỷ nguyên AI: Vai trò của Vốn tâm lý</v>
      </c>
      <c r="D157" s="4" t="str">
        <f>IFERROR(__xludf.DUMMYFUNCTION("""COMPUTED_VALUE"""),"Nguyễn Huỳnh Ngọc ÁNh Như; Phạm Tất Đạt; Lê Bảo Toàn; Nguyễn Trần Mỹ Ý")</f>
        <v>Nguyễn Huỳnh Ngọc ÁNh Như; Phạm Tất Đạt; Lê Bảo Toàn; Nguyễn Trần Mỹ Ý</v>
      </c>
      <c r="E157" s="4" t="str">
        <f>IFERROR(__xludf.DUMMYFUNCTION("""COMPUTED_VALUE"""),"Trường Đại học Khoa học xã hội và Nhân văn, ĐHQG-HCM")</f>
        <v>Trường Đại học Khoa học xã hội và Nhân văn, ĐHQG-HCM</v>
      </c>
      <c r="F157" s="4" t="str">
        <f>IFERROR(__xludf.DUMMYFUNCTION("""COMPUTED_VALUE"""),"KHGD2026-158.png")</f>
        <v>KHGD2026-158.png</v>
      </c>
    </row>
    <row r="158">
      <c r="A158" s="4" t="str">
        <f>IFERROR(__xludf.DUMMYFUNCTION("""COMPUTED_VALUE"""),"KHGD2026-159")</f>
        <v>KHGD2026-159</v>
      </c>
      <c r="B158" s="4" t="str">
        <f>IFERROR(__xludf.DUMMYFUNCTION("""COMPUTED_VALUE"""),"Khoa học giáo dục")</f>
        <v>Khoa học giáo dục</v>
      </c>
      <c r="C158" s="4" t="str">
        <f>IFERROR(__xludf.DUMMYFUNCTION("""COMPUTED_VALUE"""),"Thực nghiệm đánh giá tác động của nền tảng ChatGPT dựa trên tiếp cận nhận thức - Hành vi trong hỗ trợ tâm lý cho sinh viên có trầm cảm")</f>
        <v>Thực nghiệm đánh giá tác động của nền tảng ChatGPT dựa trên tiếp cận nhận thức - Hành vi trong hỗ trợ tâm lý cho sinh viên có trầm cảm</v>
      </c>
      <c r="D158" s="4" t="str">
        <f>IFERROR(__xludf.DUMMYFUNCTION("""COMPUTED_VALUE"""),"Nguyễn Võ Song Ân")</f>
        <v>Nguyễn Võ Song Ân</v>
      </c>
      <c r="E158" s="4" t="str">
        <f>IFERROR(__xludf.DUMMYFUNCTION("""COMPUTED_VALUE"""),"Trường Đại học Khoa học xã hội và Nhân văn, ĐHQG-HCM")</f>
        <v>Trường Đại học Khoa học xã hội và Nhân văn, ĐHQG-HCM</v>
      </c>
      <c r="F158" s="4" t="str">
        <f>IFERROR(__xludf.DUMMYFUNCTION("""COMPUTED_VALUE"""),"KHGD2026-159.png")</f>
        <v>KHGD2026-159.png</v>
      </c>
    </row>
    <row r="159">
      <c r="A159" s="4" t="str">
        <f>IFERROR(__xludf.DUMMYFUNCTION("""COMPUTED_VALUE"""),"KHGD2026-160")</f>
        <v>KHGD2026-160</v>
      </c>
      <c r="B159" s="4" t="str">
        <f>IFERROR(__xludf.DUMMYFUNCTION("""COMPUTED_VALUE"""),"Khoa học giáo dục")</f>
        <v>Khoa học giáo dục</v>
      </c>
      <c r="C159" s="4" t="str">
        <f>IFERROR(__xludf.DUMMYFUNCTION("""COMPUTED_VALUE"""),"Tác động của chánh niệm lên sinh viên có mức độ trầm cảm trung bình tại Thành phố Hồ Chí Minh")</f>
        <v>Tác động của chánh niệm lên sinh viên có mức độ trầm cảm trung bình tại Thành phố Hồ Chí Minh</v>
      </c>
      <c r="D159" s="4" t="str">
        <f>IFERROR(__xludf.DUMMYFUNCTION("""COMPUTED_VALUE"""),"Nguyễn Ngọc Gia Uyên; Lê Hoàng Gia Mỹ; Nguyễn Tuấn Anh")</f>
        <v>Nguyễn Ngọc Gia Uyên; Lê Hoàng Gia Mỹ; Nguyễn Tuấn Anh</v>
      </c>
      <c r="E159" s="4" t="str">
        <f>IFERROR(__xludf.DUMMYFUNCTION("""COMPUTED_VALUE"""),"Trường Đại học Văn Hiến")</f>
        <v>Trường Đại học Văn Hiến</v>
      </c>
      <c r="F159" s="4" t="str">
        <f>IFERROR(__xludf.DUMMYFUNCTION("""COMPUTED_VALUE"""),"KHGD2026-160.png")</f>
        <v>KHGD2026-160.png</v>
      </c>
    </row>
    <row r="160">
      <c r="A160" s="4" t="str">
        <f>IFERROR(__xludf.DUMMYFUNCTION("""COMPUTED_VALUE"""),"KHGD2026-161")</f>
        <v>KHGD2026-161</v>
      </c>
      <c r="B160" s="4" t="str">
        <f>IFERROR(__xludf.DUMMYFUNCTION("""COMPUTED_VALUE"""),"Khoa học giáo dục")</f>
        <v>Khoa học giáo dục</v>
      </c>
      <c r="C160" s="4" t="str">
        <f>IFERROR(__xludf.DUMMYFUNCTION("""COMPUTED_VALUE"""),"Ảnh hưởng của nội dung truyền cảm hứng trên TikTok đến động lực học tập của sinh viên tại TP.HCM")</f>
        <v>Ảnh hưởng của nội dung truyền cảm hứng trên TikTok đến động lực học tập của sinh viên tại TP.HCM</v>
      </c>
      <c r="D160" s="4" t="str">
        <f>IFERROR(__xludf.DUMMYFUNCTION("""COMPUTED_VALUE"""),"Ngô Thị Lan Anh")</f>
        <v>Ngô Thị Lan Anh</v>
      </c>
      <c r="E160" s="4" t="str">
        <f>IFERROR(__xludf.DUMMYFUNCTION("""COMPUTED_VALUE"""),"Trường Đại học Văn Hiến")</f>
        <v>Trường Đại học Văn Hiến</v>
      </c>
      <c r="F160" s="4" t="str">
        <f>IFERROR(__xludf.DUMMYFUNCTION("""COMPUTED_VALUE"""),"KHGD2026-161.png")</f>
        <v>KHGD2026-161.png</v>
      </c>
    </row>
    <row r="161">
      <c r="A161" s="4" t="str">
        <f>IFERROR(__xludf.DUMMYFUNCTION("""COMPUTED_VALUE"""),"KHGD2026-162")</f>
        <v>KHGD2026-162</v>
      </c>
      <c r="B161" s="4" t="str">
        <f>IFERROR(__xludf.DUMMYFUNCTION("""COMPUTED_VALUE"""),"Khoa học giáo dục")</f>
        <v>Khoa học giáo dục</v>
      </c>
      <c r="C161" s="4" t="str">
        <f>IFERROR(__xludf.DUMMYFUNCTION("""COMPUTED_VALUE"""),"Mối liên hệ của thể hiện bản thân trên mạng xã hội đến cảm nhận hạnh phúc của sinh viên: vai trò trung gian của lòng tự trọng (nghiên cứu trên nhóm sinh viên có sử dụng ứng dụng Locket Widget)")</f>
        <v>Mối liên hệ của thể hiện bản thân trên mạng xã hội đến cảm nhận hạnh phúc của sinh viên: vai trò trung gian của lòng tự trọng (nghiên cứu trên nhóm sinh viên có sử dụng ứng dụng Locket Widget)</v>
      </c>
      <c r="D161" s="4" t="str">
        <f>IFERROR(__xludf.DUMMYFUNCTION("""COMPUTED_VALUE"""),"Trần Quốc Huy; Trần Tuấn Anh; Nguyễn Nam Trân; Phạm Mai Phương")</f>
        <v>Trần Quốc Huy; Trần Tuấn Anh; Nguyễn Nam Trân; Phạm Mai Phương</v>
      </c>
      <c r="E161" s="4" t="str">
        <f>IFERROR(__xludf.DUMMYFUNCTION("""COMPUTED_VALUE"""),"Trường Đại học Khoa học xã hội và Nhân văn, ĐHQG-HCM")</f>
        <v>Trường Đại học Khoa học xã hội và Nhân văn, ĐHQG-HCM</v>
      </c>
      <c r="F161" s="4" t="str">
        <f>IFERROR(__xludf.DUMMYFUNCTION("""COMPUTED_VALUE"""),"KHGD2026-162.png")</f>
        <v>KHGD2026-162.png</v>
      </c>
    </row>
    <row r="162">
      <c r="A162" s="4" t="str">
        <f>IFERROR(__xludf.DUMMYFUNCTION("""COMPUTED_VALUE"""),"KHGD2026-163")</f>
        <v>KHGD2026-163</v>
      </c>
      <c r="B162" s="4" t="str">
        <f>IFERROR(__xludf.DUMMYFUNCTION("""COMPUTED_VALUE"""),"Khoa học giáo dục")</f>
        <v>Khoa học giáo dục</v>
      </c>
      <c r="C162" s="4" t="str">
        <f>IFERROR(__xludf.DUMMYFUNCTION("""COMPUTED_VALUE"""),"Đánh giá các yếu tố ảnh hưởng đến đông lực học tập của sinh viên Trường Đại học Thủ đô Hà Nội bằng phương pháp hồi quy đa biến.")</f>
        <v>Đánh giá các yếu tố ảnh hưởng đến đông lực học tập của sinh viên Trường Đại học Thủ đô Hà Nội bằng phương pháp hồi quy đa biến.</v>
      </c>
      <c r="D162" s="4" t="str">
        <f>IFERROR(__xludf.DUMMYFUNCTION("""COMPUTED_VALUE"""),"Nguyễn Thị Trang Huyền; Lã Quang Nam; Lê Hồng Thư; Nguyễn Quỳnh Anh; Nguyễn Trần Bảo Linh")</f>
        <v>Nguyễn Thị Trang Huyền; Lã Quang Nam; Lê Hồng Thư; Nguyễn Quỳnh Anh; Nguyễn Trần Bảo Linh</v>
      </c>
      <c r="E162" s="4" t="str">
        <f>IFERROR(__xludf.DUMMYFUNCTION("""COMPUTED_VALUE"""),"Trường Đại học Thủ đô Hà Nội")</f>
        <v>Trường Đại học Thủ đô Hà Nội</v>
      </c>
      <c r="F162" s="4" t="str">
        <f>IFERROR(__xludf.DUMMYFUNCTION("""COMPUTED_VALUE"""),"KHGD2026-163.png")</f>
        <v>KHGD2026-163.png</v>
      </c>
    </row>
    <row r="163">
      <c r="A163" s="4" t="str">
        <f>IFERROR(__xludf.DUMMYFUNCTION("""COMPUTED_VALUE"""),"KHGD2026-164")</f>
        <v>KHGD2026-164</v>
      </c>
      <c r="B163" s="4" t="str">
        <f>IFERROR(__xludf.DUMMYFUNCTION("""COMPUTED_VALUE"""),"Khoa học giáo dục")</f>
        <v>Khoa học giáo dục</v>
      </c>
      <c r="C163" s="4" t="str">
        <f>IFERROR(__xludf.DUMMYFUNCTION("""COMPUTED_VALUE"""),"Khả năng thích nghi trong việc học ngoại ngữ có sự hỗ trợ công nghệ của sinh viên tại Thành phố Hồ Chí Minh")</f>
        <v>Khả năng thích nghi trong việc học ngoại ngữ có sự hỗ trợ công nghệ của sinh viên tại Thành phố Hồ Chí Minh</v>
      </c>
      <c r="D163" s="4" t="str">
        <f>IFERROR(__xludf.DUMMYFUNCTION("""COMPUTED_VALUE"""),"Nguyễn Thanh Hòa; Nguyễn Dương Ngọc Hân; Đào Phương Trâm Anh; Đoàn Đức Mạnh; Lê Ngọc Bảo Hân")</f>
        <v>Nguyễn Thanh Hòa; Nguyễn Dương Ngọc Hân; Đào Phương Trâm Anh; Đoàn Đức Mạnh; Lê Ngọc Bảo Hân</v>
      </c>
      <c r="E163" s="4" t="str">
        <f>IFERROR(__xludf.DUMMYFUNCTION("""COMPUTED_VALUE"""),"Trường Đại học Giao thông vận tải TP. Hồ Chí Minh")</f>
        <v>Trường Đại học Giao thông vận tải TP. Hồ Chí Minh</v>
      </c>
      <c r="F163" s="4" t="str">
        <f>IFERROR(__xludf.DUMMYFUNCTION("""COMPUTED_VALUE"""),"KHGD2026-164.png")</f>
        <v>KHGD2026-164.png</v>
      </c>
    </row>
    <row r="164">
      <c r="A164" s="4" t="str">
        <f>IFERROR(__xludf.DUMMYFUNCTION("""COMPUTED_VALUE"""),"KHGD2026-165")</f>
        <v>KHGD2026-165</v>
      </c>
      <c r="B164" s="4" t="str">
        <f>IFERROR(__xludf.DUMMYFUNCTION("""COMPUTED_VALUE"""),"Khoa học giáo dục")</f>
        <v>Khoa học giáo dục</v>
      </c>
      <c r="C164" s="4" t="str">
        <f>IFERROR(__xludf.DUMMYFUNCTION("""COMPUTED_VALUE"""),"MỨC ĐỘ SỬ DỤNG CHATGPT VÀO HỌC TẬP CỦA SINH VIÊN ĐẠI HỌC LUẬT HÀ NỘI")</f>
        <v>MỨC ĐỘ SỬ DỤNG CHATGPT VÀO HỌC TẬP CỦA SINH VIÊN ĐẠI HỌC LUẬT HÀ NỘI</v>
      </c>
      <c r="D164" s="4" t="str">
        <f>IFERROR(__xludf.DUMMYFUNCTION("""COMPUTED_VALUE"""),"Hà Công Tiến; Trần Thu Trang; Trần Viết Thành")</f>
        <v>Hà Công Tiến; Trần Thu Trang; Trần Viết Thành</v>
      </c>
      <c r="E164" s="4" t="str">
        <f>IFERROR(__xludf.DUMMYFUNCTION("""COMPUTED_VALUE"""),"Trường Đại học Luật Hà Nội")</f>
        <v>Trường Đại học Luật Hà Nội</v>
      </c>
      <c r="F164" s="4" t="str">
        <f>IFERROR(__xludf.DUMMYFUNCTION("""COMPUTED_VALUE"""),"KHGD2026-165.png")</f>
        <v>KHGD2026-165.png</v>
      </c>
    </row>
    <row r="165">
      <c r="A165" s="4" t="str">
        <f>IFERROR(__xludf.DUMMYFUNCTION("""COMPUTED_VALUE"""),"KHGD2026-166")</f>
        <v>KHGD2026-166</v>
      </c>
      <c r="B165" s="4" t="str">
        <f>IFERROR(__xludf.DUMMYFUNCTION("""COMPUTED_VALUE"""),"Khoa học giáo dục")</f>
        <v>Khoa học giáo dục</v>
      </c>
      <c r="C165" s="4" t="str">
        <f>IFERROR(__xludf.DUMMYFUNCTION("""COMPUTED_VALUE"""),"CALM4KIDS - KÊNH YOUTUBE LOW-STIMULATION (DỊU NHẸ) DẠY KỸ NĂNG SỐNG CHO TRẺ EM VIỆT NAM")</f>
        <v>CALM4KIDS - KÊNH YOUTUBE LOW-STIMULATION (DỊU NHẸ) DẠY KỸ NĂNG SỐNG CHO TRẺ EM VIỆT NAM</v>
      </c>
      <c r="D165" s="4" t="str">
        <f>IFERROR(__xludf.DUMMYFUNCTION("""COMPUTED_VALUE"""),"Lê Bích Thuỷ; Phạm Việt Hà; Nguyễn Hà Ngân; Nguyễn Tùng Chi")</f>
        <v>Lê Bích Thuỷ; Phạm Việt Hà; Nguyễn Hà Ngân; Nguyễn Tùng Chi</v>
      </c>
      <c r="E165" s="4" t="str">
        <f>IFERROR(__xludf.DUMMYFUNCTION("""COMPUTED_VALUE"""),"Trường Đại học Ngoại Ngữ, ĐHQG Hà Nội")</f>
        <v>Trường Đại học Ngoại Ngữ, ĐHQG Hà Nội</v>
      </c>
      <c r="F165" s="4" t="str">
        <f>IFERROR(__xludf.DUMMYFUNCTION("""COMPUTED_VALUE"""),"KHGD2026-166.png")</f>
        <v>KHGD2026-166.png</v>
      </c>
    </row>
    <row r="166">
      <c r="A166" s="4" t="str">
        <f>IFERROR(__xludf.DUMMYFUNCTION("""COMPUTED_VALUE"""),"KHGD2026-167")</f>
        <v>KHGD2026-167</v>
      </c>
      <c r="B166" s="4" t="str">
        <f>IFERROR(__xludf.DUMMYFUNCTION("""COMPUTED_VALUE"""),"Khoa học giáo dục")</f>
        <v>Khoa học giáo dục</v>
      </c>
      <c r="C166" s="4" t="str">
        <f>IFERROR(__xludf.DUMMYFUNCTION("""COMPUTED_VALUE"""),"Thúc đẩy đổi mới sáng tạo trong sinh viên trong bối cảnh học phần tâm lý học - trường hợp dự án bộ trò chơi GlobalTalk6 hỗ trợ học sinh luyện nói tiếng Anh theo chương trình Global Success")</f>
        <v>Thúc đẩy đổi mới sáng tạo trong sinh viên trong bối cảnh học phần tâm lý học - trường hợp dự án bộ trò chơi GlobalTalk6 hỗ trợ học sinh luyện nói tiếng Anh theo chương trình Global Success</v>
      </c>
      <c r="D166" s="4" t="str">
        <f>IFERROR(__xludf.DUMMYFUNCTION("""COMPUTED_VALUE"""),"Trần Thị Tâm Anh; Trần Thị Ngọc Minh; Nguyễn Minh Thư; Hoàng Hải Yến; Nguyễn Đặng Kim Ngân")</f>
        <v>Trần Thị Tâm Anh; Trần Thị Ngọc Minh; Nguyễn Minh Thư; Hoàng Hải Yến; Nguyễn Đặng Kim Ngân</v>
      </c>
      <c r="E166" s="4" t="str">
        <f>IFERROR(__xludf.DUMMYFUNCTION("""COMPUTED_VALUE"""),"Trường Đại học Ngoại Ngữ, ĐHQG Hà Nội")</f>
        <v>Trường Đại học Ngoại Ngữ, ĐHQG Hà Nội</v>
      </c>
      <c r="F166" s="4" t="str">
        <f>IFERROR(__xludf.DUMMYFUNCTION("""COMPUTED_VALUE"""),"KHGD2026-167.png")</f>
        <v>KHGD2026-167.png</v>
      </c>
    </row>
    <row r="167">
      <c r="A167" s="4" t="str">
        <f>IFERROR(__xludf.DUMMYFUNCTION("""COMPUTED_VALUE"""),"KHGD2026-168")</f>
        <v>KHGD2026-168</v>
      </c>
      <c r="B167" s="4" t="str">
        <f>IFERROR(__xludf.DUMMYFUNCTION("""COMPUTED_VALUE"""),"Khoa học giáo dục")</f>
        <v>Khoa học giáo dục</v>
      </c>
      <c r="C167" s="4" t="str">
        <f>IFERROR(__xludf.DUMMYFUNCTION("""COMPUTED_VALUE"""),"Các nhân tố tác động đến ý định khởi sự kinh doanh và kỳ vọng kết quả giáo dục thông qua cơ chế trung gian của học tập tự định hướng đối với sinh viên")</f>
        <v>Các nhân tố tác động đến ý định khởi sự kinh doanh và kỳ vọng kết quả giáo dục thông qua cơ chế trung gian của học tập tự định hướng đối với sinh viên</v>
      </c>
      <c r="D167" s="4" t="str">
        <f>IFERROR(__xludf.DUMMYFUNCTION("""COMPUTED_VALUE"""),"Trần Huy Dương; Vũ Khánh Linh; Lã Hoàng Linh; Nguyễn Phương Linh; Nguyễn Phương Linh")</f>
        <v>Trần Huy Dương; Vũ Khánh Linh; Lã Hoàng Linh; Nguyễn Phương Linh; Nguyễn Phương Linh</v>
      </c>
      <c r="E167" s="4" t="str">
        <f>IFERROR(__xludf.DUMMYFUNCTION("""COMPUTED_VALUE"""),"Học viện Ngân hàng")</f>
        <v>Học viện Ngân hàng</v>
      </c>
      <c r="F167" s="4" t="str">
        <f>IFERROR(__xludf.DUMMYFUNCTION("""COMPUTED_VALUE"""),"KHGD2026-168.png")</f>
        <v>KHGD2026-168.png</v>
      </c>
    </row>
    <row r="168">
      <c r="A168" s="4" t="str">
        <f>IFERROR(__xludf.DUMMYFUNCTION("""COMPUTED_VALUE"""),"KHGD2026-169")</f>
        <v>KHGD2026-169</v>
      </c>
      <c r="B168" s="4" t="str">
        <f>IFERROR(__xludf.DUMMYFUNCTION("""COMPUTED_VALUE"""),"Khoa học giáo dục")</f>
        <v>Khoa học giáo dục</v>
      </c>
      <c r="C168" s="4" t="str">
        <f>IFERROR(__xludf.DUMMYFUNCTION("""COMPUTED_VALUE"""),"The relationship between academic social comparison and academic stress among foreign-language undergraduates at a university in Hanoi")</f>
        <v>The relationship between academic social comparison and academic stress among foreign-language undergraduates at a university in Hanoi</v>
      </c>
      <c r="D168" s="4" t="str">
        <f>IFERROR(__xludf.DUMMYFUNCTION("""COMPUTED_VALUE"""),"Nguyễn Đức Hạnh; Đinh Lan Nhi; Vũ Thị Phương; Phạm Quỳnh Anh; Dương Thu Hà")</f>
        <v>Nguyễn Đức Hạnh; Đinh Lan Nhi; Vũ Thị Phương; Phạm Quỳnh Anh; Dương Thu Hà</v>
      </c>
      <c r="E168" s="4" t="str">
        <f>IFERROR(__xludf.DUMMYFUNCTION("""COMPUTED_VALUE"""),"Học viện Ngân hàng")</f>
        <v>Học viện Ngân hàng</v>
      </c>
      <c r="F168" s="4" t="str">
        <f>IFERROR(__xludf.DUMMYFUNCTION("""COMPUTED_VALUE"""),"KHGD2026-169.png")</f>
        <v>KHGD2026-169.png</v>
      </c>
    </row>
    <row r="169">
      <c r="A169" s="4" t="str">
        <f>IFERROR(__xludf.DUMMYFUNCTION("""COMPUTED_VALUE"""),"KHGD2026-170")</f>
        <v>KHGD2026-170</v>
      </c>
      <c r="B169" s="4" t="str">
        <f>IFERROR(__xludf.DUMMYFUNCTION("""COMPUTED_VALUE"""),"Khoa học giáo dục")</f>
        <v>Khoa học giáo dục</v>
      </c>
      <c r="C169" s="4" t="str">
        <f>IFERROR(__xludf.DUMMYFUNCTION("""COMPUTED_VALUE"""),"NGHIÊN CỨU CÁC YẾU TỐ ẢNH HƯỞNG ĐẾN NIỀM TIN CỦA SINH VIÊN ĐỐI VỚI CHATGPT")</f>
        <v>NGHIÊN CỨU CÁC YẾU TỐ ẢNH HƯỞNG ĐẾN NIỀM TIN CỦA SINH VIÊN ĐỐI VỚI CHATGPT</v>
      </c>
      <c r="D169" s="4" t="str">
        <f>IFERROR(__xludf.DUMMYFUNCTION("""COMPUTED_VALUE"""),"Nguyễn Trần Quỳnh Như; Vương Thị Minh Châu; Dương Quyền Linh; Võ Công Vương Vũ")</f>
        <v>Nguyễn Trần Quỳnh Như; Vương Thị Minh Châu; Dương Quyền Linh; Võ Công Vương Vũ</v>
      </c>
      <c r="E169" s="4" t="str">
        <f>IFERROR(__xludf.DUMMYFUNCTION("""COMPUTED_VALUE"""),"Trường Đại học Bách Khoa, ĐHQG-HCM")</f>
        <v>Trường Đại học Bách Khoa, ĐHQG-HCM</v>
      </c>
      <c r="F169" s="4" t="str">
        <f>IFERROR(__xludf.DUMMYFUNCTION("""COMPUTED_VALUE"""),"KHGD2026-170.png")</f>
        <v>KHGD2026-170.png</v>
      </c>
    </row>
    <row r="170">
      <c r="A170" s="4" t="str">
        <f>IFERROR(__xludf.DUMMYFUNCTION("""COMPUTED_VALUE"""),"KHGD2026-171")</f>
        <v>KHGD2026-171</v>
      </c>
      <c r="B170" s="4" t="str">
        <f>IFERROR(__xludf.DUMMYFUNCTION("""COMPUTED_VALUE"""),"Khoa học giáo dục")</f>
        <v>Khoa học giáo dục</v>
      </c>
      <c r="C170" s="4" t="str">
        <f>IFERROR(__xludf.DUMMYFUNCTION("""COMPUTED_VALUE"""),"CÁC NGUYÊN NHÂN VÀ KẾT QUẢ CỦA VIỆC SỬ DỤNG AI")</f>
        <v>CÁC NGUYÊN NHÂN VÀ KẾT QUẢ CỦA VIỆC SỬ DỤNG AI</v>
      </c>
      <c r="D170" s="4" t="str">
        <f>IFERROR(__xludf.DUMMYFUNCTION("""COMPUTED_VALUE"""),"Trần Yên Trân; Nguyễn Anh Nhân; Lê Nguyễn Thiện Nhân; Bùi Văn Quốc")</f>
        <v>Trần Yên Trân; Nguyễn Anh Nhân; Lê Nguyễn Thiện Nhân; Bùi Văn Quốc</v>
      </c>
      <c r="E170" s="4" t="str">
        <f>IFERROR(__xludf.DUMMYFUNCTION("""COMPUTED_VALUE"""),"Trường Đại học Bách Khoa, ĐHQG-HCM")</f>
        <v>Trường Đại học Bách Khoa, ĐHQG-HCM</v>
      </c>
      <c r="F170" s="4" t="str">
        <f>IFERROR(__xludf.DUMMYFUNCTION("""COMPUTED_VALUE"""),"KHGD2026-171.png")</f>
        <v>KHGD2026-171.png</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20.0"/>
    <col customWidth="1" min="3" max="3" width="233.57"/>
    <col customWidth="1" min="4" max="4" width="101.29"/>
    <col customWidth="1" min="5" max="5" width="53.29"/>
    <col customWidth="1" min="6" max="6" width="19.0"/>
  </cols>
  <sheetData>
    <row r="1">
      <c r="A1" s="1" t="s">
        <v>0</v>
      </c>
      <c r="B1" s="1" t="s">
        <v>1</v>
      </c>
      <c r="C1" s="1" t="s">
        <v>2</v>
      </c>
      <c r="D1" s="1" t="s">
        <v>3</v>
      </c>
      <c r="E1" s="1" t="s">
        <v>4</v>
      </c>
      <c r="F1" s="1" t="s">
        <v>5</v>
      </c>
    </row>
    <row r="2">
      <c r="A2" s="4" t="str">
        <f>IFERROR(__xludf.DUMMYFUNCTION("FILTER('Danh sach'!A2:F2184, 'Danh sach'!B2:B2184=""Văn hóa - Nghệ thuật"")"),"VHNT2026-001")</f>
        <v>VHNT2026-001</v>
      </c>
      <c r="B2" s="4" t="str">
        <f>IFERROR(__xludf.DUMMYFUNCTION("""COMPUTED_VALUE"""),"Văn hóa - Nghệ thuật")</f>
        <v>Văn hóa - Nghệ thuật</v>
      </c>
      <c r="C2" s="4" t="str">
        <f>IFERROR(__xludf.DUMMYFUNCTION("""COMPUTED_VALUE"""),"The impact of green marketing strategies on eco-conscious tourist behavior and willingness to pay: The mediating roles of green trust and environmental concern.")</f>
        <v>The impact of green marketing strategies on eco-conscious tourist behavior and willingness to pay: The mediating roles of green trust and environmental concern.</v>
      </c>
      <c r="D2" s="4" t="str">
        <f>IFERROR(__xludf.DUMMYFUNCTION("""COMPUTED_VALUE"""),"Đàm Đan Tuyên; Đỗ Thị Thuý Hằng; Mai Khánh Huyền")</f>
        <v>Đàm Đan Tuyên; Đỗ Thị Thuý Hằng; Mai Khánh Huyền</v>
      </c>
      <c r="E2" s="4" t="str">
        <f>IFERROR(__xludf.DUMMYFUNCTION("""COMPUTED_VALUE"""),"Trường Đại học Tôn Đức Thắng")</f>
        <v>Trường Đại học Tôn Đức Thắng</v>
      </c>
      <c r="F2" s="4" t="str">
        <f>IFERROR(__xludf.DUMMYFUNCTION("""COMPUTED_VALUE"""),"VHNT2026-001.png")</f>
        <v>VHNT2026-001.png</v>
      </c>
    </row>
    <row r="3">
      <c r="A3" s="4" t="str">
        <f>IFERROR(__xludf.DUMMYFUNCTION("""COMPUTED_VALUE"""),"VHNT2026-002")</f>
        <v>VHNT2026-002</v>
      </c>
      <c r="B3" s="4" t="str">
        <f>IFERROR(__xludf.DUMMYFUNCTION("""COMPUTED_VALUE"""),"Văn hóa - Nghệ thuật")</f>
        <v>Văn hóa - Nghệ thuật</v>
      </c>
      <c r="C3" s="4" t="str">
        <f>IFERROR(__xludf.DUMMYFUNCTION("""COMPUTED_VALUE"""),"Travel AI -Trợ lí thông minh tư vấn và hỗ trợ du lịch Việt Nam")</f>
        <v>Travel AI -Trợ lí thông minh tư vấn và hỗ trợ du lịch Việt Nam</v>
      </c>
      <c r="D3" s="4" t="str">
        <f>IFERROR(__xludf.DUMMYFUNCTION("""COMPUTED_VALUE"""),"Đoàn Lê Duy Anh; Nguyễn Thái Học; Nguyễn Hoài Nam; Nguyễn Ngô Hoàng Kha")</f>
        <v>Đoàn Lê Duy Anh; Nguyễn Thái Học; Nguyễn Hoài Nam; Nguyễn Ngô Hoàng Kha</v>
      </c>
      <c r="E3" s="4" t="str">
        <f>IFERROR(__xludf.DUMMYFUNCTION("""COMPUTED_VALUE"""),"Trường Đại học Nguyễn Tất Thành")</f>
        <v>Trường Đại học Nguyễn Tất Thành</v>
      </c>
      <c r="F3" s="4" t="str">
        <f>IFERROR(__xludf.DUMMYFUNCTION("""COMPUTED_VALUE"""),"VHNT2026-002.png")</f>
        <v>VHNT2026-002.png</v>
      </c>
    </row>
    <row r="4">
      <c r="A4" s="4" t="str">
        <f>IFERROR(__xludf.DUMMYFUNCTION("""COMPUTED_VALUE"""),"VHNT2026-003")</f>
        <v>VHNT2026-003</v>
      </c>
      <c r="B4" s="4" t="str">
        <f>IFERROR(__xludf.DUMMYFUNCTION("""COMPUTED_VALUE"""),"Văn hóa - Nghệ thuật")</f>
        <v>Văn hóa - Nghệ thuật</v>
      </c>
      <c r="C4" s="4" t="str">
        <f>IFERROR(__xludf.DUMMYFUNCTION("""COMPUTED_VALUE"""),"TÁC ĐỘNG CỦA NỘI DUNG VIDEO VỀ DU LỊCH TRÊN TIKTOK ĐẾN HÀNH VI DU LỊCH NGẪU HỨNG CỦA THẾ HỆ GEN Z TẠI THÀNH PHỐ HỒ CHÍ MINH")</f>
        <v>TÁC ĐỘNG CỦA NỘI DUNG VIDEO VỀ DU LỊCH TRÊN TIKTOK ĐẾN HÀNH VI DU LỊCH NGẪU HỨNG CỦA THẾ HỆ GEN Z TẠI THÀNH PHỐ HỒ CHÍ MINH</v>
      </c>
      <c r="D4" s="4" t="str">
        <f>IFERROR(__xludf.DUMMYFUNCTION("""COMPUTED_VALUE"""),"Đinh Đức Duy; Huỳnh Dương Ngọc Hoa; Nguyễn Ngọc Châu; Lâm Nguyệt Anh")</f>
        <v>Đinh Đức Duy; Huỳnh Dương Ngọc Hoa; Nguyễn Ngọc Châu; Lâm Nguyệt Anh</v>
      </c>
      <c r="E4" s="4" t="str">
        <f>IFERROR(__xludf.DUMMYFUNCTION("""COMPUTED_VALUE"""),"Trường Đại học Nguyễn Tất Thành")</f>
        <v>Trường Đại học Nguyễn Tất Thành</v>
      </c>
      <c r="F4" s="4" t="str">
        <f>IFERROR(__xludf.DUMMYFUNCTION("""COMPUTED_VALUE"""),"VHNT2026-003.png")</f>
        <v>VHNT2026-003.png</v>
      </c>
    </row>
    <row r="5">
      <c r="A5" s="4" t="str">
        <f>IFERROR(__xludf.DUMMYFUNCTION("""COMPUTED_VALUE"""),"VHNT2026-004")</f>
        <v>VHNT2026-004</v>
      </c>
      <c r="B5" s="4" t="str">
        <f>IFERROR(__xludf.DUMMYFUNCTION("""COMPUTED_VALUE"""),"Văn hóa - Nghệ thuật")</f>
        <v>Văn hóa - Nghệ thuật</v>
      </c>
      <c r="C5" s="4" t="str">
        <f>IFERROR(__xludf.DUMMYFUNCTION("""COMPUTED_VALUE"""),"SỰ PHẢN KHÁNG CÔNG NGHỆ VÀ Ý ĐỊNH THAM GIA DU LỊCH CAI NGHIỆN KỸ THUẬT SỐ: TRƯỜNG HỢP NGHIÊN CỨU TẠI ĐẢO LÝ SƠN, TỈNH QUẢNG NGÃI")</f>
        <v>SỰ PHẢN KHÁNG CÔNG NGHỆ VÀ Ý ĐỊNH THAM GIA DU LỊCH CAI NGHIỆN KỸ THUẬT SỐ: TRƯỜNG HỢP NGHIÊN CỨU TẠI ĐẢO LÝ SƠN, TỈNH QUẢNG NGÃI</v>
      </c>
      <c r="D5" s="4" t="str">
        <f>IFERROR(__xludf.DUMMYFUNCTION("""COMPUTED_VALUE"""),"Phan Thị Hoa Cúc; Phan Thị Phương Nghi; Trà My; Cao Thị Hoài Phương")</f>
        <v>Phan Thị Hoa Cúc; Phan Thị Phương Nghi; Trà My; Cao Thị Hoài Phương</v>
      </c>
      <c r="E5" s="4" t="str">
        <f>IFERROR(__xludf.DUMMYFUNCTION("""COMPUTED_VALUE"""),"Trường Đại học Nguyễn Tất Thành")</f>
        <v>Trường Đại học Nguyễn Tất Thành</v>
      </c>
      <c r="F5" s="4" t="str">
        <f>IFERROR(__xludf.DUMMYFUNCTION("""COMPUTED_VALUE"""),"VHNT2026-004.png")</f>
        <v>VHNT2026-004.png</v>
      </c>
    </row>
    <row r="6">
      <c r="A6" s="4" t="str">
        <f>IFERROR(__xludf.DUMMYFUNCTION("""COMPUTED_VALUE"""),"VHNT2026-005")</f>
        <v>VHNT2026-005</v>
      </c>
      <c r="B6" s="4" t="str">
        <f>IFERROR(__xludf.DUMMYFUNCTION("""COMPUTED_VALUE"""),"Văn hóa - Nghệ thuật")</f>
        <v>Văn hóa - Nghệ thuật</v>
      </c>
      <c r="C6" s="4" t="str">
        <f>IFERROR(__xludf.DUMMYFUNCTION("""COMPUTED_VALUE"""),"TÁC ĐỘNG CỦA TRUYỀN THÔNG SỐ ĐẾN VIỆC HÌNH THÀNH HÀNH VI SỐNG TỐI GIẢN CỦA SINH VIÊN HIỆN NAY")</f>
        <v>TÁC ĐỘNG CỦA TRUYỀN THÔNG SỐ ĐẾN VIỆC HÌNH THÀNH HÀNH VI SỐNG TỐI GIẢN CỦA SINH VIÊN HIỆN NAY</v>
      </c>
      <c r="D6" s="4" t="str">
        <f>IFERROR(__xludf.DUMMYFUNCTION("""COMPUTED_VALUE"""),"Tô Bích Ngọc")</f>
        <v>Tô Bích Ngọc</v>
      </c>
      <c r="E6" s="4" t="str">
        <f>IFERROR(__xludf.DUMMYFUNCTION("""COMPUTED_VALUE"""),"Trường Đại học Nguyễn Tất Thành")</f>
        <v>Trường Đại học Nguyễn Tất Thành</v>
      </c>
      <c r="F6" s="4" t="str">
        <f>IFERROR(__xludf.DUMMYFUNCTION("""COMPUTED_VALUE"""),"VHNT2026-005.png")</f>
        <v>VHNT2026-005.png</v>
      </c>
    </row>
    <row r="7">
      <c r="A7" s="4" t="str">
        <f>IFERROR(__xludf.DUMMYFUNCTION("""COMPUTED_VALUE"""),"VHNT2026-006")</f>
        <v>VHNT2026-006</v>
      </c>
      <c r="B7" s="4" t="str">
        <f>IFERROR(__xludf.DUMMYFUNCTION("""COMPUTED_VALUE"""),"Văn hóa - Nghệ thuật")</f>
        <v>Văn hóa - Nghệ thuật</v>
      </c>
      <c r="C7" s="4" t="str">
        <f>IFERROR(__xludf.DUMMYFUNCTION("""COMPUTED_VALUE"""),"HIV Knowledge and Risk Behaviors in Relation to Travel Among Undergraduate Students in Hanoi")</f>
        <v>HIV Knowledge and Risk Behaviors in Relation to Travel Among Undergraduate Students in Hanoi</v>
      </c>
      <c r="D7" s="4" t="str">
        <f>IFERROR(__xludf.DUMMYFUNCTION("""COMPUTED_VALUE"""),"Ngô Mai Trang; Vũ Minh Hằng; Ngô Hà Phương; Đồng Hồ Ngọc Nữ; Phan Huyền My")</f>
        <v>Ngô Mai Trang; Vũ Minh Hằng; Ngô Hà Phương; Đồng Hồ Ngọc Nữ; Phan Huyền My</v>
      </c>
      <c r="E7" s="4" t="str">
        <f>IFERROR(__xludf.DUMMYFUNCTION("""COMPUTED_VALUE"""),"Trường Quốc tế, ĐHQG Hà Nội")</f>
        <v>Trường Quốc tế, ĐHQG Hà Nội</v>
      </c>
      <c r="F7" s="4" t="str">
        <f>IFERROR(__xludf.DUMMYFUNCTION("""COMPUTED_VALUE"""),"VHNT2026-006.png")</f>
        <v>VHNT2026-006.png</v>
      </c>
    </row>
    <row r="8">
      <c r="A8" s="4" t="str">
        <f>IFERROR(__xludf.DUMMYFUNCTION("""COMPUTED_VALUE"""),"VHNT2026-007")</f>
        <v>VHNT2026-007</v>
      </c>
      <c r="B8" s="4" t="str">
        <f>IFERROR(__xludf.DUMMYFUNCTION("""COMPUTED_VALUE"""),"Văn hóa - Nghệ thuật")</f>
        <v>Văn hóa - Nghệ thuật</v>
      </c>
      <c r="C8" s="4" t="str">
        <f>IFERROR(__xludf.DUMMYFUNCTION("""COMPUTED_VALUE"""),"PHÁT TRIỂN DU LỊCH HOÀI NIỆM TẠI KHU DI TÍCH LỊCH SỬ RỪNG SÁC – CẦN GIỜ: NGHIÊN CỨU HÀNH VI VÀ THIẾT KẾ TRẢI NGHIỆM DU LỊCH")</f>
        <v>PHÁT TRIỂN DU LỊCH HOÀI NIỆM TẠI KHU DI TÍCH LỊCH SỬ RỪNG SÁC – CẦN GIỜ: NGHIÊN CỨU HÀNH VI VÀ THIẾT KẾ TRẢI NGHIỆM DU LỊCH</v>
      </c>
      <c r="D8" s="4" t="str">
        <f>IFERROR(__xludf.DUMMYFUNCTION("""COMPUTED_VALUE"""),"Phạm Lợi Gia Bảo; Nguyễn Lê Hiền; Võ Quang Minh Nhật; Hồ Thị Yến Vy")</f>
        <v>Phạm Lợi Gia Bảo; Nguyễn Lê Hiền; Võ Quang Minh Nhật; Hồ Thị Yến Vy</v>
      </c>
      <c r="E8" s="4" t="str">
        <f>IFERROR(__xludf.DUMMYFUNCTION("""COMPUTED_VALUE"""),"Trường Đại học Công nghiệp TP. Hồ Chí Minh")</f>
        <v>Trường Đại học Công nghiệp TP. Hồ Chí Minh</v>
      </c>
      <c r="F8" s="4" t="str">
        <f>IFERROR(__xludf.DUMMYFUNCTION("""COMPUTED_VALUE"""),"VHNT2026-007.png")</f>
        <v>VHNT2026-007.png</v>
      </c>
    </row>
    <row r="9">
      <c r="A9" s="4" t="str">
        <f>IFERROR(__xludf.DUMMYFUNCTION("""COMPUTED_VALUE"""),"VHNT2026-008")</f>
        <v>VHNT2026-008</v>
      </c>
      <c r="B9" s="4" t="str">
        <f>IFERROR(__xludf.DUMMYFUNCTION("""COMPUTED_VALUE"""),"Văn hóa - Nghệ thuật")</f>
        <v>Văn hóa - Nghệ thuật</v>
      </c>
      <c r="C9" s="4" t="str">
        <f>IFERROR(__xludf.DUMMYFUNCTION("""COMPUTED_VALUE"""),"Nghiên cứu chuỗi dịch vụ cung ứng halal tại thành phố Đà Nẵng")</f>
        <v>Nghiên cứu chuỗi dịch vụ cung ứng halal tại thành phố Đà Nẵng</v>
      </c>
      <c r="D9" s="4" t="str">
        <f>IFERROR(__xludf.DUMMYFUNCTION("""COMPUTED_VALUE"""),"Trần Bảo Xuyên; Nguyễn Lan Anh; Nguyễn Thị Thánh Tâm")</f>
        <v>Trần Bảo Xuyên; Nguyễn Lan Anh; Nguyễn Thị Thánh Tâm</v>
      </c>
      <c r="E9" s="4" t="str">
        <f>IFERROR(__xludf.DUMMYFUNCTION("""COMPUTED_VALUE"""),"Trường Đại học Đông Á")</f>
        <v>Trường Đại học Đông Á</v>
      </c>
      <c r="F9" s="4" t="str">
        <f>IFERROR(__xludf.DUMMYFUNCTION("""COMPUTED_VALUE"""),"VHNT2026-008.png")</f>
        <v>VHNT2026-008.png</v>
      </c>
    </row>
    <row r="10">
      <c r="A10" s="4" t="str">
        <f>IFERROR(__xludf.DUMMYFUNCTION("""COMPUTED_VALUE"""),"VHNT2026-009")</f>
        <v>VHNT2026-009</v>
      </c>
      <c r="B10" s="4" t="str">
        <f>IFERROR(__xludf.DUMMYFUNCTION("""COMPUTED_VALUE"""),"Văn hóa - Nghệ thuật")</f>
        <v>Văn hóa - Nghệ thuật</v>
      </c>
      <c r="C10" s="4" t="str">
        <f>IFERROR(__xludf.DUMMYFUNCTION("""COMPUTED_VALUE"""),"Ảnh hưởng của mạng xã hội đến định hướng nghề nghiệp của sinh viên chuyên ngành Du lịch tại các Trường Đại học Tư thục ở Hà Nội")</f>
        <v>Ảnh hưởng của mạng xã hội đến định hướng nghề nghiệp của sinh viên chuyên ngành Du lịch tại các Trường Đại học Tư thục ở Hà Nội</v>
      </c>
      <c r="D10" s="4" t="str">
        <f>IFERROR(__xludf.DUMMYFUNCTION("""COMPUTED_VALUE"""),"Nguyễn Bích Phượng; Đỗ Thị Quỳnh")</f>
        <v>Nguyễn Bích Phượng; Đỗ Thị Quỳnh</v>
      </c>
      <c r="E10" s="4" t="str">
        <f>IFERROR(__xludf.DUMMYFUNCTION("""COMPUTED_VALUE"""),"Trường Đại học Thăng Long")</f>
        <v>Trường Đại học Thăng Long</v>
      </c>
      <c r="F10" s="4" t="str">
        <f>IFERROR(__xludf.DUMMYFUNCTION("""COMPUTED_VALUE"""),"VHNT2026-009.png")</f>
        <v>VHNT2026-009.png</v>
      </c>
    </row>
    <row r="11">
      <c r="A11" s="4" t="str">
        <f>IFERROR(__xludf.DUMMYFUNCTION("""COMPUTED_VALUE"""),"VHNT2026-010")</f>
        <v>VHNT2026-010</v>
      </c>
      <c r="B11" s="4" t="str">
        <f>IFERROR(__xludf.DUMMYFUNCTION("""COMPUTED_VALUE"""),"Văn hóa - Nghệ thuật")</f>
        <v>Văn hóa - Nghệ thuật</v>
      </c>
      <c r="C11" s="4" t="str">
        <f>IFERROR(__xludf.DUMMYFUNCTION("""COMPUTED_VALUE"""),"Nghiên cứu các yếu tố ảnh hưởng đến ý định sử dụng bản đồ số tương tác trong phát triển tuyến du lịch trải nghiệm bằng Metro số 1 tại Thành phố Hồ Chí Minh")</f>
        <v>Nghiên cứu các yếu tố ảnh hưởng đến ý định sử dụng bản đồ số tương tác trong phát triển tuyến du lịch trải nghiệm bằng Metro số 1 tại Thành phố Hồ Chí Minh</v>
      </c>
      <c r="D11" s="4" t="str">
        <f>IFERROR(__xludf.DUMMYFUNCTION("""COMPUTED_VALUE"""),"Hà Gia Khánh Linh; Mai Quốc Dũng; Mai Quốc Đạt")</f>
        <v>Hà Gia Khánh Linh; Mai Quốc Dũng; Mai Quốc Đạt</v>
      </c>
      <c r="E11" s="4" t="str">
        <f>IFERROR(__xludf.DUMMYFUNCTION("""COMPUTED_VALUE"""),"Trường Đại học Kinh tế - Tài chính TP. Hồ Chí Minh")</f>
        <v>Trường Đại học Kinh tế - Tài chính TP. Hồ Chí Minh</v>
      </c>
      <c r="F11" s="4" t="str">
        <f>IFERROR(__xludf.DUMMYFUNCTION("""COMPUTED_VALUE"""),"VHNT2026-010.png")</f>
        <v>VHNT2026-010.png</v>
      </c>
    </row>
    <row r="12">
      <c r="A12" s="4" t="str">
        <f>IFERROR(__xludf.DUMMYFUNCTION("""COMPUTED_VALUE"""),"VHNT2026-011")</f>
        <v>VHNT2026-011</v>
      </c>
      <c r="B12" s="4" t="str">
        <f>IFERROR(__xludf.DUMMYFUNCTION("""COMPUTED_VALUE"""),"Văn hóa - Nghệ thuật")</f>
        <v>Văn hóa - Nghệ thuật</v>
      </c>
      <c r="C12" s="4" t="str">
        <f>IFERROR(__xludf.DUMMYFUNCTION("""COMPUTED_VALUE"""),"Các yếu tố ảnh hưởng đến hành vi lựa chọn cơ sở lưu trú xanh của sinh viên ngành Du lịch tại các trường Đại học tư thục ở Hà Nội")</f>
        <v>Các yếu tố ảnh hưởng đến hành vi lựa chọn cơ sở lưu trú xanh của sinh viên ngành Du lịch tại các trường Đại học tư thục ở Hà Nội</v>
      </c>
      <c r="D12" s="4" t="str">
        <f>IFERROR(__xludf.DUMMYFUNCTION("""COMPUTED_VALUE"""),"Bùi Thị Khánh Huyền")</f>
        <v>Bùi Thị Khánh Huyền</v>
      </c>
      <c r="E12" s="4" t="str">
        <f>IFERROR(__xludf.DUMMYFUNCTION("""COMPUTED_VALUE"""),"Trường Đại học Thăng Long")</f>
        <v>Trường Đại học Thăng Long</v>
      </c>
      <c r="F12" s="4" t="str">
        <f>IFERROR(__xludf.DUMMYFUNCTION("""COMPUTED_VALUE"""),"VHNT2026-011.png")</f>
        <v>VHNT2026-011.png</v>
      </c>
    </row>
    <row r="13">
      <c r="A13" s="4" t="str">
        <f>IFERROR(__xludf.DUMMYFUNCTION("""COMPUTED_VALUE"""),"VHNT2026-012")</f>
        <v>VHNT2026-012</v>
      </c>
      <c r="B13" s="4" t="str">
        <f>IFERROR(__xludf.DUMMYFUNCTION("""COMPUTED_VALUE"""),"Văn hóa - Nghệ thuật")</f>
        <v>Văn hóa - Nghệ thuật</v>
      </c>
      <c r="C13" s="4" t="str">
        <f>IFERROR(__xludf.DUMMYFUNCTION("""COMPUTED_VALUE"""),"Thực hành giải độc kỹ thuật số và ý định du lịch bền vững: Vai trò trung gian của JOMO và vai trò điều tiết của nhận thức xanh")</f>
        <v>Thực hành giải độc kỹ thuật số và ý định du lịch bền vững: Vai trò trung gian của JOMO và vai trò điều tiết của nhận thức xanh</v>
      </c>
      <c r="D13" s="4" t="str">
        <f>IFERROR(__xludf.DUMMYFUNCTION("""COMPUTED_VALUE"""),"Hồ Văn Khoa; Nguyễn Thanh Bình; Phạm Sỹ Nguyên; Trần Thanh Bình")</f>
        <v>Hồ Văn Khoa; Nguyễn Thanh Bình; Phạm Sỹ Nguyên; Trần Thanh Bình</v>
      </c>
      <c r="E13" s="4" t="str">
        <f>IFERROR(__xludf.DUMMYFUNCTION("""COMPUTED_VALUE"""),"Trường Đại học Công nghiệp TP. Hồ Chí Minh")</f>
        <v>Trường Đại học Công nghiệp TP. Hồ Chí Minh</v>
      </c>
      <c r="F13" s="4" t="str">
        <f>IFERROR(__xludf.DUMMYFUNCTION("""COMPUTED_VALUE"""),"VHNT2026-012.png")</f>
        <v>VHNT2026-012.png</v>
      </c>
    </row>
    <row r="14">
      <c r="A14" s="4" t="str">
        <f>IFERROR(__xludf.DUMMYFUNCTION("""COMPUTED_VALUE"""),"VHNT2026-013")</f>
        <v>VHNT2026-013</v>
      </c>
      <c r="B14" s="4" t="str">
        <f>IFERROR(__xludf.DUMMYFUNCTION("""COMPUTED_VALUE"""),"Văn hóa - Nghệ thuật")</f>
        <v>Văn hóa - Nghệ thuật</v>
      </c>
      <c r="C14" s="4" t="str">
        <f>IFERROR(__xludf.DUMMYFUNCTION("""COMPUTED_VALUE"""),"Thiết kế Website tích hợp bản đồ tương tác phát triển du lịch làng nghề đặc trưng của Thành phố Đà Nẵng")</f>
        <v>Thiết kế Website tích hợp bản đồ tương tác phát triển du lịch làng nghề đặc trưng của Thành phố Đà Nẵng</v>
      </c>
      <c r="D14" s="4" t="str">
        <f>IFERROR(__xludf.DUMMYFUNCTION("""COMPUTED_VALUE"""),"Ngô Trâm Anh; Đỗ Kim Cương; Nguyễn Tiến Toàn")</f>
        <v>Ngô Trâm Anh; Đỗ Kim Cương; Nguyễn Tiến Toàn</v>
      </c>
      <c r="E14" s="4" t="str">
        <f>IFERROR(__xludf.DUMMYFUNCTION("""COMPUTED_VALUE"""),"Trường Đại học Sư phạm, Đại học Đà Nẵng")</f>
        <v>Trường Đại học Sư phạm, Đại học Đà Nẵng</v>
      </c>
      <c r="F14" s="4" t="str">
        <f>IFERROR(__xludf.DUMMYFUNCTION("""COMPUTED_VALUE"""),"VHNT2026-013.png")</f>
        <v>VHNT2026-013.png</v>
      </c>
    </row>
    <row r="15">
      <c r="A15" s="4" t="str">
        <f>IFERROR(__xludf.DUMMYFUNCTION("""COMPUTED_VALUE"""),"VHNT2026-014")</f>
        <v>VHNT2026-014</v>
      </c>
      <c r="B15" s="4" t="str">
        <f>IFERROR(__xludf.DUMMYFUNCTION("""COMPUTED_VALUE"""),"Văn hóa - Nghệ thuật")</f>
        <v>Văn hóa - Nghệ thuật</v>
      </c>
      <c r="C15" s="4" t="str">
        <f>IFERROR(__xludf.DUMMYFUNCTION("""COMPUTED_VALUE"""),"Cơ chế tác động của trải nghiệm du lịch chậm đến hành vi công dân của du khách tại Việt Nam")</f>
        <v>Cơ chế tác động của trải nghiệm du lịch chậm đến hành vi công dân của du khách tại Việt Nam</v>
      </c>
      <c r="D15" s="4" t="str">
        <f>IFERROR(__xludf.DUMMYFUNCTION("""COMPUTED_VALUE"""),"Nguyễn Thị Cẩm Tú; Dương Kiều Như; Nguyễn Thị Thùy; Nguyễn Kim Oanh")</f>
        <v>Nguyễn Thị Cẩm Tú; Dương Kiều Như; Nguyễn Thị Thùy; Nguyễn Kim Oanh</v>
      </c>
      <c r="E15" s="4" t="str">
        <f>IFERROR(__xludf.DUMMYFUNCTION("""COMPUTED_VALUE"""),"Trường Khoa học liên ngành và Nghệ thuật, ĐHQG Hà Nội")</f>
        <v>Trường Khoa học liên ngành và Nghệ thuật, ĐHQG Hà Nội</v>
      </c>
      <c r="F15" s="4" t="str">
        <f>IFERROR(__xludf.DUMMYFUNCTION("""COMPUTED_VALUE"""),"VHNT2026-014.png")</f>
        <v>VHNT2026-014.png</v>
      </c>
    </row>
    <row r="16">
      <c r="A16" s="4" t="str">
        <f>IFERROR(__xludf.DUMMYFUNCTION("""COMPUTED_VALUE"""),"VHNT2026-015")</f>
        <v>VHNT2026-015</v>
      </c>
      <c r="B16" s="4" t="str">
        <f>IFERROR(__xludf.DUMMYFUNCTION("""COMPUTED_VALUE"""),"Văn hóa - Nghệ thuật")</f>
        <v>Văn hóa - Nghệ thuật</v>
      </c>
      <c r="C16" s="4" t="str">
        <f>IFERROR(__xludf.DUMMYFUNCTION("""COMPUTED_VALUE"""),"TÁC ĐỘNG YẾU TỐ DI SẢN VĂN HOÁ TRONG VIDEO AN TOÀN BAY CỦA HÃNG HÀNG KHÔNG QUỐC GIA VIETNAM AIRLINES ĐẾN Ý ĐỊNH VÀ HÀNH VI DU KHÁCH: CƠ CHẾ TRUNG GIAN TỪ CHẤT LƯỢNG TRẢI NGHIỆM BAY")</f>
        <v>TÁC ĐỘNG YẾU TỐ DI SẢN VĂN HOÁ TRONG VIDEO AN TOÀN BAY CỦA HÃNG HÀNG KHÔNG QUỐC GIA VIETNAM AIRLINES ĐẾN Ý ĐỊNH VÀ HÀNH VI DU KHÁCH: CƠ CHẾ TRUNG GIAN TỪ CHẤT LƯỢNG TRẢI NGHIỆM BAY</v>
      </c>
      <c r="D16" s="4" t="str">
        <f>IFERROR(__xludf.DUMMYFUNCTION("""COMPUTED_VALUE"""),"Nguyễn Duy Khang; Hồ Kiều Oanh; Hồ Minh Kỳ; Nguyễn Huỳnh Bảo Trân; Hoàng Phan Linh Chi")</f>
        <v>Nguyễn Duy Khang; Hồ Kiều Oanh; Hồ Minh Kỳ; Nguyễn Huỳnh Bảo Trân; Hoàng Phan Linh Chi</v>
      </c>
      <c r="E16" s="4" t="str">
        <f>IFERROR(__xludf.DUMMYFUNCTION("""COMPUTED_VALUE"""),"Học viện Hàng không Việt Nam")</f>
        <v>Học viện Hàng không Việt Nam</v>
      </c>
      <c r="F16" s="4" t="str">
        <f>IFERROR(__xludf.DUMMYFUNCTION("""COMPUTED_VALUE"""),"VHNT2026-015.png")</f>
        <v>VHNT2026-015.png</v>
      </c>
    </row>
    <row r="17">
      <c r="A17" s="4" t="str">
        <f>IFERROR(__xludf.DUMMYFUNCTION("""COMPUTED_VALUE"""),"VHNT2026-016")</f>
        <v>VHNT2026-016</v>
      </c>
      <c r="B17" s="4" t="str">
        <f>IFERROR(__xludf.DUMMYFUNCTION("""COMPUTED_VALUE"""),"Văn hóa - Nghệ thuật")</f>
        <v>Văn hóa - Nghệ thuật</v>
      </c>
      <c r="C17" s="4" t="str">
        <f>IFERROR(__xludf.DUMMYFUNCTION("""COMPUTED_VALUE"""),"TÁC ĐỘNG CỦA TRẢI NGHIỆM PHYGITAL ĐẾN Ý ĐỊNH ĐỒNG KIẾN TẠO GIÁ TRỊ CỦA DU KHÁCH: VAI TRÒ TRUNG GIAN CỦA GIÁ TRỊ TRẢI NGHIỆM CẢM NHẬN VÀ SỰ GẮN KẾT VỚI TRẢI NGHIỆM - NGHIÊN CỨU CÁC BẢO TÀNG TẠI THÀNH PHỐ HỒ CHÍ MINH")</f>
        <v>TÁC ĐỘNG CỦA TRẢI NGHIỆM PHYGITAL ĐẾN Ý ĐỊNH ĐỒNG KIẾN TẠO GIÁ TRỊ CỦA DU KHÁCH: VAI TRÒ TRUNG GIAN CỦA GIÁ TRỊ TRẢI NGHIỆM CẢM NHẬN VÀ SỰ GẮN KẾT VỚI TRẢI NGHIỆM - NGHIÊN CỨU CÁC BẢO TÀNG TẠI THÀNH PHỐ HỒ CHÍ MINH</v>
      </c>
      <c r="D17" s="4" t="str">
        <f>IFERROR(__xludf.DUMMYFUNCTION("""COMPUTED_VALUE"""),"Lê Ngọc Mai; Nguyễn Thị Yến Nhi")</f>
        <v>Lê Ngọc Mai; Nguyễn Thị Yến Nhi</v>
      </c>
      <c r="E17" s="4" t="str">
        <f>IFERROR(__xludf.DUMMYFUNCTION("""COMPUTED_VALUE"""),"Học viện Hàng không Việt Nam")</f>
        <v>Học viện Hàng không Việt Nam</v>
      </c>
      <c r="F17" s="4" t="str">
        <f>IFERROR(__xludf.DUMMYFUNCTION("""COMPUTED_VALUE"""),"VHNT2026-016.png")</f>
        <v>VHNT2026-016.png</v>
      </c>
    </row>
    <row r="18">
      <c r="A18" s="4" t="str">
        <f>IFERROR(__xludf.DUMMYFUNCTION("""COMPUTED_VALUE"""),"VHNT2026-017")</f>
        <v>VHNT2026-017</v>
      </c>
      <c r="B18" s="4" t="str">
        <f>IFERROR(__xludf.DUMMYFUNCTION("""COMPUTED_VALUE"""),"Văn hóa - Nghệ thuật")</f>
        <v>Văn hóa - Nghệ thuật</v>
      </c>
      <c r="C18" s="4" t="str">
        <f>IFERROR(__xludf.DUMMYFUNCTION("""COMPUTED_VALUE"""),"Ứng dụng trí tuệ nhân tạo trong hoạt động hướng dẫn du lịch của hướng dẫn viên du lịch")</f>
        <v>Ứng dụng trí tuệ nhân tạo trong hoạt động hướng dẫn du lịch của hướng dẫn viên du lịch</v>
      </c>
      <c r="D18" s="4" t="str">
        <f>IFERROR(__xludf.DUMMYFUNCTION("""COMPUTED_VALUE"""),"Nguyễn Duy Khánh; Nguyễn Thị Thu An")</f>
        <v>Nguyễn Duy Khánh; Nguyễn Thị Thu An</v>
      </c>
      <c r="E18" s="4" t="str">
        <f>IFERROR(__xludf.DUMMYFUNCTION("""COMPUTED_VALUE"""),"Trường Đại học Văn hóa Hà Nội")</f>
        <v>Trường Đại học Văn hóa Hà Nội</v>
      </c>
      <c r="F18" s="4" t="str">
        <f>IFERROR(__xludf.DUMMYFUNCTION("""COMPUTED_VALUE"""),"VHNT2026-017.png")</f>
        <v>VHNT2026-017.png</v>
      </c>
    </row>
    <row r="19">
      <c r="A19" s="4" t="str">
        <f>IFERROR(__xludf.DUMMYFUNCTION("""COMPUTED_VALUE"""),"VHNT2026-018")</f>
        <v>VHNT2026-018</v>
      </c>
      <c r="B19" s="4" t="str">
        <f>IFERROR(__xludf.DUMMYFUNCTION("""COMPUTED_VALUE"""),"Văn hóa - Nghệ thuật")</f>
        <v>Văn hóa - Nghệ thuật</v>
      </c>
      <c r="C19" s="4" t="str">
        <f>IFERROR(__xludf.DUMMYFUNCTION("""COMPUTED_VALUE"""),"Sự hài lòng của khách du lịch với nghệ thuật hát Xẩm tại Ninh Bình")</f>
        <v>Sự hài lòng của khách du lịch với nghệ thuật hát Xẩm tại Ninh Bình</v>
      </c>
      <c r="D19" s="4" t="str">
        <f>IFERROR(__xludf.DUMMYFUNCTION("""COMPUTED_VALUE"""),"Vương Thị Hà Giang")</f>
        <v>Vương Thị Hà Giang</v>
      </c>
      <c r="E19" s="4" t="str">
        <f>IFERROR(__xludf.DUMMYFUNCTION("""COMPUTED_VALUE"""),"Học viện Phụ nữ Việt Nam")</f>
        <v>Học viện Phụ nữ Việt Nam</v>
      </c>
      <c r="F19" s="4" t="str">
        <f>IFERROR(__xludf.DUMMYFUNCTION("""COMPUTED_VALUE"""),"VHNT2026-018.png")</f>
        <v>VHNT2026-018.png</v>
      </c>
    </row>
    <row r="20">
      <c r="A20" s="4" t="str">
        <f>IFERROR(__xludf.DUMMYFUNCTION("""COMPUTED_VALUE"""),"VHNT2026-019")</f>
        <v>VHNT2026-019</v>
      </c>
      <c r="B20" s="4" t="str">
        <f>IFERROR(__xludf.DUMMYFUNCTION("""COMPUTED_VALUE"""),"Văn hóa - Nghệ thuật")</f>
        <v>Văn hóa - Nghệ thuật</v>
      </c>
      <c r="C20" s="4" t="str">
        <f>IFERROR(__xludf.DUMMYFUNCTION("""COMPUTED_VALUE"""),"Ảnh hưởng của trải nghiệm đáng nhớ và cảm nhận giá trị đến hành vi truyền miệng điện tử tại Làng chiếu Định Yên, tỉnh Đồng Tháp")</f>
        <v>Ảnh hưởng của trải nghiệm đáng nhớ và cảm nhận giá trị đến hành vi truyền miệng điện tử tại Làng chiếu Định Yên, tỉnh Đồng Tháp</v>
      </c>
      <c r="D20" s="4" t="str">
        <f>IFERROR(__xludf.DUMMYFUNCTION("""COMPUTED_VALUE"""),"Trịnh Thị Yến Nhi")</f>
        <v>Trịnh Thị Yến Nhi</v>
      </c>
      <c r="E20" s="4" t="str">
        <f>IFERROR(__xludf.DUMMYFUNCTION("""COMPUTED_VALUE"""),"Trường Đại học Văn Hiến")</f>
        <v>Trường Đại học Văn Hiến</v>
      </c>
      <c r="F20" s="4" t="str">
        <f>IFERROR(__xludf.DUMMYFUNCTION("""COMPUTED_VALUE"""),"VHNT2026-019.png")</f>
        <v>VHNT2026-019.png</v>
      </c>
    </row>
    <row r="21">
      <c r="A21" s="4" t="str">
        <f>IFERROR(__xludf.DUMMYFUNCTION("""COMPUTED_VALUE"""),"VHNT2026-020")</f>
        <v>VHNT2026-020</v>
      </c>
      <c r="B21" s="4" t="str">
        <f>IFERROR(__xludf.DUMMYFUNCTION("""COMPUTED_VALUE"""),"Văn hóa - Nghệ thuật")</f>
        <v>Văn hóa - Nghệ thuật</v>
      </c>
      <c r="C21" s="4" t="str">
        <f>IFERROR(__xludf.DUMMYFUNCTION("""COMPUTED_VALUE"""),"Mối quan hệ trách nhiệm xã hội với những cảm nhận và trải nghiệm đáng nhớ của du khách lưu trú tại glamping")</f>
        <v>Mối quan hệ trách nhiệm xã hội với những cảm nhận và trải nghiệm đáng nhớ của du khách lưu trú tại glamping</v>
      </c>
      <c r="D21" s="4" t="str">
        <f>IFERROR(__xludf.DUMMYFUNCTION("""COMPUTED_VALUE"""),"Nguyễn Như Anh Thư; Trịnh Thị Yến Nhi")</f>
        <v>Nguyễn Như Anh Thư; Trịnh Thị Yến Nhi</v>
      </c>
      <c r="E21" s="4" t="str">
        <f>IFERROR(__xludf.DUMMYFUNCTION("""COMPUTED_VALUE"""),"Trường Đại học Văn Hiến")</f>
        <v>Trường Đại học Văn Hiến</v>
      </c>
      <c r="F21" s="4" t="str">
        <f>IFERROR(__xludf.DUMMYFUNCTION("""COMPUTED_VALUE"""),"VHNT2026-020.png")</f>
        <v>VHNT2026-020.png</v>
      </c>
    </row>
    <row r="22">
      <c r="A22" s="4" t="str">
        <f>IFERROR(__xludf.DUMMYFUNCTION("""COMPUTED_VALUE"""),"VHNT2026-021")</f>
        <v>VHNT2026-021</v>
      </c>
      <c r="B22" s="4" t="str">
        <f>IFERROR(__xludf.DUMMYFUNCTION("""COMPUTED_VALUE"""),"Văn hóa - Nghệ thuật")</f>
        <v>Văn hóa - Nghệ thuật</v>
      </c>
      <c r="C22" s="4" t="str">
        <f>IFERROR(__xludf.DUMMYFUNCTION("""COMPUTED_VALUE"""),"Khám phá trải nghiệm tâm lý của khách tham quan Gen Z khi tương tác công nghệ số tại các bảo tàng Thành phố Hồ Chí Minh")</f>
        <v>Khám phá trải nghiệm tâm lý của khách tham quan Gen Z khi tương tác công nghệ số tại các bảo tàng Thành phố Hồ Chí Minh</v>
      </c>
      <c r="D22" s="4" t="str">
        <f>IFERROR(__xludf.DUMMYFUNCTION("""COMPUTED_VALUE"""),"Trần Thanh Trúc; Nguyễn Duy An; Lý Hoàng Duy; Đinh Ngọc Quỳnh Như; Từ Mỹ Linh")</f>
        <v>Trần Thanh Trúc; Nguyễn Duy An; Lý Hoàng Duy; Đinh Ngọc Quỳnh Như; Từ Mỹ Linh</v>
      </c>
      <c r="E22" s="4" t="str">
        <f>IFERROR(__xludf.DUMMYFUNCTION("""COMPUTED_VALUE"""),"Trường Đại học Văn Lang")</f>
        <v>Trường Đại học Văn Lang</v>
      </c>
      <c r="F22" s="4" t="str">
        <f>IFERROR(__xludf.DUMMYFUNCTION("""COMPUTED_VALUE"""),"VHNT2026-021.png")</f>
        <v>VHNT2026-021.png</v>
      </c>
    </row>
    <row r="23">
      <c r="A23" s="4" t="str">
        <f>IFERROR(__xludf.DUMMYFUNCTION("""COMPUTED_VALUE"""),"VHNT2026-022")</f>
        <v>VHNT2026-022</v>
      </c>
      <c r="B23" s="4" t="str">
        <f>IFERROR(__xludf.DUMMYFUNCTION("""COMPUTED_VALUE"""),"Văn hóa - Nghệ thuật")</f>
        <v>Văn hóa - Nghệ thuật</v>
      </c>
      <c r="C23" s="4" t="str">
        <f>IFERROR(__xludf.DUMMYFUNCTION("""COMPUTED_VALUE"""),"Du lịch thời TikTok: tính xác thực và người nổi tiếng định hình ý định du lịch của giới trẻ Việt Nam")</f>
        <v>Du lịch thời TikTok: tính xác thực và người nổi tiếng định hình ý định du lịch của giới trẻ Việt Nam</v>
      </c>
      <c r="D23" s="4" t="str">
        <f>IFERROR(__xludf.DUMMYFUNCTION("""COMPUTED_VALUE"""),"Phạm Nguyễn Minh Thư; Ngô Hồng Ngọc; Trương Thị Bảo An; Đặng Nguyễn Ngân Đình")</f>
        <v>Phạm Nguyễn Minh Thư; Ngô Hồng Ngọc; Trương Thị Bảo An; Đặng Nguyễn Ngân Đình</v>
      </c>
      <c r="E23" s="4" t="str">
        <f>IFERROR(__xludf.DUMMYFUNCTION("""COMPUTED_VALUE"""),"Trường Đại học Văn Lang")</f>
        <v>Trường Đại học Văn Lang</v>
      </c>
      <c r="F23" s="4" t="str">
        <f>IFERROR(__xludf.DUMMYFUNCTION("""COMPUTED_VALUE"""),"VHNT2026-022.png")</f>
        <v>VHNT2026-022.png</v>
      </c>
    </row>
    <row r="24">
      <c r="A24" s="4" t="str">
        <f>IFERROR(__xludf.DUMMYFUNCTION("""COMPUTED_VALUE"""),"VHNT2026-023")</f>
        <v>VHNT2026-023</v>
      </c>
      <c r="B24" s="4" t="str">
        <f>IFERROR(__xludf.DUMMYFUNCTION("""COMPUTED_VALUE"""),"Văn hóa - Nghệ thuật")</f>
        <v>Văn hóa - Nghệ thuật</v>
      </c>
      <c r="C24" s="4" t="str">
        <f>IFERROR(__xludf.DUMMYFUNCTION("""COMPUTED_VALUE"""),"Khám phá vai trò của ẩm thực truyền thống trong phát triển du lịch nông nghiệp theo hướng bền vững: góc nhìn từ du khách và cộng đồng địa phương")</f>
        <v>Khám phá vai trò của ẩm thực truyền thống trong phát triển du lịch nông nghiệp theo hướng bền vững: góc nhìn từ du khách và cộng đồng địa phương</v>
      </c>
      <c r="D24" s="4" t="str">
        <f>IFERROR(__xludf.DUMMYFUNCTION("""COMPUTED_VALUE"""),"Lê Nguyễn Thành Tú; Võ Ngọc Quý; Võ Đăng Khoa; Phạm Hoàng Phương")</f>
        <v>Lê Nguyễn Thành Tú; Võ Ngọc Quý; Võ Đăng Khoa; Phạm Hoàng Phương</v>
      </c>
      <c r="E24" s="4" t="str">
        <f>IFERROR(__xludf.DUMMYFUNCTION("""COMPUTED_VALUE"""),"Trường Đại học Văn Lang")</f>
        <v>Trường Đại học Văn Lang</v>
      </c>
      <c r="F24" s="4" t="str">
        <f>IFERROR(__xludf.DUMMYFUNCTION("""COMPUTED_VALUE"""),"VHNT2026-023.png")</f>
        <v>VHNT2026-023.png</v>
      </c>
    </row>
    <row r="25">
      <c r="A25" s="4" t="str">
        <f>IFERROR(__xludf.DUMMYFUNCTION("""COMPUTED_VALUE"""),"VHNT2026-024")</f>
        <v>VHNT2026-024</v>
      </c>
      <c r="B25" s="4" t="str">
        <f>IFERROR(__xludf.DUMMYFUNCTION("""COMPUTED_VALUE"""),"Văn hóa - Nghệ thuật")</f>
        <v>Văn hóa - Nghệ thuật</v>
      </c>
      <c r="C25" s="4" t="str">
        <f>IFERROR(__xludf.DUMMYFUNCTION("""COMPUTED_VALUE"""),"Ảnh hưởng của công nghệ du lịch thông minh đến trải nghiệm và ý định quay lại của du khách tại khu du lịch Núi Bà Đen, Tây Ninh")</f>
        <v>Ảnh hưởng của công nghệ du lịch thông minh đến trải nghiệm và ý định quay lại của du khách tại khu du lịch Núi Bà Đen, Tây Ninh</v>
      </c>
      <c r="D25" s="4" t="str">
        <f>IFERROR(__xludf.DUMMYFUNCTION("""COMPUTED_VALUE"""),"Võ Yến Minh; Hồ Huỳnh Mỹ Hân; Lê Nguyễn Phương Khánh; Nguyễn Nhật Hào")</f>
        <v>Võ Yến Minh; Hồ Huỳnh Mỹ Hân; Lê Nguyễn Phương Khánh; Nguyễn Nhật Hào</v>
      </c>
      <c r="E25" s="4" t="str">
        <f>IFERROR(__xludf.DUMMYFUNCTION("""COMPUTED_VALUE"""),"Trường Đại học Văn Lang")</f>
        <v>Trường Đại học Văn Lang</v>
      </c>
      <c r="F25" s="4" t="str">
        <f>IFERROR(__xludf.DUMMYFUNCTION("""COMPUTED_VALUE"""),"VHNT2026-024.png")</f>
        <v>VHNT2026-024.png</v>
      </c>
    </row>
    <row r="26">
      <c r="A26" s="4" t="str">
        <f>IFERROR(__xludf.DUMMYFUNCTION("""COMPUTED_VALUE"""),"VHNT2026-025")</f>
        <v>VHNT2026-025</v>
      </c>
      <c r="B26" s="4" t="str">
        <f>IFERROR(__xludf.DUMMYFUNCTION("""COMPUTED_VALUE"""),"Văn hóa - Nghệ thuật")</f>
        <v>Văn hóa - Nghệ thuật</v>
      </c>
      <c r="C26" s="4" t="str">
        <f>IFERROR(__xludf.DUMMYFUNCTION("""COMPUTED_VALUE"""),"Phát triển đồng bộ hệ sinh thái du lịch thông minh trên nền tảng chuyển đổi số cho nghệ thuật công cộng và di sản văn hoá tại Thành phố Hồ Chí Minh")</f>
        <v>Phát triển đồng bộ hệ sinh thái du lịch thông minh trên nền tảng chuyển đổi số cho nghệ thuật công cộng và di sản văn hoá tại Thành phố Hồ Chí Minh</v>
      </c>
      <c r="D26" s="4" t="str">
        <f>IFERROR(__xludf.DUMMYFUNCTION("""COMPUTED_VALUE"""),"Trần Lê Mai Trang; Nguyễn Lê Thu Hà")</f>
        <v>Trần Lê Mai Trang; Nguyễn Lê Thu Hà</v>
      </c>
      <c r="E26" s="4" t="str">
        <f>IFERROR(__xludf.DUMMYFUNCTION("""COMPUTED_VALUE"""),"Trường Đại học Văn Lang")</f>
        <v>Trường Đại học Văn Lang</v>
      </c>
      <c r="F26" s="4" t="str">
        <f>IFERROR(__xludf.DUMMYFUNCTION("""COMPUTED_VALUE"""),"VHNT2026-025.png")</f>
        <v>VHNT2026-025.png</v>
      </c>
    </row>
    <row r="27">
      <c r="A27" s="4" t="str">
        <f>IFERROR(__xludf.DUMMYFUNCTION("""COMPUTED_VALUE"""),"VHNT2026-026")</f>
        <v>VHNT2026-026</v>
      </c>
      <c r="B27" s="4" t="str">
        <f>IFERROR(__xludf.DUMMYFUNCTION("""COMPUTED_VALUE"""),"Văn hóa - Nghệ thuật")</f>
        <v>Văn hóa - Nghệ thuật</v>
      </c>
      <c r="C27" s="4" t="str">
        <f>IFERROR(__xludf.DUMMYFUNCTION("""COMPUTED_VALUE"""),"Tích hợp văn hóa võ thuật trong tổ chức du lịch đêm tại bến Bạch Đằng, phường Sài Gòn, Thành phố Hồ Chí Minh")</f>
        <v>Tích hợp văn hóa võ thuật trong tổ chức du lịch đêm tại bến Bạch Đằng, phường Sài Gòn, Thành phố Hồ Chí Minh</v>
      </c>
      <c r="D27" s="4" t="str">
        <f>IFERROR(__xludf.DUMMYFUNCTION("""COMPUTED_VALUE"""),"Đỗ Hoàng Minh Lân")</f>
        <v>Đỗ Hoàng Minh Lân</v>
      </c>
      <c r="E27" s="4" t="str">
        <f>IFERROR(__xludf.DUMMYFUNCTION("""COMPUTED_VALUE"""),"Trường Đại học Công Thương TP. Hồ Chí Minh")</f>
        <v>Trường Đại học Công Thương TP. Hồ Chí Minh</v>
      </c>
      <c r="F27" s="4" t="str">
        <f>IFERROR(__xludf.DUMMYFUNCTION("""COMPUTED_VALUE"""),"VHNT2026-026.png")</f>
        <v>VHNT2026-026.png</v>
      </c>
    </row>
    <row r="28">
      <c r="A28" s="4" t="str">
        <f>IFERROR(__xludf.DUMMYFUNCTION("""COMPUTED_VALUE"""),"VHNT2026-027")</f>
        <v>VHNT2026-027</v>
      </c>
      <c r="B28" s="4" t="str">
        <f>IFERROR(__xludf.DUMMYFUNCTION("""COMPUTED_VALUE"""),"Văn hóa - Nghệ thuật")</f>
        <v>Văn hóa - Nghệ thuật</v>
      </c>
      <c r="C28" s="4" t="str">
        <f>IFERROR(__xludf.DUMMYFUNCTION("""COMPUTED_VALUE"""),"Các yếu tố ảnh hưởng đến ý định trở lại của khách hàng Gen Z: Trường hợp khách hàng lưu trú homestay tại Đà Lạt")</f>
        <v>Các yếu tố ảnh hưởng đến ý định trở lại của khách hàng Gen Z: Trường hợp khách hàng lưu trú homestay tại Đà Lạt</v>
      </c>
      <c r="D28" s="4" t="str">
        <f>IFERROR(__xludf.DUMMYFUNCTION("""COMPUTED_VALUE"""),"Trần Thị Thanh Nga; Nguyễn Thị Thùy Duyên")</f>
        <v>Trần Thị Thanh Nga; Nguyễn Thị Thùy Duyên</v>
      </c>
      <c r="E28" s="4" t="str">
        <f>IFERROR(__xludf.DUMMYFUNCTION("""COMPUTED_VALUE"""),"Trường Đại học Công Thương TP. Hồ Chí Minh")</f>
        <v>Trường Đại học Công Thương TP. Hồ Chí Minh</v>
      </c>
      <c r="F28" s="4" t="str">
        <f>IFERROR(__xludf.DUMMYFUNCTION("""COMPUTED_VALUE"""),"VHNT2026-027.png")</f>
        <v>VHNT2026-027.png</v>
      </c>
    </row>
    <row r="29">
      <c r="A29" s="4" t="str">
        <f>IFERROR(__xludf.DUMMYFUNCTION("""COMPUTED_VALUE"""),"VHNT2026-028")</f>
        <v>VHNT2026-028</v>
      </c>
      <c r="B29" s="4" t="str">
        <f>IFERROR(__xludf.DUMMYFUNCTION("""COMPUTED_VALUE"""),"Văn hóa - Nghệ thuật")</f>
        <v>Văn hóa - Nghệ thuật</v>
      </c>
      <c r="C29" s="4" t="str">
        <f>IFERROR(__xludf.DUMMYFUNCTION("""COMPUTED_VALUE"""),"Tác động của trải nghiệm trò chơi hóa thông qua mô hình rubik qr đến nhận thức và ý định hành vi đối với ẩm thực truyền thống của thế hệ gen z tại Thành phố Hồ Chí Minh")</f>
        <v>Tác động của trải nghiệm trò chơi hóa thông qua mô hình rubik qr đến nhận thức và ý định hành vi đối với ẩm thực truyền thống của thế hệ gen z tại Thành phố Hồ Chí Minh</v>
      </c>
      <c r="D29" s="4" t="str">
        <f>IFERROR(__xludf.DUMMYFUNCTION("""COMPUTED_VALUE"""),"Hồ Nguyễn Thanh Tân; Lê Huỳnh Thanh Thư; Nguyễn Mai Trúc Phương; Đoàn Thị Mỹ Tiên")</f>
        <v>Hồ Nguyễn Thanh Tân; Lê Huỳnh Thanh Thư; Nguyễn Mai Trúc Phương; Đoàn Thị Mỹ Tiên</v>
      </c>
      <c r="E29" s="4" t="str">
        <f>IFERROR(__xludf.DUMMYFUNCTION("""COMPUTED_VALUE"""),"Trường Đại học Công Thương TP. Hồ Chí Minh")</f>
        <v>Trường Đại học Công Thương TP. Hồ Chí Minh</v>
      </c>
      <c r="F29" s="4" t="str">
        <f>IFERROR(__xludf.DUMMYFUNCTION("""COMPUTED_VALUE"""),"VHNT2026-028.png")</f>
        <v>VHNT2026-028.png</v>
      </c>
    </row>
    <row r="30">
      <c r="A30" s="4" t="str">
        <f>IFERROR(__xludf.DUMMYFUNCTION("""COMPUTED_VALUE"""),"VHNT2026-029")</f>
        <v>VHNT2026-029</v>
      </c>
      <c r="B30" s="4" t="str">
        <f>IFERROR(__xludf.DUMMYFUNCTION("""COMPUTED_VALUE"""),"Văn hóa - Nghệ thuật")</f>
        <v>Văn hóa - Nghệ thuật</v>
      </c>
      <c r="C30" s="4" t="str">
        <f>IFERROR(__xludf.DUMMYFUNCTION("""COMPUTED_VALUE"""),"ĐÁNH GIÁ SỰ HÀI LÒNG CỦA GEN Z TẠI BẢO TÀNG MỸ THUẬT THÀNH PHỐ HỒ CHÍ MINH: ỨNG DỤNG CHỈ SỐ CSAT")</f>
        <v>ĐÁNH GIÁ SỰ HÀI LÒNG CỦA GEN Z TẠI BẢO TÀNG MỸ THUẬT THÀNH PHỐ HỒ CHÍ MINH: ỨNG DỤNG CHỈ SỐ CSAT</v>
      </c>
      <c r="D30" s="4" t="str">
        <f>IFERROR(__xludf.DUMMYFUNCTION("""COMPUTED_VALUE"""),"Nguyễn Thị Thảo; Nguyễn Thị Thuý Huyền; Huỳnh Đăng Khoa")</f>
        <v>Nguyễn Thị Thảo; Nguyễn Thị Thuý Huyền; Huỳnh Đăng Khoa</v>
      </c>
      <c r="E30" s="4" t="str">
        <f>IFERROR(__xludf.DUMMYFUNCTION("""COMPUTED_VALUE"""),"Trường Đại học Sài Gòn")</f>
        <v>Trường Đại học Sài Gòn</v>
      </c>
      <c r="F30" s="4" t="str">
        <f>IFERROR(__xludf.DUMMYFUNCTION("""COMPUTED_VALUE"""),"VHNT2026-029.png")</f>
        <v>VHNT2026-029.png</v>
      </c>
    </row>
    <row r="31">
      <c r="A31" s="4" t="str">
        <f>IFERROR(__xludf.DUMMYFUNCTION("""COMPUTED_VALUE"""),"VHNT2026-030")</f>
        <v>VHNT2026-030</v>
      </c>
      <c r="B31" s="4" t="str">
        <f>IFERROR(__xludf.DUMMYFUNCTION("""COMPUTED_VALUE"""),"Văn hóa - Nghệ thuật")</f>
        <v>Văn hóa - Nghệ thuật</v>
      </c>
      <c r="C31" s="4" t="str">
        <f>IFERROR(__xludf.DUMMYFUNCTION("""COMPUTED_VALUE"""),"KHAI THÁC TIỀM NĂNG PHÁT TRIỂN DU LỊCH LÀNG NGHỀ DỆT CHIẾU CÀ HOM – BẾN BẠ, TỈNH VĨNH LONG")</f>
        <v>KHAI THÁC TIỀM NĂNG PHÁT TRIỂN DU LỊCH LÀNG NGHỀ DỆT CHIẾU CÀ HOM – BẾN BẠ, TỈNH VĨNH LONG</v>
      </c>
      <c r="D31" s="4" t="str">
        <f>IFERROR(__xludf.DUMMYFUNCTION("""COMPUTED_VALUE"""),"Lâm Tú Châu; Nguyễn Trọng Phúc")</f>
        <v>Lâm Tú Châu; Nguyễn Trọng Phúc</v>
      </c>
      <c r="E31" s="4" t="str">
        <f>IFERROR(__xludf.DUMMYFUNCTION("""COMPUTED_VALUE"""),"Trường Đại học Sài Gòn")</f>
        <v>Trường Đại học Sài Gòn</v>
      </c>
      <c r="F31" s="4" t="str">
        <f>IFERROR(__xludf.DUMMYFUNCTION("""COMPUTED_VALUE"""),"VHNT2026-030.png")</f>
        <v>VHNT2026-030.png</v>
      </c>
    </row>
    <row r="32">
      <c r="A32" s="4" t="str">
        <f>IFERROR(__xludf.DUMMYFUNCTION("""COMPUTED_VALUE"""),"VHNT2026-031")</f>
        <v>VHNT2026-031</v>
      </c>
      <c r="B32" s="4" t="str">
        <f>IFERROR(__xludf.DUMMYFUNCTION("""COMPUTED_VALUE"""),"Văn hóa - Nghệ thuật")</f>
        <v>Văn hóa - Nghệ thuật</v>
      </c>
      <c r="C32" s="4" t="str">
        <f>IFERROR(__xludf.DUMMYFUNCTION("""COMPUTED_VALUE"""),"Vai trò của nội dung do người dùng tạo (UGC) trên mạng xã hội đến quyết định du lịch nông thôn thực tế của Gen Z tại Miền Tây")</f>
        <v>Vai trò của nội dung do người dùng tạo (UGC) trên mạng xã hội đến quyết định du lịch nông thôn thực tế của Gen Z tại Miền Tây</v>
      </c>
      <c r="D32" s="4" t="str">
        <f>IFERROR(__xludf.DUMMYFUNCTION("""COMPUTED_VALUE"""),"Trịnh Nguyễn Uyên Thi; Huỳnh Việc Nhật Quỳnh; Lưu Quỳnh Anh")</f>
        <v>Trịnh Nguyễn Uyên Thi; Huỳnh Việc Nhật Quỳnh; Lưu Quỳnh Anh</v>
      </c>
      <c r="E32" s="4" t="str">
        <f>IFERROR(__xludf.DUMMYFUNCTION("""COMPUTED_VALUE"""),"Trường Đại học Công Thương TP. Hồ Chí Minh")</f>
        <v>Trường Đại học Công Thương TP. Hồ Chí Minh</v>
      </c>
      <c r="F32" s="4" t="str">
        <f>IFERROR(__xludf.DUMMYFUNCTION("""COMPUTED_VALUE"""),"VHNT2026-031.png")</f>
        <v>VHNT2026-031.png</v>
      </c>
    </row>
    <row r="33">
      <c r="A33" s="4" t="str">
        <f>IFERROR(__xludf.DUMMYFUNCTION("""COMPUTED_VALUE"""),"VHNT2026-032")</f>
        <v>VHNT2026-032</v>
      </c>
      <c r="B33" s="4" t="str">
        <f>IFERROR(__xludf.DUMMYFUNCTION("""COMPUTED_VALUE"""),"Văn hóa - Nghệ thuật")</f>
        <v>Văn hóa - Nghệ thuật</v>
      </c>
      <c r="C33" s="4" t="str">
        <f>IFERROR(__xludf.DUMMYFUNCTION("""COMPUTED_VALUE"""),"Khảo sát và đề xuất giải pháp sử dụng vật liệu thân thiện với môi trường trong du lịch cộng đồng tại Pù Luông, Thanh Hóa")</f>
        <v>Khảo sát và đề xuất giải pháp sử dụng vật liệu thân thiện với môi trường trong du lịch cộng đồng tại Pù Luông, Thanh Hóa</v>
      </c>
      <c r="D33" s="4" t="str">
        <f>IFERROR(__xludf.DUMMYFUNCTION("""COMPUTED_VALUE"""),"Thiều Đình Tùng; Nguyễn Thị Mỹ Linh; Lục Phương Cầm")</f>
        <v>Thiều Đình Tùng; Nguyễn Thị Mỹ Linh; Lục Phương Cầm</v>
      </c>
      <c r="E33" s="4" t="str">
        <f>IFERROR(__xludf.DUMMYFUNCTION("""COMPUTED_VALUE"""),"Trường Đại học Hồng Đức")</f>
        <v>Trường Đại học Hồng Đức</v>
      </c>
      <c r="F33" s="4" t="str">
        <f>IFERROR(__xludf.DUMMYFUNCTION("""COMPUTED_VALUE"""),"VHNT2026-032.png")</f>
        <v>VHNT2026-032.png</v>
      </c>
    </row>
    <row r="34">
      <c r="A34" s="4" t="str">
        <f>IFERROR(__xludf.DUMMYFUNCTION("""COMPUTED_VALUE"""),"VHNT2026-033")</f>
        <v>VHNT2026-033</v>
      </c>
      <c r="B34" s="4" t="str">
        <f>IFERROR(__xludf.DUMMYFUNCTION("""COMPUTED_VALUE"""),"Văn hóa - Nghệ thuật")</f>
        <v>Văn hóa - Nghệ thuật</v>
      </c>
      <c r="C34" s="4" t="str">
        <f>IFERROR(__xludf.DUMMYFUNCTION("""COMPUTED_VALUE"""),"Đánh giá tiềm năng phát triển du lịch về nguồn của đặc khu Côn Đảo, Thành Phố Hồ Chí Minh")</f>
        <v>Đánh giá tiềm năng phát triển du lịch về nguồn của đặc khu Côn Đảo, Thành Phố Hồ Chí Minh</v>
      </c>
      <c r="D34" s="4" t="str">
        <f>IFERROR(__xludf.DUMMYFUNCTION("""COMPUTED_VALUE"""),"Mai Công Phú Quí")</f>
        <v>Mai Công Phú Quí</v>
      </c>
      <c r="E34" s="4" t="str">
        <f>IFERROR(__xludf.DUMMYFUNCTION("""COMPUTED_VALUE"""),"Trường Đại học Sư phạm TP. Hồ Chí Minh")</f>
        <v>Trường Đại học Sư phạm TP. Hồ Chí Minh</v>
      </c>
      <c r="F34" s="4" t="str">
        <f>IFERROR(__xludf.DUMMYFUNCTION("""COMPUTED_VALUE"""),"VHNT2026-033.png")</f>
        <v>VHNT2026-033.png</v>
      </c>
    </row>
    <row r="35">
      <c r="A35" s="4" t="str">
        <f>IFERROR(__xludf.DUMMYFUNCTION("""COMPUTED_VALUE"""),"VHNT2026-034")</f>
        <v>VHNT2026-034</v>
      </c>
      <c r="B35" s="4" t="str">
        <f>IFERROR(__xludf.DUMMYFUNCTION("""COMPUTED_VALUE"""),"Văn hóa - Nghệ thuật")</f>
        <v>Văn hóa - Nghệ thuật</v>
      </c>
      <c r="C35" s="4" t="str">
        <f>IFERROR(__xludf.DUMMYFUNCTION("""COMPUTED_VALUE"""),"Các yếu tố ảnh hưởng đến quyết định trải nghiệm ẩm thực đêm của du khách tại một số tuyến phố ẩm thực Hà Nội")</f>
        <v>Các yếu tố ảnh hưởng đến quyết định trải nghiệm ẩm thực đêm của du khách tại một số tuyến phố ẩm thực Hà Nội</v>
      </c>
      <c r="D35" s="4" t="str">
        <f>IFERROR(__xludf.DUMMYFUNCTION("""COMPUTED_VALUE"""),"Nguyễn Thị Hân; Nguyễn Hoàng Phương Thảo; Cao Thị Huyền Trang; Lê Phương Hà Anh")</f>
        <v>Nguyễn Thị Hân; Nguyễn Hoàng Phương Thảo; Cao Thị Huyền Trang; Lê Phương Hà Anh</v>
      </c>
      <c r="E35" s="4" t="str">
        <f>IFERROR(__xludf.DUMMYFUNCTION("""COMPUTED_VALUE"""),"Trường Đại học Thủ đô Hà Nội")</f>
        <v>Trường Đại học Thủ đô Hà Nội</v>
      </c>
      <c r="F35" s="4" t="str">
        <f>IFERROR(__xludf.DUMMYFUNCTION("""COMPUTED_VALUE"""),"VHNT2026-034.png")</f>
        <v>VHNT2026-034.png</v>
      </c>
    </row>
    <row r="36">
      <c r="A36" s="4" t="str">
        <f>IFERROR(__xludf.DUMMYFUNCTION("""COMPUTED_VALUE"""),"VHNT2026-035")</f>
        <v>VHNT2026-035</v>
      </c>
      <c r="B36" s="4" t="str">
        <f>IFERROR(__xludf.DUMMYFUNCTION("""COMPUTED_VALUE"""),"Văn hóa - Nghệ thuật")</f>
        <v>Văn hóa - Nghệ thuật</v>
      </c>
      <c r="C36" s="4" t="str">
        <f>IFERROR(__xludf.DUMMYFUNCTION("""COMPUTED_VALUE"""),"Xây dựng tập bản đồ du lịch văn hóa cho khu vực trung tâm Thành phố Hồ Chí Minh.")</f>
        <v>Xây dựng tập bản đồ du lịch văn hóa cho khu vực trung tâm Thành phố Hồ Chí Minh.</v>
      </c>
      <c r="D36" s="4" t="str">
        <f>IFERROR(__xludf.DUMMYFUNCTION("""COMPUTED_VALUE"""),"Dương Thị Thanh Nga; Nguyễn Huyền Nhi")</f>
        <v>Dương Thị Thanh Nga; Nguyễn Huyền Nhi</v>
      </c>
      <c r="E36" s="4" t="str">
        <f>IFERROR(__xludf.DUMMYFUNCTION("""COMPUTED_VALUE"""),"Trường Đại học Khoa học xã hội và Nhân văn, ĐHQG-HCM")</f>
        <v>Trường Đại học Khoa học xã hội và Nhân văn, ĐHQG-HCM</v>
      </c>
      <c r="F36" s="4" t="str">
        <f>IFERROR(__xludf.DUMMYFUNCTION("""COMPUTED_VALUE"""),"VHNT2026-035.png")</f>
        <v>VHNT2026-035.png</v>
      </c>
    </row>
    <row r="37">
      <c r="A37" s="4" t="str">
        <f>IFERROR(__xludf.DUMMYFUNCTION("""COMPUTED_VALUE"""),"VHNT2026-036")</f>
        <v>VHNT2026-036</v>
      </c>
      <c r="B37" s="4" t="str">
        <f>IFERROR(__xludf.DUMMYFUNCTION("""COMPUTED_VALUE"""),"Văn hóa - Nghệ thuật")</f>
        <v>Văn hóa - Nghệ thuật</v>
      </c>
      <c r="C37" s="4" t="str">
        <f>IFERROR(__xludf.DUMMYFUNCTION("""COMPUTED_VALUE"""),"Bảo tồn và phát huy lễ hội Chùa Ông trong phát triển du lịch tại thành phố Cần Thơ")</f>
        <v>Bảo tồn và phát huy lễ hội Chùa Ông trong phát triển du lịch tại thành phố Cần Thơ</v>
      </c>
      <c r="D37" s="4" t="str">
        <f>IFERROR(__xludf.DUMMYFUNCTION("""COMPUTED_VALUE"""),"Nguyễn Quốc Khang; Cao Trung Nghĩa")</f>
        <v>Nguyễn Quốc Khang; Cao Trung Nghĩa</v>
      </c>
      <c r="E37" s="4" t="str">
        <f>IFERROR(__xludf.DUMMYFUNCTION("""COMPUTED_VALUE"""),"Đại học Cần Thơ")</f>
        <v>Đại học Cần Thơ</v>
      </c>
      <c r="F37" s="4" t="str">
        <f>IFERROR(__xludf.DUMMYFUNCTION("""COMPUTED_VALUE"""),"VHNT2026-036.png")</f>
        <v>VHNT2026-036.png</v>
      </c>
    </row>
    <row r="38">
      <c r="A38" s="4" t="str">
        <f>IFERROR(__xludf.DUMMYFUNCTION("""COMPUTED_VALUE"""),"VHNT2026-037")</f>
        <v>VHNT2026-037</v>
      </c>
      <c r="B38" s="4" t="str">
        <f>IFERROR(__xludf.DUMMYFUNCTION("""COMPUTED_VALUE"""),"Văn hóa - Nghệ thuật")</f>
        <v>Văn hóa - Nghệ thuật</v>
      </c>
      <c r="C38" s="4" t="str">
        <f>IFERROR(__xludf.DUMMYFUNCTION("""COMPUTED_VALUE"""),"Ứng dụng chiến lược kể chuyện ẩm thực kết hợp truyền thông số trong phát triển du")</f>
        <v>Ứng dụng chiến lược kể chuyện ẩm thực kết hợp truyền thông số trong phát triển du</v>
      </c>
      <c r="D38" s="4" t="str">
        <f>IFERROR(__xludf.DUMMYFUNCTION("""COMPUTED_VALUE"""),"Nguyễn Mạnh Nhật Trường; Trần Lâm Khắc Tuấn; Tống Lê Tú Trinh; Lê Minh Vẹn")</f>
        <v>Nguyễn Mạnh Nhật Trường; Trần Lâm Khắc Tuấn; Tống Lê Tú Trinh; Lê Minh Vẹn</v>
      </c>
      <c r="E38" s="4" t="str">
        <f>IFERROR(__xludf.DUMMYFUNCTION("""COMPUTED_VALUE"""),"Trường Đại học Khoa học xã hội và Nhân văn, ĐHQG-HCM")</f>
        <v>Trường Đại học Khoa học xã hội và Nhân văn, ĐHQG-HCM</v>
      </c>
      <c r="F38" s="4" t="str">
        <f>IFERROR(__xludf.DUMMYFUNCTION("""COMPUTED_VALUE"""),"VHNT2026-037.png")</f>
        <v>VHNT2026-037.png</v>
      </c>
    </row>
    <row r="39">
      <c r="A39" s="4" t="str">
        <f>IFERROR(__xludf.DUMMYFUNCTION("""COMPUTED_VALUE"""),"VHNT2026-038")</f>
        <v>VHNT2026-038</v>
      </c>
      <c r="B39" s="4" t="str">
        <f>IFERROR(__xludf.DUMMYFUNCTION("""COMPUTED_VALUE"""),"Văn hóa - Nghệ thuật")</f>
        <v>Văn hóa - Nghệ thuật</v>
      </c>
      <c r="C39" s="4" t="str">
        <f>IFERROR(__xludf.DUMMYFUNCTION("""COMPUTED_VALUE"""),"Từ trải nghiệm đến gắn kết với di sản đô thị: Cơ chế tiếp nhận giá trị lịch sử - văn hóa của du khách trẻ Việt Nam và quốc tế tại Không gian đi bộ khu vực Hồ Hoàn Kiếm và phụ cận")</f>
        <v>Từ trải nghiệm đến gắn kết với di sản đô thị: Cơ chế tiếp nhận giá trị lịch sử - văn hóa của du khách trẻ Việt Nam và quốc tế tại Không gian đi bộ khu vực Hồ Hoàn Kiếm và phụ cận</v>
      </c>
      <c r="D39" s="4" t="str">
        <f>IFERROR(__xludf.DUMMYFUNCTION("""COMPUTED_VALUE"""),"Lu Yun Xia; Mao Jia Le; Wang Lu Tong; Nguyễn Thu Trang; Nguyễn Thuỳ Trang")</f>
        <v>Lu Yun Xia; Mao Jia Le; Wang Lu Tong; Nguyễn Thu Trang; Nguyễn Thuỳ Trang</v>
      </c>
      <c r="E39" s="4" t="str">
        <f>IFERROR(__xludf.DUMMYFUNCTION("""COMPUTED_VALUE"""),"Trường Đại học Hà Nội")</f>
        <v>Trường Đại học Hà Nội</v>
      </c>
      <c r="F39" s="4" t="str">
        <f>IFERROR(__xludf.DUMMYFUNCTION("""COMPUTED_VALUE"""),"VHNT2026-038.png")</f>
        <v>VHNT2026-038.png</v>
      </c>
    </row>
    <row r="40">
      <c r="A40" s="4" t="str">
        <f>IFERROR(__xludf.DUMMYFUNCTION("""COMPUTED_VALUE"""),"VHNT2026-039")</f>
        <v>VHNT2026-039</v>
      </c>
      <c r="B40" s="4" t="str">
        <f>IFERROR(__xludf.DUMMYFUNCTION("""COMPUTED_VALUE"""),"Văn hóa - Nghệ thuật")</f>
        <v>Văn hóa - Nghệ thuật</v>
      </c>
      <c r="C40" s="4" t="str">
        <f>IFERROR(__xludf.DUMMYFUNCTION("""COMPUTED_VALUE"""),"Nâng cao trải nghiệm đa giác quan của khách du lịch quốc tế tại Chợ nổi Cái Răng, Thành phố Cần Thơ")</f>
        <v>Nâng cao trải nghiệm đa giác quan của khách du lịch quốc tế tại Chợ nổi Cái Răng, Thành phố Cần Thơ</v>
      </c>
      <c r="D40" s="4" t="str">
        <f>IFERROR(__xludf.DUMMYFUNCTION("""COMPUTED_VALUE"""),"Nguyễn Thị Thuỳ Linh; Hà Nguyễn Song Cầm; Huỳnh Chí Đại; Lê Tài Lợi; Lê Thị Cẩm Ngoan")</f>
        <v>Nguyễn Thị Thuỳ Linh; Hà Nguyễn Song Cầm; Huỳnh Chí Đại; Lê Tài Lợi; Lê Thị Cẩm Ngoan</v>
      </c>
      <c r="E40" s="4" t="str">
        <f>IFERROR(__xludf.DUMMYFUNCTION("""COMPUTED_VALUE"""),"Trường Đại học Khoa học xã hội và Nhân văn, ĐHQG-HCM")</f>
        <v>Trường Đại học Khoa học xã hội và Nhân văn, ĐHQG-HCM</v>
      </c>
      <c r="F40" s="4" t="str">
        <f>IFERROR(__xludf.DUMMYFUNCTION("""COMPUTED_VALUE"""),"VHNT2026-039.png")</f>
        <v>VHNT2026-039.png</v>
      </c>
    </row>
    <row r="41">
      <c r="A41" s="4" t="str">
        <f>IFERROR(__xludf.DUMMYFUNCTION("""COMPUTED_VALUE"""),"VHNT2026-040")</f>
        <v>VHNT2026-040</v>
      </c>
      <c r="B41" s="4" t="str">
        <f>IFERROR(__xludf.DUMMYFUNCTION("""COMPUTED_VALUE"""),"Văn hóa - Nghệ thuật")</f>
        <v>Văn hóa - Nghệ thuật</v>
      </c>
      <c r="C41" s="4" t="str">
        <f>IFERROR(__xludf.DUMMYFUNCTION("""COMPUTED_VALUE"""),"Mức độ quan tâm và ý định lựa chọn cơ sở lưu trú có nhãn xanh của giới trẻ tại thành phố Hồ Chí Minh")</f>
        <v>Mức độ quan tâm và ý định lựa chọn cơ sở lưu trú có nhãn xanh của giới trẻ tại thành phố Hồ Chí Minh</v>
      </c>
      <c r="D41" s="4" t="str">
        <f>IFERROR(__xludf.DUMMYFUNCTION("""COMPUTED_VALUE"""),"Trần Thị Mai An; Trần Thị Kim Hoa; Phạm Hoàng Kim; Nguyễn Thị Yến Nhi; Nguyễn Thị Nhật Quỳnh")</f>
        <v>Trần Thị Mai An; Trần Thị Kim Hoa; Phạm Hoàng Kim; Nguyễn Thị Yến Nhi; Nguyễn Thị Nhật Quỳnh</v>
      </c>
      <c r="E41" s="4" t="str">
        <f>IFERROR(__xludf.DUMMYFUNCTION("""COMPUTED_VALUE"""),"Trường Đại học Khoa học xã hội và Nhân văn, ĐHQG-HCM")</f>
        <v>Trường Đại học Khoa học xã hội và Nhân văn, ĐHQG-HCM</v>
      </c>
      <c r="F41" s="4" t="str">
        <f>IFERROR(__xludf.DUMMYFUNCTION("""COMPUTED_VALUE"""),"VHNT2026-040.png")</f>
        <v>VHNT2026-040.png</v>
      </c>
    </row>
    <row r="42">
      <c r="A42" s="4" t="str">
        <f>IFERROR(__xludf.DUMMYFUNCTION("""COMPUTED_VALUE"""),"VHNT2026-041")</f>
        <v>VHNT2026-041</v>
      </c>
      <c r="B42" s="4" t="str">
        <f>IFERROR(__xludf.DUMMYFUNCTION("""COMPUTED_VALUE"""),"Văn hóa - Nghệ thuật")</f>
        <v>Văn hóa - Nghệ thuật</v>
      </c>
      <c r="C42" s="4" t="str">
        <f>IFERROR(__xludf.DUMMYFUNCTION("""COMPUTED_VALUE"""),"QUẢNG BÁ ĐIỂM ĐẾN DU LỊCH QUA SỰ KIỆN ÂM NHẠC HƯỚNG ĐẾN GEN Z")</f>
        <v>QUẢNG BÁ ĐIỂM ĐẾN DU LỊCH QUA SỰ KIỆN ÂM NHẠC HƯỚNG ĐẾN GEN Z</v>
      </c>
      <c r="D42" s="4" t="str">
        <f>IFERROR(__xludf.DUMMYFUNCTION("""COMPUTED_VALUE"""),"Đặng Sanh Minh Quân; Lê Phan Tường Vy; Phạm Võ Ngọc Hân")</f>
        <v>Đặng Sanh Minh Quân; Lê Phan Tường Vy; Phạm Võ Ngọc Hân</v>
      </c>
      <c r="E42" s="4" t="str">
        <f>IFERROR(__xludf.DUMMYFUNCTION("""COMPUTED_VALUE"""),"Trường Đại học Văn hóa TP. Hồ Chí Minh")</f>
        <v>Trường Đại học Văn hóa TP. Hồ Chí Minh</v>
      </c>
      <c r="F42" s="4" t="str">
        <f>IFERROR(__xludf.DUMMYFUNCTION("""COMPUTED_VALUE"""),"VHNT2026-041.png")</f>
        <v>VHNT2026-041.png</v>
      </c>
    </row>
    <row r="43">
      <c r="A43" s="4" t="str">
        <f>IFERROR(__xludf.DUMMYFUNCTION("""COMPUTED_VALUE"""),"VHNT2026-042")</f>
        <v>VHNT2026-042</v>
      </c>
      <c r="B43" s="4" t="str">
        <f>IFERROR(__xludf.DUMMYFUNCTION("""COMPUTED_VALUE"""),"Văn hóa - Nghệ thuật")</f>
        <v>Văn hóa - Nghệ thuật</v>
      </c>
      <c r="C43" s="4" t="str">
        <f>IFERROR(__xludf.DUMMYFUNCTION("""COMPUTED_VALUE"""),"NGUỒN LỰC TỔ CHỨC SỐ VÀ TRÍ TUỆ NHÂN TẠO HỖ TRỢ CÔNG VIỆC TRONG DOANH NGHIỆP LỮ HÀNH: MỐI QUAN HỆ VỚI TRẠNG THÁI TÂM LÝ CỦA NHÂN VIÊN TẠI THÀNH PHỐ HỒ CHÍ MINH")</f>
        <v>NGUỒN LỰC TỔ CHỨC SỐ VÀ TRÍ TUỆ NHÂN TẠO HỖ TRỢ CÔNG VIỆC TRONG DOANH NGHIỆP LỮ HÀNH: MỐI QUAN HỆ VỚI TRẠNG THÁI TÂM LÝ CỦA NHÂN VIÊN TẠI THÀNH PHỐ HỒ CHÍ MINH</v>
      </c>
      <c r="D43" s="4" t="str">
        <f>IFERROR(__xludf.DUMMYFUNCTION("""COMPUTED_VALUE"""),"Hà Văn Lợi; Nguyễn Thu Hương; Nguyễn Đức Bình")</f>
        <v>Hà Văn Lợi; Nguyễn Thu Hương; Nguyễn Đức Bình</v>
      </c>
      <c r="E43" s="4" t="str">
        <f>IFERROR(__xludf.DUMMYFUNCTION("""COMPUTED_VALUE"""),"Trường Đại học Văn hóa TP. Hồ Chí Minh")</f>
        <v>Trường Đại học Văn hóa TP. Hồ Chí Minh</v>
      </c>
      <c r="F43" s="4" t="str">
        <f>IFERROR(__xludf.DUMMYFUNCTION("""COMPUTED_VALUE"""),"VHNT2026-042.png")</f>
        <v>VHNT2026-042.png</v>
      </c>
    </row>
    <row r="44">
      <c r="A44" s="4" t="str">
        <f>IFERROR(__xludf.DUMMYFUNCTION("""COMPUTED_VALUE"""),"VHNT2026-043")</f>
        <v>VHNT2026-043</v>
      </c>
      <c r="B44" s="4" t="str">
        <f>IFERROR(__xludf.DUMMYFUNCTION("""COMPUTED_VALUE"""),"Văn hóa - Nghệ thuật")</f>
        <v>Văn hóa - Nghệ thuật</v>
      </c>
      <c r="C44" s="4" t="str">
        <f>IFERROR(__xludf.DUMMYFUNCTION("""COMPUTED_VALUE"""),"Chính sách Ánh Dương của Hàn Quốc từ năm 2017 đến nay")</f>
        <v>Chính sách Ánh Dương của Hàn Quốc từ năm 2017 đến nay</v>
      </c>
      <c r="D44" s="4" t="str">
        <f>IFERROR(__xludf.DUMMYFUNCTION("""COMPUTED_VALUE"""),"Cao Ngọc Thịnh; Lê Anh Thư; Nguyễn Trọng Ngọc Hà; Nguyễn Ngọc Quỳnh Như; Trần Thị Bích Ngân")</f>
        <v>Cao Ngọc Thịnh; Lê Anh Thư; Nguyễn Trọng Ngọc Hà; Nguyễn Ngọc Quỳnh Như; Trần Thị Bích Ngân</v>
      </c>
      <c r="E44" s="4"/>
      <c r="F44" s="4" t="str">
        <f>IFERROR(__xludf.DUMMYFUNCTION("""COMPUTED_VALUE"""),"VHNT2026-043.png")</f>
        <v>VHNT2026-043.png</v>
      </c>
    </row>
    <row r="45">
      <c r="A45" s="4" t="str">
        <f>IFERROR(__xludf.DUMMYFUNCTION("""COMPUTED_VALUE"""),"VHNT2026-044")</f>
        <v>VHNT2026-044</v>
      </c>
      <c r="B45" s="4" t="str">
        <f>IFERROR(__xludf.DUMMYFUNCTION("""COMPUTED_VALUE"""),"Văn hóa - Nghệ thuật")</f>
        <v>Văn hóa - Nghệ thuật</v>
      </c>
      <c r="C45" s="4" t="str">
        <f>IFERROR(__xludf.DUMMYFUNCTION("""COMPUTED_VALUE"""),"Chuyển biến xã hội ở Pondicherry (Ấn Độ) thời thuộc Pháp (1674 - 1954)")</f>
        <v>Chuyển biến xã hội ở Pondicherry (Ấn Độ) thời thuộc Pháp (1674 - 1954)</v>
      </c>
      <c r="D45" s="4" t="str">
        <f>IFERROR(__xludf.DUMMYFUNCTION("""COMPUTED_VALUE"""),"Nguyễn Thế Vũ; Phan Thị Đặng Tâm; Trần Kiều Giáng Hương; Lê Phùng Bảo Khanh; Nguyễn Thị Yến Ly")</f>
        <v>Nguyễn Thế Vũ; Phan Thị Đặng Tâm; Trần Kiều Giáng Hương; Lê Phùng Bảo Khanh; Nguyễn Thị Yến Ly</v>
      </c>
      <c r="E45" s="4" t="str">
        <f>IFERROR(__xludf.DUMMYFUNCTION("""COMPUTED_VALUE"""),"Trường Đại học Quy Nhơn")</f>
        <v>Trường Đại học Quy Nhơn</v>
      </c>
      <c r="F45" s="4" t="str">
        <f>IFERROR(__xludf.DUMMYFUNCTION("""COMPUTED_VALUE"""),"VHNT2026-044.png")</f>
        <v>VHNT2026-044.png</v>
      </c>
    </row>
    <row r="46">
      <c r="A46" s="4" t="str">
        <f>IFERROR(__xludf.DUMMYFUNCTION("""COMPUTED_VALUE"""),"VHNT2026-045")</f>
        <v>VHNT2026-045</v>
      </c>
      <c r="B46" s="4" t="str">
        <f>IFERROR(__xludf.DUMMYFUNCTION("""COMPUTED_VALUE"""),"Văn hóa - Nghệ thuật")</f>
        <v>Văn hóa - Nghệ thuật</v>
      </c>
      <c r="C46" s="4" t="str">
        <f>IFERROR(__xludf.DUMMYFUNCTION("""COMPUTED_VALUE"""),"Ảnh hưởng của văn hóa pháp lý Pháp đối với pháp luật dân sự Việt Nam (1858 – 1945): Nghiên cứu trường hợp Bộ Dân luật Bắc Kỳ năm 1931")</f>
        <v>Ảnh hưởng của văn hóa pháp lý Pháp đối với pháp luật dân sự Việt Nam (1858 – 1945): Nghiên cứu trường hợp Bộ Dân luật Bắc Kỳ năm 1931</v>
      </c>
      <c r="D46" s="4" t="str">
        <f>IFERROR(__xludf.DUMMYFUNCTION("""COMPUTED_VALUE"""),"Trần Thiên Khánh")</f>
        <v>Trần Thiên Khánh</v>
      </c>
      <c r="E46" s="4" t="str">
        <f>IFERROR(__xludf.DUMMYFUNCTION("""COMPUTED_VALUE"""),"Trường Đại học Sư phạm Hà Nội")</f>
        <v>Trường Đại học Sư phạm Hà Nội</v>
      </c>
      <c r="F46" s="4" t="str">
        <f>IFERROR(__xludf.DUMMYFUNCTION("""COMPUTED_VALUE"""),"VHNT2026-045.png")</f>
        <v>VHNT2026-045.png</v>
      </c>
    </row>
    <row r="47">
      <c r="A47" s="4" t="str">
        <f>IFERROR(__xludf.DUMMYFUNCTION("""COMPUTED_VALUE"""),"VHNT2026-046")</f>
        <v>VHNT2026-046</v>
      </c>
      <c r="B47" s="4" t="str">
        <f>IFERROR(__xludf.DUMMYFUNCTION("""COMPUTED_VALUE"""),"Văn hóa - Nghệ thuật")</f>
        <v>Văn hóa - Nghệ thuật</v>
      </c>
      <c r="C47" s="4" t="str">
        <f>IFERROR(__xludf.DUMMYFUNCTION("""COMPUTED_VALUE"""),"Hai chính sách đối vận trong cuộc chiến tranh ở miền Nam Việt Nam giai đoạn 1961 – 1968")</f>
        <v>Hai chính sách đối vận trong cuộc chiến tranh ở miền Nam Việt Nam giai đoạn 1961 – 1968</v>
      </c>
      <c r="D47" s="4" t="str">
        <f>IFERROR(__xludf.DUMMYFUNCTION("""COMPUTED_VALUE"""),"Bùi Bạch Kim")</f>
        <v>Bùi Bạch Kim</v>
      </c>
      <c r="E47" s="4" t="str">
        <f>IFERROR(__xludf.DUMMYFUNCTION("""COMPUTED_VALUE"""),"Trường Đại học Sư phạm Hà Nội")</f>
        <v>Trường Đại học Sư phạm Hà Nội</v>
      </c>
      <c r="F47" s="4" t="str">
        <f>IFERROR(__xludf.DUMMYFUNCTION("""COMPUTED_VALUE"""),"VHNT2026-046.png")</f>
        <v>VHNT2026-046.png</v>
      </c>
    </row>
    <row r="48">
      <c r="A48" s="4" t="str">
        <f>IFERROR(__xludf.DUMMYFUNCTION("""COMPUTED_VALUE"""),"VHNT2026-047")</f>
        <v>VHNT2026-047</v>
      </c>
      <c r="B48" s="4" t="str">
        <f>IFERROR(__xludf.DUMMYFUNCTION("""COMPUTED_VALUE"""),"Văn hóa - Nghệ thuật")</f>
        <v>Văn hóa - Nghệ thuật</v>
      </c>
      <c r="C48" s="4" t="str">
        <f>IFERROR(__xludf.DUMMYFUNCTION("""COMPUTED_VALUE"""),"Địa danh trên đường thiên lý qua vùng đất quảng nam từ thế kỷ xvi đến thế kỷ XIX.")</f>
        <v>Địa danh trên đường thiên lý qua vùng đất quảng nam từ thế kỷ xvi đến thế kỷ XIX.</v>
      </c>
      <c r="D48" s="4" t="str">
        <f>IFERROR(__xludf.DUMMYFUNCTION("""COMPUTED_VALUE"""),"Nguyễn Thị Thảo Nguyên; Lý Diệu Thương; Châu Thị Huỳnh Trân; Chu Thị Khánh Huyền")</f>
        <v>Nguyễn Thị Thảo Nguyên; Lý Diệu Thương; Châu Thị Huỳnh Trân; Chu Thị Khánh Huyền</v>
      </c>
      <c r="E48" s="4" t="str">
        <f>IFERROR(__xludf.DUMMYFUNCTION("""COMPUTED_VALUE"""),"Trường Đại học Sư phạm, Đại học Đà Nẵng")</f>
        <v>Trường Đại học Sư phạm, Đại học Đà Nẵng</v>
      </c>
      <c r="F48" s="4" t="str">
        <f>IFERROR(__xludf.DUMMYFUNCTION("""COMPUTED_VALUE"""),"VHNT2026-047.png")</f>
        <v>VHNT2026-047.png</v>
      </c>
    </row>
    <row r="49">
      <c r="A49" s="4" t="str">
        <f>IFERROR(__xludf.DUMMYFUNCTION("""COMPUTED_VALUE"""),"VHNT2026-048")</f>
        <v>VHNT2026-048</v>
      </c>
      <c r="B49" s="4" t="str">
        <f>IFERROR(__xludf.DUMMYFUNCTION("""COMPUTED_VALUE"""),"Văn hóa - Nghệ thuật")</f>
        <v>Văn hóa - Nghệ thuật</v>
      </c>
      <c r="C49" s="4" t="str">
        <f>IFERROR(__xludf.DUMMYFUNCTION("""COMPUTED_VALUE"""),"BẢN SẮC VĂN HÓA VÙNG ĐÔNG NAM BỘ - NGHIÊN CỨU TRƯỜNG HỢP THÀNH PHỐ HỒ CHÍ MINH SAU SÁP NHẬP")</f>
        <v>BẢN SẮC VĂN HÓA VÙNG ĐÔNG NAM BỘ - NGHIÊN CỨU TRƯỜNG HỢP THÀNH PHỐ HỒ CHÍ MINH SAU SÁP NHẬP</v>
      </c>
      <c r="D49" s="4" t="str">
        <f>IFERROR(__xludf.DUMMYFUNCTION("""COMPUTED_VALUE"""),"Phạm Ngọc Bảo Anh; Trần Minh Nhựt")</f>
        <v>Phạm Ngọc Bảo Anh; Trần Minh Nhựt</v>
      </c>
      <c r="E49" s="4" t="str">
        <f>IFERROR(__xludf.DUMMYFUNCTION("""COMPUTED_VALUE"""),"Trường Đại học Sài Gòn")</f>
        <v>Trường Đại học Sài Gòn</v>
      </c>
      <c r="F49" s="4" t="str">
        <f>IFERROR(__xludf.DUMMYFUNCTION("""COMPUTED_VALUE"""),"VHNT2026-048.png")</f>
        <v>VHNT2026-048.png</v>
      </c>
    </row>
    <row r="50">
      <c r="A50" s="4" t="str">
        <f>IFERROR(__xludf.DUMMYFUNCTION("""COMPUTED_VALUE"""),"VHNT2026-049")</f>
        <v>VHNT2026-049</v>
      </c>
      <c r="B50" s="4" t="str">
        <f>IFERROR(__xludf.DUMMYFUNCTION("""COMPUTED_VALUE"""),"Văn hóa - Nghệ thuật")</f>
        <v>Văn hóa - Nghệ thuật</v>
      </c>
      <c r="C50" s="4" t="str">
        <f>IFERROR(__xludf.DUMMYFUNCTION("""COMPUTED_VALUE"""),"QUÁ TRÌNH TIẾP THU, PHÁT HUY, BẢO TỒN CÁC GIÁ TRỊ ÂM NHẠC CỔ TRUYỀN NAM BỘ TRONG NHẠC LỄ ĐẠO CAO ĐÀI.")</f>
        <v>QUÁ TRÌNH TIẾP THU, PHÁT HUY, BẢO TỒN CÁC GIÁ TRỊ ÂM NHẠC CỔ TRUYỀN NAM BỘ TRONG NHẠC LỄ ĐẠO CAO ĐÀI.</v>
      </c>
      <c r="D50" s="4" t="str">
        <f>IFERROR(__xludf.DUMMYFUNCTION("""COMPUTED_VALUE"""),"Nguyễn Tài Lộc; Trần Ngọc Thắm")</f>
        <v>Nguyễn Tài Lộc; Trần Ngọc Thắm</v>
      </c>
      <c r="E50" s="4" t="str">
        <f>IFERROR(__xludf.DUMMYFUNCTION("""COMPUTED_VALUE"""),"Trường Đại học Sài Gòn")</f>
        <v>Trường Đại học Sài Gòn</v>
      </c>
      <c r="F50" s="4" t="str">
        <f>IFERROR(__xludf.DUMMYFUNCTION("""COMPUTED_VALUE"""),"VHNT2026-049.png")</f>
        <v>VHNT2026-049.png</v>
      </c>
    </row>
    <row r="51">
      <c r="A51" s="4" t="str">
        <f>IFERROR(__xludf.DUMMYFUNCTION("""COMPUTED_VALUE"""),"VHNT2026-050")</f>
        <v>VHNT2026-050</v>
      </c>
      <c r="B51" s="4" t="str">
        <f>IFERROR(__xludf.DUMMYFUNCTION("""COMPUTED_VALUE"""),"Văn hóa - Nghệ thuật")</f>
        <v>Văn hóa - Nghệ thuật</v>
      </c>
      <c r="C51" s="4" t="str">
        <f>IFERROR(__xludf.DUMMYFUNCTION("""COMPUTED_VALUE"""),"MINH SƯ ĐẠO TRONG ĐỜI SỐNG CƯ DÂN NAM BỘ (NGHIÊN CỨU TRƯỜNG HỢP QUANG NAM PHẬT ĐƯỜNG, NAM NHÃ PHẬT ĐƯỜNG VÀ QUẢNG TẾ PHẬT ĐƯỜNG)")</f>
        <v>MINH SƯ ĐẠO TRONG ĐỜI SỐNG CƯ DÂN NAM BỘ (NGHIÊN CỨU TRƯỜNG HỢP QUANG NAM PHẬT ĐƯỜNG, NAM NHÃ PHẬT ĐƯỜNG VÀ QUẢNG TẾ PHẬT ĐƯỜNG)</v>
      </c>
      <c r="D51" s="4" t="str">
        <f>IFERROR(__xludf.DUMMYFUNCTION("""COMPUTED_VALUE"""),"Đào Xuân Thanh; Huỳnh Nguyễn Tường Vy; Trương Đình Thái")</f>
        <v>Đào Xuân Thanh; Huỳnh Nguyễn Tường Vy; Trương Đình Thái</v>
      </c>
      <c r="E51" s="4" t="str">
        <f>IFERROR(__xludf.DUMMYFUNCTION("""COMPUTED_VALUE"""),"Trường Đại học Sài Gòn")</f>
        <v>Trường Đại học Sài Gòn</v>
      </c>
      <c r="F51" s="4" t="str">
        <f>IFERROR(__xludf.DUMMYFUNCTION("""COMPUTED_VALUE"""),"VHNT2026-050.png")</f>
        <v>VHNT2026-050.png</v>
      </c>
    </row>
    <row r="52">
      <c r="A52" s="4" t="str">
        <f>IFERROR(__xludf.DUMMYFUNCTION("""COMPUTED_VALUE"""),"VHNT2026-051")</f>
        <v>VHNT2026-051</v>
      </c>
      <c r="B52" s="4" t="str">
        <f>IFERROR(__xludf.DUMMYFUNCTION("""COMPUTED_VALUE"""),"Văn hóa - Nghệ thuật")</f>
        <v>Văn hóa - Nghệ thuật</v>
      </c>
      <c r="C52" s="4" t="str">
        <f>IFERROR(__xludf.DUMMYFUNCTION("""COMPUTED_VALUE"""),"Giá trị văn hóa của ca từ dân ca Việt Nam và ứng dụng trong biểu diễn thanh nhạc: Nghiên cứu trường hợp sinh viên ngành thanh nhạc tại một trường Đại học trên địa bàn Thành phố Hồ Chí Minh")</f>
        <v>Giá trị văn hóa của ca từ dân ca Việt Nam và ứng dụng trong biểu diễn thanh nhạc: Nghiên cứu trường hợp sinh viên ngành thanh nhạc tại một trường Đại học trên địa bàn Thành phố Hồ Chí Minh</v>
      </c>
      <c r="D52" s="4" t="str">
        <f>IFERROR(__xludf.DUMMYFUNCTION("""COMPUTED_VALUE"""),"Vũ Ngọc Tú; Nguyễn Thị Khánh Ân; Nguyễn Trung Kiên; Hà Công Nhật; Nguyễn Anh Quân")</f>
        <v>Vũ Ngọc Tú; Nguyễn Thị Khánh Ân; Nguyễn Trung Kiên; Hà Công Nhật; Nguyễn Anh Quân</v>
      </c>
      <c r="E52" s="4" t="str">
        <f>IFERROR(__xludf.DUMMYFUNCTION("""COMPUTED_VALUE"""),"Trường Đại học Công nghệ TP. Hồ Chí Minh")</f>
        <v>Trường Đại học Công nghệ TP. Hồ Chí Minh</v>
      </c>
      <c r="F52" s="4" t="str">
        <f>IFERROR(__xludf.DUMMYFUNCTION("""COMPUTED_VALUE"""),"VHNT2026-051.png")</f>
        <v>VHNT2026-051.png</v>
      </c>
    </row>
    <row r="53">
      <c r="A53" s="4" t="str">
        <f>IFERROR(__xludf.DUMMYFUNCTION("""COMPUTED_VALUE"""),"VHNT2026-052")</f>
        <v>VHNT2026-052</v>
      </c>
      <c r="B53" s="4" t="str">
        <f>IFERROR(__xludf.DUMMYFUNCTION("""COMPUTED_VALUE"""),"Văn hóa - Nghệ thuật")</f>
        <v>Văn hóa - Nghệ thuật</v>
      </c>
      <c r="C53" s="4" t="str">
        <f>IFERROR(__xludf.DUMMYFUNCTION("""COMPUTED_VALUE"""),"MÔ HÌNH VĂN NHÂN HỌA TRONG MẠCH NGẦM DI SẢN: SỰ TIẾP NHẬN VÀ BIẾN ĐỔI MỸ HỌC NHO GIÁO TRONG NGHỆ THUẬT TẠO HÌNH VIỆT NAM TỪ THẾ KỶ XV ĐẾN NAY")</f>
        <v>MÔ HÌNH VĂN NHÂN HỌA TRONG MẠCH NGẦM DI SẢN: SỰ TIẾP NHẬN VÀ BIẾN ĐỔI MỸ HỌC NHO GIÁO TRONG NGHỆ THUẬT TẠO HÌNH VIỆT NAM TỪ THẾ KỶ XV ĐẾN NAY</v>
      </c>
      <c r="D53" s="4" t="str">
        <f>IFERROR(__xludf.DUMMYFUNCTION("""COMPUTED_VALUE"""),"Nguyễn Hà Huyền Trân; Hồ Việt Lê; Lê Huỳnh Ái; Nguyễn Thùy Mỵ")</f>
        <v>Nguyễn Hà Huyền Trân; Hồ Việt Lê; Lê Huỳnh Ái; Nguyễn Thùy Mỵ</v>
      </c>
      <c r="E53" s="4" t="str">
        <f>IFERROR(__xludf.DUMMYFUNCTION("""COMPUTED_VALUE"""),"Phân hiệu Trường Đại học Bình Dương tại Cà Mau")</f>
        <v>Phân hiệu Trường Đại học Bình Dương tại Cà Mau</v>
      </c>
      <c r="F53" s="4" t="str">
        <f>IFERROR(__xludf.DUMMYFUNCTION("""COMPUTED_VALUE"""),"VHNT2026-052.png")</f>
        <v>VHNT2026-052.png</v>
      </c>
    </row>
    <row r="54">
      <c r="A54" s="4" t="str">
        <f>IFERROR(__xludf.DUMMYFUNCTION("""COMPUTED_VALUE"""),"VHNT2026-053")</f>
        <v>VHNT2026-053</v>
      </c>
      <c r="B54" s="4" t="str">
        <f>IFERROR(__xludf.DUMMYFUNCTION("""COMPUTED_VALUE"""),"Văn hóa - Nghệ thuật")</f>
        <v>Văn hóa - Nghệ thuật</v>
      </c>
      <c r="C54" s="4" t="str">
        <f>IFERROR(__xludf.DUMMYFUNCTION("""COMPUTED_VALUE"""),"Căn tính và chấn thương: Tự sự động vật trong Gāv (1969) của Dariush Mehrjui và Cu Li không bao giờ khóc (2024) của Phạm Ngọc Lân")</f>
        <v>Căn tính và chấn thương: Tự sự động vật trong Gāv (1969) của Dariush Mehrjui và Cu Li không bao giờ khóc (2024) của Phạm Ngọc Lân</v>
      </c>
      <c r="D54" s="4" t="str">
        <f>IFERROR(__xludf.DUMMYFUNCTION("""COMPUTED_VALUE"""),"Kiều Minh Hùng; Phan La Phương Uyên")</f>
        <v>Kiều Minh Hùng; Phan La Phương Uyên</v>
      </c>
      <c r="E54" s="4" t="str">
        <f>IFERROR(__xludf.DUMMYFUNCTION("""COMPUTED_VALUE"""),"Trường Đại học Khoa học xã hội và Nhân văn, ĐHQG-HCM")</f>
        <v>Trường Đại học Khoa học xã hội và Nhân văn, ĐHQG-HCM</v>
      </c>
      <c r="F54" s="4" t="str">
        <f>IFERROR(__xludf.DUMMYFUNCTION("""COMPUTED_VALUE"""),"VHNT2026-053.png")</f>
        <v>VHNT2026-053.png</v>
      </c>
    </row>
    <row r="55">
      <c r="A55" s="4" t="str">
        <f>IFERROR(__xludf.DUMMYFUNCTION("""COMPUTED_VALUE"""),"VHNT2026-054")</f>
        <v>VHNT2026-054</v>
      </c>
      <c r="B55" s="4" t="str">
        <f>IFERROR(__xludf.DUMMYFUNCTION("""COMPUTED_VALUE"""),"Văn hóa - Nghệ thuật")</f>
        <v>Văn hóa - Nghệ thuật</v>
      </c>
      <c r="C55" s="4" t="str">
        <f>IFERROR(__xludf.DUMMYFUNCTION("""COMPUTED_VALUE"""),"Sân khấu thể nghiệm tại Thành phố Hồ Chí Minh giai đoạn hậu COVID-19")</f>
        <v>Sân khấu thể nghiệm tại Thành phố Hồ Chí Minh giai đoạn hậu COVID-19</v>
      </c>
      <c r="D55" s="4" t="str">
        <f>IFERROR(__xludf.DUMMYFUNCTION("""COMPUTED_VALUE"""),"Nguyễn Hồ Thảo Uyên; Đỗ Thị Như Quỳnh; Phan Lê Hoàng Quyên")</f>
        <v>Nguyễn Hồ Thảo Uyên; Đỗ Thị Như Quỳnh; Phan Lê Hoàng Quyên</v>
      </c>
      <c r="E55" s="4" t="str">
        <f>IFERROR(__xludf.DUMMYFUNCTION("""COMPUTED_VALUE"""),"Trường Đại học Khoa học xã hội và Nhân văn, ĐHQG-HCM")</f>
        <v>Trường Đại học Khoa học xã hội và Nhân văn, ĐHQG-HCM</v>
      </c>
      <c r="F55" s="4" t="str">
        <f>IFERROR(__xludf.DUMMYFUNCTION("""COMPUTED_VALUE"""),"VHNT2026-054.png")</f>
        <v>VHNT2026-054.png</v>
      </c>
    </row>
    <row r="56">
      <c r="A56" s="4" t="str">
        <f>IFERROR(__xludf.DUMMYFUNCTION("""COMPUTED_VALUE"""),"VHNT2026-055")</f>
        <v>VHNT2026-055</v>
      </c>
      <c r="B56" s="4" t="str">
        <f>IFERROR(__xludf.DUMMYFUNCTION("""COMPUTED_VALUE"""),"Văn hóa - Nghệ thuật")</f>
        <v>Văn hóa - Nghệ thuật</v>
      </c>
      <c r="C56" s="4" t="str">
        <f>IFERROR(__xludf.DUMMYFUNCTION("""COMPUTED_VALUE"""),"TÁC ĐỘNG CỦA THIẾT KẾ ĐỒ HOẠ TRONG TRUYỀN THÔNG MÔI TRƯỜNG: NGHIÊN CỨU VỀ THAY ĐỔI VỚI BIẾN ĐỔI KHÍ HẬU VÀ THỰC HÀNH TIÊU DÙNG XANH")</f>
        <v>TÁC ĐỘNG CỦA THIẾT KẾ ĐỒ HOẠ TRONG TRUYỀN THÔNG MÔI TRƯỜNG: NGHIÊN CỨU VỀ THAY ĐỔI VỚI BIẾN ĐỔI KHÍ HẬU VÀ THỰC HÀNH TIÊU DÙNG XANH</v>
      </c>
      <c r="D56" s="4" t="str">
        <f>IFERROR(__xludf.DUMMYFUNCTION("""COMPUTED_VALUE"""),"Phạm Phúc Xuân; Nguyễn Đức Tiến; Nguyễn Tuấn Kiệt")</f>
        <v>Phạm Phúc Xuân; Nguyễn Đức Tiến; Nguyễn Tuấn Kiệt</v>
      </c>
      <c r="E56" s="4" t="str">
        <f>IFERROR(__xludf.DUMMYFUNCTION("""COMPUTED_VALUE"""),"Trường Đại học Hoa Sen")</f>
        <v>Trường Đại học Hoa Sen</v>
      </c>
      <c r="F56" s="4" t="str">
        <f>IFERROR(__xludf.DUMMYFUNCTION("""COMPUTED_VALUE"""),"VHNT2026-055.png")</f>
        <v>VHNT2026-055.png</v>
      </c>
    </row>
    <row r="57">
      <c r="A57" s="4" t="str">
        <f>IFERROR(__xludf.DUMMYFUNCTION("""COMPUTED_VALUE"""),"VHNT2026-056")</f>
        <v>VHNT2026-056</v>
      </c>
      <c r="B57" s="4" t="str">
        <f>IFERROR(__xludf.DUMMYFUNCTION("""COMPUTED_VALUE"""),"Văn hóa - Nghệ thuật")</f>
        <v>Văn hóa - Nghệ thuật</v>
      </c>
      <c r="C57" s="4" t="str">
        <f>IFERROR(__xludf.DUMMYFUNCTION("""COMPUTED_VALUE"""),"NGHIÊN CỨU HOA VĂN KHMER NAM BỘ TRÊN GHE NGO – THIẾT KẾ BỘ HOA VĂN ĐA NĂNG, ỨNG DỤNG THÍ ĐIỂM THIẾT KẾ VISUAL LED TRONG LỄ HỘI OK OM BOK")</f>
        <v>NGHIÊN CỨU HOA VĂN KHMER NAM BỘ TRÊN GHE NGO – THIẾT KẾ BỘ HOA VĂN ĐA NĂNG, ỨNG DỤNG THÍ ĐIỂM THIẾT KẾ VISUAL LED TRONG LỄ HỘI OK OM BOK</v>
      </c>
      <c r="D57" s="4" t="str">
        <f>IFERROR(__xludf.DUMMYFUNCTION("""COMPUTED_VALUE"""),"Trần Thu Hường; Lê Thị Hà Xuyên; Lê Công Khanh")</f>
        <v>Trần Thu Hường; Lê Thị Hà Xuyên; Lê Công Khanh</v>
      </c>
      <c r="E57" s="4" t="str">
        <f>IFERROR(__xludf.DUMMYFUNCTION("""COMPUTED_VALUE"""),"Trường Đại học Tôn Đức Thắng")</f>
        <v>Trường Đại học Tôn Đức Thắng</v>
      </c>
      <c r="F57" s="4" t="str">
        <f>IFERROR(__xludf.DUMMYFUNCTION("""COMPUTED_VALUE"""),"VHNT2026-056.png")</f>
        <v>VHNT2026-056.png</v>
      </c>
    </row>
    <row r="58">
      <c r="A58" s="4" t="str">
        <f>IFERROR(__xludf.DUMMYFUNCTION("""COMPUTED_VALUE"""),"VHNT2026-057")</f>
        <v>VHNT2026-057</v>
      </c>
      <c r="B58" s="4" t="str">
        <f>IFERROR(__xludf.DUMMYFUNCTION("""COMPUTED_VALUE"""),"Văn hóa - Nghệ thuật")</f>
        <v>Văn hóa - Nghệ thuật</v>
      </c>
      <c r="C58" s="4" t="str">
        <f>IFERROR(__xludf.DUMMYFUNCTION("""COMPUTED_VALUE"""),"NGHIÊN CỨU VÀ ỨNG DỤNG CÔNG NGHỆ THỰC TẾ TĂNG CƯỜNG (AR) TRONG TRẢI NGHIỆM LỊCH SỬ ĐÔ THỊ THÀNH PHỐ HỒ CHÍ MINH.")</f>
        <v>NGHIÊN CỨU VÀ ỨNG DỤNG CÔNG NGHỆ THỰC TẾ TĂNG CƯỜNG (AR) TRONG TRẢI NGHIỆM LỊCH SỬ ĐÔ THỊ THÀNH PHỐ HỒ CHÍ MINH.</v>
      </c>
      <c r="D58" s="4" t="str">
        <f>IFERROR(__xludf.DUMMYFUNCTION("""COMPUTED_VALUE"""),"Nguyễn Ngọc Bảo Châu; Trịnh Thị Trúc Ly; Trần Tống Trúc Vân")</f>
        <v>Nguyễn Ngọc Bảo Châu; Trịnh Thị Trúc Ly; Trần Tống Trúc Vân</v>
      </c>
      <c r="E58" s="4" t="str">
        <f>IFERROR(__xludf.DUMMYFUNCTION("""COMPUTED_VALUE"""),"Trường Đại học Tôn Đức Thắng")</f>
        <v>Trường Đại học Tôn Đức Thắng</v>
      </c>
      <c r="F58" s="4" t="str">
        <f>IFERROR(__xludf.DUMMYFUNCTION("""COMPUTED_VALUE"""),"VHNT2026-057.png")</f>
        <v>VHNT2026-057.png</v>
      </c>
    </row>
    <row r="59">
      <c r="A59" s="4" t="str">
        <f>IFERROR(__xludf.DUMMYFUNCTION("""COMPUTED_VALUE"""),"VHNT2026-058")</f>
        <v>VHNT2026-058</v>
      </c>
      <c r="B59" s="4" t="str">
        <f>IFERROR(__xludf.DUMMYFUNCTION("""COMPUTED_VALUE"""),"Văn hóa - Nghệ thuật")</f>
        <v>Văn hóa - Nghệ thuật</v>
      </c>
      <c r="C59" s="4" t="str">
        <f>IFERROR(__xludf.DUMMYFUNCTION("""COMPUTED_VALUE"""),"Ứng dụng tạo hình rối nước trong thiết kế bộ nhận diện sự kiện văn hóa dân gian Việt Nam")</f>
        <v>Ứng dụng tạo hình rối nước trong thiết kế bộ nhận diện sự kiện văn hóa dân gian Việt Nam</v>
      </c>
      <c r="D59" s="4" t="str">
        <f>IFERROR(__xludf.DUMMYFUNCTION("""COMPUTED_VALUE"""),"Lã Thị Hồng Lương; Cáp Thị Minh Nguyệt; Phan Thị Minh")</f>
        <v>Lã Thị Hồng Lương; Cáp Thị Minh Nguyệt; Phan Thị Minh</v>
      </c>
      <c r="E59" s="4" t="str">
        <f>IFERROR(__xludf.DUMMYFUNCTION("""COMPUTED_VALUE"""),"Trường Đại học Mở Hà Nội")</f>
        <v>Trường Đại học Mở Hà Nội</v>
      </c>
      <c r="F59" s="4" t="str">
        <f>IFERROR(__xludf.DUMMYFUNCTION("""COMPUTED_VALUE"""),"VHNT2026-058.png")</f>
        <v>VHNT2026-058.png</v>
      </c>
    </row>
    <row r="60">
      <c r="A60" s="4" t="str">
        <f>IFERROR(__xludf.DUMMYFUNCTION("""COMPUTED_VALUE"""),"VHNT2026-059")</f>
        <v>VHNT2026-059</v>
      </c>
      <c r="B60" s="4" t="str">
        <f>IFERROR(__xludf.DUMMYFUNCTION("""COMPUTED_VALUE"""),"Văn hóa - Nghệ thuật")</f>
        <v>Văn hóa - Nghệ thuật</v>
      </c>
      <c r="C60" s="4" t="str">
        <f>IFERROR(__xludf.DUMMYFUNCTION("""COMPUTED_VALUE"""),"Tăng cường hiệu quả truyền thông cho lễ hội truyền thống văn hóa Việt Nam thông qua công nghệ thực tế ảo tăng cường.")</f>
        <v>Tăng cường hiệu quả truyền thông cho lễ hội truyền thống văn hóa Việt Nam thông qua công nghệ thực tế ảo tăng cường.</v>
      </c>
      <c r="D60" s="4" t="str">
        <f>IFERROR(__xludf.DUMMYFUNCTION("""COMPUTED_VALUE"""),"Nguyễn Thị Mến; Lê Thanh Minh; Phạm Quỳnh Anh")</f>
        <v>Nguyễn Thị Mến; Lê Thanh Minh; Phạm Quỳnh Anh</v>
      </c>
      <c r="E60" s="4" t="str">
        <f>IFERROR(__xludf.DUMMYFUNCTION("""COMPUTED_VALUE"""),"Trường Đại học Mở Hà Nội")</f>
        <v>Trường Đại học Mở Hà Nội</v>
      </c>
      <c r="F60" s="4" t="str">
        <f>IFERROR(__xludf.DUMMYFUNCTION("""COMPUTED_VALUE"""),"VHNT2026-059.png")</f>
        <v>VHNT2026-059.png</v>
      </c>
    </row>
    <row r="61">
      <c r="A61" s="4" t="str">
        <f>IFERROR(__xludf.DUMMYFUNCTION("""COMPUTED_VALUE"""),"VHNT2026-060")</f>
        <v>VHNT2026-060</v>
      </c>
      <c r="B61" s="4" t="str">
        <f>IFERROR(__xludf.DUMMYFUNCTION("""COMPUTED_VALUE"""),"Văn hóa - Nghệ thuật")</f>
        <v>Văn hóa - Nghệ thuật</v>
      </c>
      <c r="C61" s="4" t="str">
        <f>IFERROR(__xludf.DUMMYFUNCTION("""COMPUTED_VALUE"""),"Xây dựng hệ thống nhận diện thương hiệu cho sản phẩm xà bông của Hợp tác xã Nậm Nghẹp")</f>
        <v>Xây dựng hệ thống nhận diện thương hiệu cho sản phẩm xà bông của Hợp tác xã Nậm Nghẹp</v>
      </c>
      <c r="D61" s="4" t="str">
        <f>IFERROR(__xludf.DUMMYFUNCTION("""COMPUTED_VALUE"""),"Nguyễn Thị Hồng Ánh; Nguyễn Từ Quỳnh Anh; Nguyễn Từ Mai Anh; Nguyễn Thị Minh Châu; Nguyễn Trúc Hân Du")</f>
        <v>Nguyễn Thị Hồng Ánh; Nguyễn Từ Quỳnh Anh; Nguyễn Từ Mai Anh; Nguyễn Thị Minh Châu; Nguyễn Trúc Hân Du</v>
      </c>
      <c r="E61" s="4" t="str">
        <f>IFERROR(__xludf.DUMMYFUNCTION("""COMPUTED_VALUE"""),"Trường Khoa học liên ngành và Nghệ thuật, ĐHQG Hà Nội")</f>
        <v>Trường Khoa học liên ngành và Nghệ thuật, ĐHQG Hà Nội</v>
      </c>
      <c r="F61" s="4" t="str">
        <f>IFERROR(__xludf.DUMMYFUNCTION("""COMPUTED_VALUE"""),"VHNT2026-060.png")</f>
        <v>VHNT2026-060.png</v>
      </c>
    </row>
    <row r="62">
      <c r="A62" s="4" t="str">
        <f>IFERROR(__xludf.DUMMYFUNCTION("""COMPUTED_VALUE"""),"VHNT2026-061")</f>
        <v>VHNT2026-061</v>
      </c>
      <c r="B62" s="4" t="str">
        <f>IFERROR(__xludf.DUMMYFUNCTION("""COMPUTED_VALUE"""),"Văn hóa - Nghệ thuật")</f>
        <v>Văn hóa - Nghệ thuật</v>
      </c>
      <c r="C62" s="4" t="str">
        <f>IFERROR(__xludf.DUMMYFUNCTION("""COMPUTED_VALUE"""),"Thiết kế cảnh quan văn hóa Tết cổ truyền phục vụ cộng đồng tại khu dân cư trên địa bàn Thành phố Hồ Chí Minh.")</f>
        <v>Thiết kế cảnh quan văn hóa Tết cổ truyền phục vụ cộng đồng tại khu dân cư trên địa bàn Thành phố Hồ Chí Minh.</v>
      </c>
      <c r="D62" s="4" t="str">
        <f>IFERROR(__xludf.DUMMYFUNCTION("""COMPUTED_VALUE"""),"Nguyễn Ngọc Bảo Trân; Huỳnh Gia Thịnh; Đặng Văn Tiến Đạt; Phan Lê Tuấn Kiệt")</f>
        <v>Nguyễn Ngọc Bảo Trân; Huỳnh Gia Thịnh; Đặng Văn Tiến Đạt; Phan Lê Tuấn Kiệt</v>
      </c>
      <c r="E62" s="4" t="str">
        <f>IFERROR(__xludf.DUMMYFUNCTION("""COMPUTED_VALUE"""),"Trường Đại học Văn Lang")</f>
        <v>Trường Đại học Văn Lang</v>
      </c>
      <c r="F62" s="4" t="str">
        <f>IFERROR(__xludf.DUMMYFUNCTION("""COMPUTED_VALUE"""),"VHNT2026-061.png")</f>
        <v>VHNT2026-061.png</v>
      </c>
    </row>
    <row r="63">
      <c r="A63" s="4" t="str">
        <f>IFERROR(__xludf.DUMMYFUNCTION("""COMPUTED_VALUE"""),"VHNT2026-062")</f>
        <v>VHNT2026-062</v>
      </c>
      <c r="B63" s="4" t="str">
        <f>IFERROR(__xludf.DUMMYFUNCTION("""COMPUTED_VALUE"""),"Văn hóa - Nghệ thuật")</f>
        <v>Văn hóa - Nghệ thuật</v>
      </c>
      <c r="C63" s="4" t="str">
        <f>IFERROR(__xludf.DUMMYFUNCTION("""COMPUTED_VALUE"""),"Nghiên cứu biểu tượng Nghê trong mỹ thuật truyền thống Việt Nam kết hợp công nghệ AR ứng dụng vào thiết kế linh vật cho Giải Võ Cổ Truyền Quốc Gia")</f>
        <v>Nghiên cứu biểu tượng Nghê trong mỹ thuật truyền thống Việt Nam kết hợp công nghệ AR ứng dụng vào thiết kế linh vật cho Giải Võ Cổ Truyền Quốc Gia</v>
      </c>
      <c r="D63" s="4" t="str">
        <f>IFERROR(__xludf.DUMMYFUNCTION("""COMPUTED_VALUE"""),"Đỗ Ngân Thương; Nguyễn Thị Thanh Bình; Lê Yến Nhi; Hà Duy Khánh")</f>
        <v>Đỗ Ngân Thương; Nguyễn Thị Thanh Bình; Lê Yến Nhi; Hà Duy Khánh</v>
      </c>
      <c r="E63" s="4" t="str">
        <f>IFERROR(__xludf.DUMMYFUNCTION("""COMPUTED_VALUE"""),"Trường Đại học Kiến trúc Hà Nội")</f>
        <v>Trường Đại học Kiến trúc Hà Nội</v>
      </c>
      <c r="F63" s="4" t="str">
        <f>IFERROR(__xludf.DUMMYFUNCTION("""COMPUTED_VALUE"""),"VHNT2026-062.png")</f>
        <v>VHNT2026-062.png</v>
      </c>
    </row>
    <row r="64">
      <c r="A64" s="4" t="str">
        <f>IFERROR(__xludf.DUMMYFUNCTION("""COMPUTED_VALUE"""),"VHNT2026-063")</f>
        <v>VHNT2026-063</v>
      </c>
      <c r="B64" s="4" t="str">
        <f>IFERROR(__xludf.DUMMYFUNCTION("""COMPUTED_VALUE"""),"Văn hóa - Nghệ thuật")</f>
        <v>Văn hóa - Nghệ thuật</v>
      </c>
      <c r="C64" s="4" t="str">
        <f>IFERROR(__xludf.DUMMYFUNCTION("""COMPUTED_VALUE"""),"NGHIÊN CỨU KHẢ NĂNG TẠO HIỆU ỨNG BỀ MẶT CỦA VẬT LIỆU TỪ PHỤ PHẨM VỎ DỨA, ỨNG DỤNG VÀO SẢN PHẨM NỘI THẤT NGHỆ THUẬT")</f>
        <v>NGHIÊN CỨU KHẢ NĂNG TẠO HIỆU ỨNG BỀ MẶT CỦA VẬT LIỆU TỪ PHỤ PHẨM VỎ DỨA, ỨNG DỤNG VÀO SẢN PHẨM NỘI THẤT NGHỆ THUẬT</v>
      </c>
      <c r="D64" s="4" t="str">
        <f>IFERROR(__xludf.DUMMYFUNCTION("""COMPUTED_VALUE"""),"Phạm Huyền Trinh; Trần Mai Kim Ngân")</f>
        <v>Phạm Huyền Trinh; Trần Mai Kim Ngân</v>
      </c>
      <c r="E64" s="4" t="str">
        <f>IFERROR(__xludf.DUMMYFUNCTION("""COMPUTED_VALUE"""),"Trường Đại học Tôn Đức Thắng")</f>
        <v>Trường Đại học Tôn Đức Thắng</v>
      </c>
      <c r="F64" s="4" t="str">
        <f>IFERROR(__xludf.DUMMYFUNCTION("""COMPUTED_VALUE"""),"VHNT2026-063.png")</f>
        <v>VHNT2026-063.png</v>
      </c>
    </row>
    <row r="65">
      <c r="A65" s="4" t="str">
        <f>IFERROR(__xludf.DUMMYFUNCTION("""COMPUTED_VALUE"""),"VHNT2026-064")</f>
        <v>VHNT2026-064</v>
      </c>
      <c r="B65" s="4" t="str">
        <f>IFERROR(__xludf.DUMMYFUNCTION("""COMPUTED_VALUE"""),"Văn hóa - Nghệ thuật")</f>
        <v>Văn hóa - Nghệ thuật</v>
      </c>
      <c r="C65" s="4" t="str">
        <f>IFERROR(__xludf.DUMMYFUNCTION("""COMPUTED_VALUE"""),"Tôn tạo mỹ thuật đặc định tại Thư viện Khoa học tổng hợp TP. HCM")</f>
        <v>Tôn tạo mỹ thuật đặc định tại Thư viện Khoa học tổng hợp TP. HCM</v>
      </c>
      <c r="D65" s="4" t="str">
        <f>IFERROR(__xludf.DUMMYFUNCTION("""COMPUTED_VALUE"""),"Uông Hoàng Đạt; Phạm Ngọc Xuân Hương; Nguyễn Phạm Thùy Ngân")</f>
        <v>Uông Hoàng Đạt; Phạm Ngọc Xuân Hương; Nguyễn Phạm Thùy Ngân</v>
      </c>
      <c r="E65" s="4" t="str">
        <f>IFERROR(__xludf.DUMMYFUNCTION("""COMPUTED_VALUE"""),"Trường Đại học Kiến trúc TP. Hồ Chí Minh")</f>
        <v>Trường Đại học Kiến trúc TP. Hồ Chí Minh</v>
      </c>
      <c r="F65" s="4" t="str">
        <f>IFERROR(__xludf.DUMMYFUNCTION("""COMPUTED_VALUE"""),"VHNT2026-064.png")</f>
        <v>VHNT2026-064.png</v>
      </c>
    </row>
    <row r="66">
      <c r="A66" s="4" t="str">
        <f>IFERROR(__xludf.DUMMYFUNCTION("""COMPUTED_VALUE"""),"VHNT2026-065")</f>
        <v>VHNT2026-065</v>
      </c>
      <c r="B66" s="4" t="str">
        <f>IFERROR(__xludf.DUMMYFUNCTION("""COMPUTED_VALUE"""),"Văn hóa - Nghệ thuật")</f>
        <v>Văn hóa - Nghệ thuật</v>
      </c>
      <c r="C66" s="4" t="str">
        <f>IFERROR(__xludf.DUMMYFUNCTION("""COMPUTED_VALUE"""),"Biểu tượng và “căn tính văn hóa” trong công trình hạ tầng ngầm: Phân tích ngôn ngữ thiết kế của các nhà ga metro tuyến số 1")</f>
        <v>Biểu tượng và “căn tính văn hóa” trong công trình hạ tầng ngầm: Phân tích ngôn ngữ thiết kế của các nhà ga metro tuyến số 1</v>
      </c>
      <c r="D66" s="4" t="str">
        <f>IFERROR(__xludf.DUMMYFUNCTION("""COMPUTED_VALUE"""),"Dương Đồng Hà Linh; Trương Khánh Linh; Nguyễn Thị Cẩm Thy; Vũ Trịnh Phương Anh")</f>
        <v>Dương Đồng Hà Linh; Trương Khánh Linh; Nguyễn Thị Cẩm Thy; Vũ Trịnh Phương Anh</v>
      </c>
      <c r="E66" s="4" t="str">
        <f>IFERROR(__xludf.DUMMYFUNCTION("""COMPUTED_VALUE"""),"Trường Đại học Văn Lang")</f>
        <v>Trường Đại học Văn Lang</v>
      </c>
      <c r="F66" s="4" t="str">
        <f>IFERROR(__xludf.DUMMYFUNCTION("""COMPUTED_VALUE"""),"VHNT2026-065.png")</f>
        <v>VHNT2026-065.png</v>
      </c>
    </row>
    <row r="67">
      <c r="A67" s="4" t="str">
        <f>IFERROR(__xludf.DUMMYFUNCTION("""COMPUTED_VALUE"""),"VHNT2026-066")</f>
        <v>VHNT2026-066</v>
      </c>
      <c r="B67" s="4" t="str">
        <f>IFERROR(__xludf.DUMMYFUNCTION("""COMPUTED_VALUE"""),"Văn hóa - Nghệ thuật")</f>
        <v>Văn hóa - Nghệ thuật</v>
      </c>
      <c r="C67" s="4" t="str">
        <f>IFERROR(__xludf.DUMMYFUNCTION("""COMPUTED_VALUE"""),"Tổ chức không gian kiến trúc Quảng trường Đông Kinh – Nghĩa Thục có ứng dụng công nghệ mới")</f>
        <v>Tổ chức không gian kiến trúc Quảng trường Đông Kinh – Nghĩa Thục có ứng dụng công nghệ mới</v>
      </c>
      <c r="D67" s="4" t="str">
        <f>IFERROR(__xludf.DUMMYFUNCTION("""COMPUTED_VALUE"""),"Ngô Bảo Trân; Trần Mạnh Đức; Phạm Khánh Giang; Lê Bá Tùng Lâm")</f>
        <v>Ngô Bảo Trân; Trần Mạnh Đức; Phạm Khánh Giang; Lê Bá Tùng Lâm</v>
      </c>
      <c r="E67" s="4" t="str">
        <f>IFERROR(__xludf.DUMMYFUNCTION("""COMPUTED_VALUE"""),"Trường Đại học Kiến trúc Hà Nội")</f>
        <v>Trường Đại học Kiến trúc Hà Nội</v>
      </c>
      <c r="F67" s="4" t="str">
        <f>IFERROR(__xludf.DUMMYFUNCTION("""COMPUTED_VALUE"""),"VHNT2026-066.png")</f>
        <v>VHNT2026-066.png</v>
      </c>
    </row>
    <row r="68">
      <c r="A68" s="4" t="str">
        <f>IFERROR(__xludf.DUMMYFUNCTION("""COMPUTED_VALUE"""),"VHNT2026-067")</f>
        <v>VHNT2026-067</v>
      </c>
      <c r="B68" s="4" t="str">
        <f>IFERROR(__xludf.DUMMYFUNCTION("""COMPUTED_VALUE"""),"Văn hóa - Nghệ thuật")</f>
        <v>Văn hóa - Nghệ thuật</v>
      </c>
      <c r="C68" s="4" t="str">
        <f>IFERROR(__xludf.DUMMYFUNCTION("""COMPUTED_VALUE"""),"Ứng dụng tái chế vải vụn trong thiết kế trang trí đồ đạc nội thất nhà ở")</f>
        <v>Ứng dụng tái chế vải vụn trong thiết kế trang trí đồ đạc nội thất nhà ở</v>
      </c>
      <c r="D68" s="4" t="str">
        <f>IFERROR(__xludf.DUMMYFUNCTION("""COMPUTED_VALUE"""),"Nguyễn Thị Uyên; Ngô Thị Thu Trang; Lý Thị Thủy Tiên; Võ Hoàng Ngọc Thu")</f>
        <v>Nguyễn Thị Uyên; Ngô Thị Thu Trang; Lý Thị Thủy Tiên; Võ Hoàng Ngọc Thu</v>
      </c>
      <c r="E68" s="4"/>
      <c r="F68" s="4" t="str">
        <f>IFERROR(__xludf.DUMMYFUNCTION("""COMPUTED_VALUE"""),"VHNT2026-067.png")</f>
        <v>VHNT2026-067.png</v>
      </c>
    </row>
    <row r="69">
      <c r="A69" s="4" t="str">
        <f>IFERROR(__xludf.DUMMYFUNCTION("""COMPUTED_VALUE"""),"VHNT2026-068")</f>
        <v>VHNT2026-068</v>
      </c>
      <c r="B69" s="4" t="str">
        <f>IFERROR(__xludf.DUMMYFUNCTION("""COMPUTED_VALUE"""),"Văn hóa - Nghệ thuật")</f>
        <v>Văn hóa - Nghệ thuật</v>
      </c>
      <c r="C69" s="4" t="str">
        <f>IFERROR(__xludf.DUMMYFUNCTION("""COMPUTED_VALUE"""),"Nghiên cứu ứng dụng vật liệu mây tre giang đan vào thiết kế tấm ốp trần.")</f>
        <v>Nghiên cứu ứng dụng vật liệu mây tre giang đan vào thiết kế tấm ốp trần.</v>
      </c>
      <c r="D69" s="4" t="str">
        <f>IFERROR(__xludf.DUMMYFUNCTION("""COMPUTED_VALUE"""),"Nguyễn Ngọc Trâm; Trần Lâm Tùng; Nguyễn Minh Ngọc")</f>
        <v>Nguyễn Ngọc Trâm; Trần Lâm Tùng; Nguyễn Minh Ngọc</v>
      </c>
      <c r="E69" s="4" t="str">
        <f>IFERROR(__xludf.DUMMYFUNCTION("""COMPUTED_VALUE"""),"Trường Đại học Kiến trúc Hà Nội")</f>
        <v>Trường Đại học Kiến trúc Hà Nội</v>
      </c>
      <c r="F69" s="4" t="str">
        <f>IFERROR(__xludf.DUMMYFUNCTION("""COMPUTED_VALUE"""),"VHNT2026-068.png")</f>
        <v>VHNT2026-068.png</v>
      </c>
    </row>
    <row r="70">
      <c r="A70" s="4" t="str">
        <f>IFERROR(__xludf.DUMMYFUNCTION("""COMPUTED_VALUE"""),"VHNT2026-069")</f>
        <v>VHNT2026-069</v>
      </c>
      <c r="B70" s="4" t="str">
        <f>IFERROR(__xludf.DUMMYFUNCTION("""COMPUTED_VALUE"""),"Văn hóa - Nghệ thuật")</f>
        <v>Văn hóa - Nghệ thuật</v>
      </c>
      <c r="C70" s="4" t="str">
        <f>IFERROR(__xludf.DUMMYFUNCTION("""COMPUTED_VALUE"""),"Nghiên cứu chuyển hóa kết cấu mộng truyền thống và ứng dụng trong thiết nội thất để sản xuất đồ rời hiện đại.")</f>
        <v>Nghiên cứu chuyển hóa kết cấu mộng truyền thống và ứng dụng trong thiết nội thất để sản xuất đồ rời hiện đại.</v>
      </c>
      <c r="D70" s="4" t="str">
        <f>IFERROR(__xludf.DUMMYFUNCTION("""COMPUTED_VALUE"""),"Trần Lê Na; Nguyễn Thành Định; Nguyễn Thị Lan Anh")</f>
        <v>Trần Lê Na; Nguyễn Thành Định; Nguyễn Thị Lan Anh</v>
      </c>
      <c r="E70" s="4" t="str">
        <f>IFERROR(__xludf.DUMMYFUNCTION("""COMPUTED_VALUE"""),"Trường Đại học Kiến trúc Hà Nội")</f>
        <v>Trường Đại học Kiến trúc Hà Nội</v>
      </c>
      <c r="F70" s="4" t="str">
        <f>IFERROR(__xludf.DUMMYFUNCTION("""COMPUTED_VALUE"""),"VHNT2026-069.png")</f>
        <v>VHNT2026-069.png</v>
      </c>
    </row>
    <row r="71">
      <c r="A71" s="4" t="str">
        <f>IFERROR(__xludf.DUMMYFUNCTION("""COMPUTED_VALUE"""),"VHNT2026-070")</f>
        <v>VHNT2026-070</v>
      </c>
      <c r="B71" s="4" t="str">
        <f>IFERROR(__xludf.DUMMYFUNCTION("""COMPUTED_VALUE"""),"Văn hóa - Nghệ thuật")</f>
        <v>Văn hóa - Nghệ thuật</v>
      </c>
      <c r="C71" s="4" t="str">
        <f>IFERROR(__xludf.DUMMYFUNCTION("""COMPUTED_VALUE"""),"NGHIÊN CỨU CHẤT LIỆU DA SINH HỌC TỪ SCOBY KẾT HỢP VÂN THỰC VẬT ỨNG DỤNG TRONG THIẾT KẾ THỜI TRANG")</f>
        <v>NGHIÊN CỨU CHẤT LIỆU DA SINH HỌC TỪ SCOBY KẾT HỢP VÂN THỰC VẬT ỨNG DỤNG TRONG THIẾT KẾ THỜI TRANG</v>
      </c>
      <c r="D71" s="4" t="str">
        <f>IFERROR(__xludf.DUMMYFUNCTION("""COMPUTED_VALUE"""),"Đặng Thị Uyên Nhi; Lê Mai Tuyết Nhi")</f>
        <v>Đặng Thị Uyên Nhi; Lê Mai Tuyết Nhi</v>
      </c>
      <c r="E71" s="4" t="str">
        <f>IFERROR(__xludf.DUMMYFUNCTION("""COMPUTED_VALUE"""),"Trường Đại học Tôn Đức Thắng")</f>
        <v>Trường Đại học Tôn Đức Thắng</v>
      </c>
      <c r="F71" s="4" t="str">
        <f>IFERROR(__xludf.DUMMYFUNCTION("""COMPUTED_VALUE"""),"VHNT2026-070.png")</f>
        <v>VHNT2026-070.png</v>
      </c>
    </row>
    <row r="72">
      <c r="A72" s="4" t="str">
        <f>IFERROR(__xludf.DUMMYFUNCTION("""COMPUTED_VALUE"""),"VHNT2026-071")</f>
        <v>VHNT2026-071</v>
      </c>
      <c r="B72" s="4" t="str">
        <f>IFERROR(__xludf.DUMMYFUNCTION("""COMPUTED_VALUE"""),"Văn hóa - Nghệ thuật")</f>
        <v>Văn hóa - Nghệ thuật</v>
      </c>
      <c r="C72" s="4" t="str">
        <f>IFERROR(__xludf.DUMMYFUNCTION("""COMPUTED_VALUE"""),"Ứng dụng nghệ thuật trang trí áo Tế Giao thời Nguyễn trong thiết kế trang phục dạ hội")</f>
        <v>Ứng dụng nghệ thuật trang trí áo Tế Giao thời Nguyễn trong thiết kế trang phục dạ hội</v>
      </c>
      <c r="D72" s="4" t="str">
        <f>IFERROR(__xludf.DUMMYFUNCTION("""COMPUTED_VALUE"""),"Vũ Ngọc Diệp; Phùng Thị Bích Ngọc")</f>
        <v>Vũ Ngọc Diệp; Phùng Thị Bích Ngọc</v>
      </c>
      <c r="E72" s="4" t="str">
        <f>IFERROR(__xludf.DUMMYFUNCTION("""COMPUTED_VALUE"""),"Trường Đại học Mở Hà Nội")</f>
        <v>Trường Đại học Mở Hà Nội</v>
      </c>
      <c r="F72" s="4" t="str">
        <f>IFERROR(__xludf.DUMMYFUNCTION("""COMPUTED_VALUE"""),"VHNT2026-071.png")</f>
        <v>VHNT2026-071.png</v>
      </c>
    </row>
    <row r="73">
      <c r="A73" s="4" t="str">
        <f>IFERROR(__xludf.DUMMYFUNCTION("""COMPUTED_VALUE"""),"VHNT2026-072")</f>
        <v>VHNT2026-072</v>
      </c>
      <c r="B73" s="4" t="str">
        <f>IFERROR(__xludf.DUMMYFUNCTION("""COMPUTED_VALUE"""),"Văn hóa - Nghệ thuật")</f>
        <v>Văn hóa - Nghệ thuật</v>
      </c>
      <c r="C73" s="4" t="str">
        <f>IFERROR(__xludf.DUMMYFUNCTION("""COMPUTED_VALUE"""),"Nghiên cứu và thiết kế giày cao gót điều chỉnh chiều cao linh hoạt nhằm nâng cao trải nghiệm của người dùng trong thời trang và sức khoẻ")</f>
        <v>Nghiên cứu và thiết kế giày cao gót điều chỉnh chiều cao linh hoạt nhằm nâng cao trải nghiệm của người dùng trong thời trang và sức khoẻ</v>
      </c>
      <c r="D73" s="4" t="str">
        <f>IFERROR(__xludf.DUMMYFUNCTION("""COMPUTED_VALUE"""),"Hồ Minh An; Phạm Thị Thảo Vi; Hoàng Hải Nam; Huỳnh Thị Như Quỳnh; Phạm Minh Trí")</f>
        <v>Hồ Minh An; Phạm Thị Thảo Vi; Hoàng Hải Nam; Huỳnh Thị Như Quỳnh; Phạm Minh Trí</v>
      </c>
      <c r="E73" s="4" t="str">
        <f>IFERROR(__xludf.DUMMYFUNCTION("""COMPUTED_VALUE"""),"Trường Đại học Công nghệ TP. Hồ Chí Minh")</f>
        <v>Trường Đại học Công nghệ TP. Hồ Chí Minh</v>
      </c>
      <c r="F73" s="4" t="str">
        <f>IFERROR(__xludf.DUMMYFUNCTION("""COMPUTED_VALUE"""),"VHNT2026-072.png")</f>
        <v>VHNT2026-072.png</v>
      </c>
    </row>
    <row r="74">
      <c r="A74" s="4" t="str">
        <f>IFERROR(__xludf.DUMMYFUNCTION("""COMPUTED_VALUE"""),"VHNT2026-073")</f>
        <v>VHNT2026-073</v>
      </c>
      <c r="B74" s="4" t="str">
        <f>IFERROR(__xludf.DUMMYFUNCTION("""COMPUTED_VALUE"""),"Văn hóa - Nghệ thuật")</f>
        <v>Văn hóa - Nghệ thuật</v>
      </c>
      <c r="C74" s="4" t="str">
        <f>IFERROR(__xludf.DUMMYFUNCTION("""COMPUTED_VALUE"""),"Thiết kế vị nhân sinh (human - centric design) trong thời trang trẻ em: Giải pháp thẩm mỹ và công năng bảo hộ của áo khoác chống đuối nước dành cho trẻ em")</f>
        <v>Thiết kế vị nhân sinh (human - centric design) trong thời trang trẻ em: Giải pháp thẩm mỹ và công năng bảo hộ của áo khoác chống đuối nước dành cho trẻ em</v>
      </c>
      <c r="D74" s="4" t="str">
        <f>IFERROR(__xludf.DUMMYFUNCTION("""COMPUTED_VALUE"""),"Lê Thái Khánh Vy; Nguyễn Nhật Khánh; Quách Hoàng Vỹ")</f>
        <v>Lê Thái Khánh Vy; Nguyễn Nhật Khánh; Quách Hoàng Vỹ</v>
      </c>
      <c r="E74" s="4" t="str">
        <f>IFERROR(__xludf.DUMMYFUNCTION("""COMPUTED_VALUE"""),"Trường Đại học Công Thương TP. Hồ Chí Minh")</f>
        <v>Trường Đại học Công Thương TP. Hồ Chí Minh</v>
      </c>
      <c r="F74" s="4" t="str">
        <f>IFERROR(__xludf.DUMMYFUNCTION("""COMPUTED_VALUE"""),"VHNT2026-073.png")</f>
        <v>VHNT2026-073.png</v>
      </c>
    </row>
    <row r="75">
      <c r="A75" s="4" t="str">
        <f>IFERROR(__xludf.DUMMYFUNCTION("""COMPUTED_VALUE"""),"VHNT2026-074")</f>
        <v>VHNT2026-074</v>
      </c>
      <c r="B75" s="4" t="str">
        <f>IFERROR(__xludf.DUMMYFUNCTION("""COMPUTED_VALUE"""),"Văn hóa - Nghệ thuật")</f>
        <v>Văn hóa - Nghệ thuật</v>
      </c>
      <c r="C75" s="4" t="str">
        <f>IFERROR(__xludf.DUMMYFUNCTION("""COMPUTED_VALUE"""),"Thiết kế trang phục áo dài trình diễn từ vải linen lấy ý tưởng từ lồng đèn trung thu Việt Nam")</f>
        <v>Thiết kế trang phục áo dài trình diễn từ vải linen lấy ý tưởng từ lồng đèn trung thu Việt Nam</v>
      </c>
      <c r="D75" s="4" t="str">
        <f>IFERROR(__xludf.DUMMYFUNCTION("""COMPUTED_VALUE"""),"Nguyễn Thị Thùy Dương; Lâm Tuyết Nghi")</f>
        <v>Nguyễn Thị Thùy Dương; Lâm Tuyết Nghi</v>
      </c>
      <c r="E75" s="4" t="str">
        <f>IFERROR(__xludf.DUMMYFUNCTION("""COMPUTED_VALUE"""),"Trường Đại học Công Thương TP. Hồ Chí Minh")</f>
        <v>Trường Đại học Công Thương TP. Hồ Chí Minh</v>
      </c>
      <c r="F75" s="4" t="str">
        <f>IFERROR(__xludf.DUMMYFUNCTION("""COMPUTED_VALUE"""),"VHNT2026-074.png")</f>
        <v>VHNT2026-074.png</v>
      </c>
    </row>
    <row r="76">
      <c r="A76" s="4" t="str">
        <f>IFERROR(__xludf.DUMMYFUNCTION("""COMPUTED_VALUE"""),"VHNT2026-075")</f>
        <v>VHNT2026-075</v>
      </c>
      <c r="B76" s="4" t="str">
        <f>IFERROR(__xludf.DUMMYFUNCTION("""COMPUTED_VALUE"""),"Văn hóa - Nghệ thuật")</f>
        <v>Văn hóa - Nghệ thuật</v>
      </c>
      <c r="C76" s="4" t="str">
        <f>IFERROR(__xludf.DUMMYFUNCTION("""COMPUTED_VALUE"""),"Nghiên cứu nguồn màu tự nhiên nhạy pH ứng dụng vào tạo dựng hoạ tiết mang phong cách tranh Đông Hồ trên sản phẩm thời trang")</f>
        <v>Nghiên cứu nguồn màu tự nhiên nhạy pH ứng dụng vào tạo dựng hoạ tiết mang phong cách tranh Đông Hồ trên sản phẩm thời trang</v>
      </c>
      <c r="D76" s="4" t="str">
        <f>IFERROR(__xludf.DUMMYFUNCTION("""COMPUTED_VALUE"""),"Trần Thành Long; Nguyễn Thị Kim Ngọc")</f>
        <v>Trần Thành Long; Nguyễn Thị Kim Ngọc</v>
      </c>
      <c r="E76" s="4" t="str">
        <f>IFERROR(__xludf.DUMMYFUNCTION("""COMPUTED_VALUE"""),"Trường Đại học Công Thương TP. Hồ Chí Minh")</f>
        <v>Trường Đại học Công Thương TP. Hồ Chí Minh</v>
      </c>
      <c r="F76" s="4" t="str">
        <f>IFERROR(__xludf.DUMMYFUNCTION("""COMPUTED_VALUE"""),"VHNT2026-075.png")</f>
        <v>VHNT2026-075.png</v>
      </c>
    </row>
    <row r="77">
      <c r="A77" s="4" t="str">
        <f>IFERROR(__xludf.DUMMYFUNCTION("""COMPUTED_VALUE"""),"VHNT2026-076")</f>
        <v>VHNT2026-076</v>
      </c>
      <c r="B77" s="4" t="str">
        <f>IFERROR(__xludf.DUMMYFUNCTION("""COMPUTED_VALUE"""),"Văn hóa - Nghệ thuật")</f>
        <v>Văn hóa - Nghệ thuật</v>
      </c>
      <c r="C77" s="4" t="str">
        <f>IFERROR(__xludf.DUMMYFUNCTION("""COMPUTED_VALUE"""),"Nghiên cứu tái chế vải jean trong thiết kế và phát triển áo dài cách tân bằng kỹ thuật đan lát truyền thống")</f>
        <v>Nghiên cứu tái chế vải jean trong thiết kế và phát triển áo dài cách tân bằng kỹ thuật đan lát truyền thống</v>
      </c>
      <c r="D77" s="4" t="str">
        <f>IFERROR(__xludf.DUMMYFUNCTION("""COMPUTED_VALUE"""),"Nguyễn Duy Tân; Đỗ Thị Phương Anh; Nguyễn Bảo Ngân; Phùng Trung Nghĩa")</f>
        <v>Nguyễn Duy Tân; Đỗ Thị Phương Anh; Nguyễn Bảo Ngân; Phùng Trung Nghĩa</v>
      </c>
      <c r="E77" s="4" t="str">
        <f>IFERROR(__xludf.DUMMYFUNCTION("""COMPUTED_VALUE"""),"Trường Đại học Công Thương TP. Hồ Chí Minh")</f>
        <v>Trường Đại học Công Thương TP. Hồ Chí Minh</v>
      </c>
      <c r="F77" s="4" t="str">
        <f>IFERROR(__xludf.DUMMYFUNCTION("""COMPUTED_VALUE"""),"VHNT2026-076.png")</f>
        <v>VHNT2026-076.png</v>
      </c>
    </row>
    <row r="78">
      <c r="A78" s="4" t="str">
        <f>IFERROR(__xludf.DUMMYFUNCTION("""COMPUTED_VALUE"""),"VHNT2026-077")</f>
        <v>VHNT2026-077</v>
      </c>
      <c r="B78" s="4" t="str">
        <f>IFERROR(__xludf.DUMMYFUNCTION("""COMPUTED_VALUE"""),"Văn hóa - Nghệ thuật")</f>
        <v>Văn hóa - Nghệ thuật</v>
      </c>
      <c r="C78" s="4" t="str">
        <f>IFERROR(__xludf.DUMMYFUNCTION("""COMPUTED_VALUE"""),"Nghiên cứu ứng dụng nghệ thuật Mosaic từ vật liệu tái chế vào thiết kế trang phục đa năng")</f>
        <v>Nghiên cứu ứng dụng nghệ thuật Mosaic từ vật liệu tái chế vào thiết kế trang phục đa năng</v>
      </c>
      <c r="D78" s="4" t="str">
        <f>IFERROR(__xludf.DUMMYFUNCTION("""COMPUTED_VALUE"""),"Hồ Ngọc Ánh Tuyết; Huỳnh Thị Minh Thư")</f>
        <v>Hồ Ngọc Ánh Tuyết; Huỳnh Thị Minh Thư</v>
      </c>
      <c r="E78" s="4" t="str">
        <f>IFERROR(__xludf.DUMMYFUNCTION("""COMPUTED_VALUE"""),"Trường Đại học Công Thương TP. Hồ Chí Minh")</f>
        <v>Trường Đại học Công Thương TP. Hồ Chí Minh</v>
      </c>
      <c r="F78" s="4" t="str">
        <f>IFERROR(__xludf.DUMMYFUNCTION("""COMPUTED_VALUE"""),"VHNT2026-077.png")</f>
        <v>VHNT2026-077.png</v>
      </c>
    </row>
    <row r="79">
      <c r="A79" s="4" t="str">
        <f>IFERROR(__xludf.DUMMYFUNCTION("""COMPUTED_VALUE"""),"VHNT2026-078")</f>
        <v>VHNT2026-078</v>
      </c>
      <c r="B79" s="4" t="str">
        <f>IFERROR(__xludf.DUMMYFUNCTION("""COMPUTED_VALUE"""),"Văn hóa - Nghệ thuật")</f>
        <v>Văn hóa - Nghệ thuật</v>
      </c>
      <c r="C79" s="4" t="str">
        <f>IFERROR(__xludf.DUMMYFUNCTION("""COMPUTED_VALUE"""),"Bảo tồn và phát huy giá trị kịch bản tuồng hát bội Đào Tấn trong bối cảnh chuyển đổi số hiện nay")</f>
        <v>Bảo tồn và phát huy giá trị kịch bản tuồng hát bội Đào Tấn trong bối cảnh chuyển đổi số hiện nay</v>
      </c>
      <c r="D79" s="4" t="str">
        <f>IFERROR(__xludf.DUMMYFUNCTION("""COMPUTED_VALUE"""),"Nguyễn Duy Phước Nguyên; Bùi Thị Mỹ Nhân; Phan Thị Ngọc Quỳnh; Nguyễn Như Ý")</f>
        <v>Nguyễn Duy Phước Nguyên; Bùi Thị Mỹ Nhân; Phan Thị Ngọc Quỳnh; Nguyễn Như Ý</v>
      </c>
      <c r="E79" s="4" t="str">
        <f>IFERROR(__xludf.DUMMYFUNCTION("""COMPUTED_VALUE"""),"Trường Đại học Quy Nhơn")</f>
        <v>Trường Đại học Quy Nhơn</v>
      </c>
      <c r="F79" s="4" t="str">
        <f>IFERROR(__xludf.DUMMYFUNCTION("""COMPUTED_VALUE"""),"VHNT2026-078.png")</f>
        <v>VHNT2026-078.png</v>
      </c>
    </row>
    <row r="80">
      <c r="A80" s="4" t="str">
        <f>IFERROR(__xludf.DUMMYFUNCTION("""COMPUTED_VALUE"""),"VHNT2026-079")</f>
        <v>VHNT2026-079</v>
      </c>
      <c r="B80" s="4" t="str">
        <f>IFERROR(__xludf.DUMMYFUNCTION("""COMPUTED_VALUE"""),"Văn hóa - Nghệ thuật")</f>
        <v>Văn hóa - Nghệ thuật</v>
      </c>
      <c r="C80" s="4" t="str">
        <f>IFERROR(__xludf.DUMMYFUNCTION("""COMPUTED_VALUE"""),"HỘI HỌA TRONG TIỂU THUYẾT BỨC HỌA DORIAN GRAY CỦA OSCAR WILDE")</f>
        <v>HỘI HỌA TRONG TIỂU THUYẾT BỨC HỌA DORIAN GRAY CỦA OSCAR WILDE</v>
      </c>
      <c r="D80" s="4" t="str">
        <f>IFERROR(__xludf.DUMMYFUNCTION("""COMPUTED_VALUE"""),"Lê Thị Dung Nhi")</f>
        <v>Lê Thị Dung Nhi</v>
      </c>
      <c r="E80" s="4" t="str">
        <f>IFERROR(__xludf.DUMMYFUNCTION("""COMPUTED_VALUE"""),"Đại học Duy Tân")</f>
        <v>Đại học Duy Tân</v>
      </c>
      <c r="F80" s="4" t="str">
        <f>IFERROR(__xludf.DUMMYFUNCTION("""COMPUTED_VALUE"""),"VHNT2026-079.png")</f>
        <v>VHNT2026-079.png</v>
      </c>
    </row>
    <row r="81">
      <c r="A81" s="4" t="str">
        <f>IFERROR(__xludf.DUMMYFUNCTION("""COMPUTED_VALUE"""),"VHNT2026-080")</f>
        <v>VHNT2026-080</v>
      </c>
      <c r="B81" s="4" t="str">
        <f>IFERROR(__xludf.DUMMYFUNCTION("""COMPUTED_VALUE"""),"Văn hóa - Nghệ thuật")</f>
        <v>Văn hóa - Nghệ thuật</v>
      </c>
      <c r="C81" s="4" t="str">
        <f>IFERROR(__xludf.DUMMYFUNCTION("""COMPUTED_VALUE"""),"Từ Robot đến Trí tuệ nhân tạo: Diễn ngôn dự báo xã hội trong văn học khoa học viễn tưởng Đông Á")</f>
        <v>Từ Robot đến Trí tuệ nhân tạo: Diễn ngôn dự báo xã hội trong văn học khoa học viễn tưởng Đông Á</v>
      </c>
      <c r="D81" s="4" t="str">
        <f>IFERROR(__xludf.DUMMYFUNCTION("""COMPUTED_VALUE"""),"Trần Thị Ngọc Hà; Nguyễn Thị Nhung; Trần Ý Nhiên; Mai Phan Thùy Trinh; Đặng Nam Khang")</f>
        <v>Trần Thị Ngọc Hà; Nguyễn Thị Nhung; Trần Ý Nhiên; Mai Phan Thùy Trinh; Đặng Nam Khang</v>
      </c>
      <c r="E81" s="4" t="str">
        <f>IFERROR(__xludf.DUMMYFUNCTION("""COMPUTED_VALUE"""),"Trường Đại học Sư phạm, Đại học Đà Nẵng")</f>
        <v>Trường Đại học Sư phạm, Đại học Đà Nẵng</v>
      </c>
      <c r="F81" s="4" t="str">
        <f>IFERROR(__xludf.DUMMYFUNCTION("""COMPUTED_VALUE"""),"VHNT2026-080.png")</f>
        <v>VHNT2026-080.png</v>
      </c>
    </row>
    <row r="82">
      <c r="A82" s="4" t="str">
        <f>IFERROR(__xludf.DUMMYFUNCTION("""COMPUTED_VALUE"""),"VHNT2026-081")</f>
        <v>VHNT2026-081</v>
      </c>
      <c r="B82" s="4" t="str">
        <f>IFERROR(__xludf.DUMMYFUNCTION("""COMPUTED_VALUE"""),"Văn hóa - Nghệ thuật")</f>
        <v>Văn hóa - Nghệ thuật</v>
      </c>
      <c r="C82" s="4" t="str">
        <f>IFERROR(__xludf.DUMMYFUNCTION("""COMPUTED_VALUE"""),"Biểu hiện và tiếp nhận tư tưởng nữ quyền trong tác phẩm Những ngọn núi biết hát của Nguyễn Phan Quế Mai")</f>
        <v>Biểu hiện và tiếp nhận tư tưởng nữ quyền trong tác phẩm Những ngọn núi biết hát của Nguyễn Phan Quế Mai</v>
      </c>
      <c r="D82" s="4" t="str">
        <f>IFERROR(__xludf.DUMMYFUNCTION("""COMPUTED_VALUE"""),"Nguyễn Thanh Sang")</f>
        <v>Nguyễn Thanh Sang</v>
      </c>
      <c r="E82" s="4" t="str">
        <f>IFERROR(__xludf.DUMMYFUNCTION("""COMPUTED_VALUE"""),"Trường Đại học Văn Hiến")</f>
        <v>Trường Đại học Văn Hiến</v>
      </c>
      <c r="F82" s="4" t="str">
        <f>IFERROR(__xludf.DUMMYFUNCTION("""COMPUTED_VALUE"""),"VHNT2026-081.png")</f>
        <v>VHNT2026-081.png</v>
      </c>
    </row>
    <row r="83">
      <c r="A83" s="4" t="str">
        <f>IFERROR(__xludf.DUMMYFUNCTION("""COMPUTED_VALUE"""),"VHNT2026-082")</f>
        <v>VHNT2026-082</v>
      </c>
      <c r="B83" s="4" t="str">
        <f>IFERROR(__xludf.DUMMYFUNCTION("""COMPUTED_VALUE"""),"Văn hóa - Nghệ thuật")</f>
        <v>Văn hóa - Nghệ thuật</v>
      </c>
      <c r="C83" s="4" t="str">
        <f>IFERROR(__xludf.DUMMYFUNCTION("""COMPUTED_VALUE"""),"CHỦ ĐỀ NGUỒN CỘI VÀ BẢN SẮC TRONG MỘT SỐ TÁC PHẨM VĂN HỌC NỮ VIỆT NAM HIỆN ĐẠI NHÌN TỪ LÍ THUYẾT DU MỤC")</f>
        <v>CHỦ ĐỀ NGUỒN CỘI VÀ BẢN SẮC TRONG MỘT SỐ TÁC PHẨM VĂN HỌC NỮ VIỆT NAM HIỆN ĐẠI NHÌN TỪ LÍ THUYẾT DU MỤC</v>
      </c>
      <c r="D83" s="4" t="str">
        <f>IFERROR(__xludf.DUMMYFUNCTION("""COMPUTED_VALUE"""),"Nguyễn Phạm Mẫn Nguyên; Nguyễn Hồng Đức")</f>
        <v>Nguyễn Phạm Mẫn Nguyên; Nguyễn Hồng Đức</v>
      </c>
      <c r="E83" s="4" t="str">
        <f>IFERROR(__xludf.DUMMYFUNCTION("""COMPUTED_VALUE"""),"Trường Đại học Sài gòn")</f>
        <v>Trường Đại học Sài gòn</v>
      </c>
      <c r="F83" s="4" t="str">
        <f>IFERROR(__xludf.DUMMYFUNCTION("""COMPUTED_VALUE"""),"VHNT2026-082.png")</f>
        <v>VHNT2026-082.png</v>
      </c>
    </row>
    <row r="84">
      <c r="A84" s="4" t="str">
        <f>IFERROR(__xludf.DUMMYFUNCTION("""COMPUTED_VALUE"""),"VHNT2026-083")</f>
        <v>VHNT2026-083</v>
      </c>
      <c r="B84" s="4" t="str">
        <f>IFERROR(__xludf.DUMMYFUNCTION("""COMPUTED_VALUE"""),"Văn hóa - Nghệ thuật")</f>
        <v>Văn hóa - Nghệ thuật</v>
      </c>
      <c r="C84" s="4" t="str">
        <f>IFERROR(__xludf.DUMMYFUNCTION("""COMPUTED_VALUE"""),"Biểu tượng tôn giáo trong tiểu thuyết Hồ, Đẹp và Buồn của Yasunari Kawabata")</f>
        <v>Biểu tượng tôn giáo trong tiểu thuyết Hồ, Đẹp và Buồn của Yasunari Kawabata</v>
      </c>
      <c r="D84" s="4" t="str">
        <f>IFERROR(__xludf.DUMMYFUNCTION("""COMPUTED_VALUE"""),"Trần Thị Linh; Nguyễn Huyền Trang; Nguyễn Thị Thanh Huyền; Quách Thi Nhung")</f>
        <v>Trần Thị Linh; Nguyễn Huyền Trang; Nguyễn Thị Thanh Huyền; Quách Thi Nhung</v>
      </c>
      <c r="E84" s="4" t="str">
        <f>IFERROR(__xludf.DUMMYFUNCTION("""COMPUTED_VALUE"""),"Trường Đại học Hồng Đức")</f>
        <v>Trường Đại học Hồng Đức</v>
      </c>
      <c r="F84" s="4" t="str">
        <f>IFERROR(__xludf.DUMMYFUNCTION("""COMPUTED_VALUE"""),"VHNT2026-083.png")</f>
        <v>VHNT2026-083.png</v>
      </c>
    </row>
    <row r="85">
      <c r="A85" s="4" t="str">
        <f>IFERROR(__xludf.DUMMYFUNCTION("""COMPUTED_VALUE"""),"VHNT2026-084")</f>
        <v>VHNT2026-084</v>
      </c>
      <c r="B85" s="4" t="str">
        <f>IFERROR(__xludf.DUMMYFUNCTION("""COMPUTED_VALUE"""),"Văn hóa - Nghệ thuật")</f>
        <v>Văn hóa - Nghệ thuật</v>
      </c>
      <c r="C85" s="4" t="str">
        <f>IFERROR(__xludf.DUMMYFUNCTION("""COMPUTED_VALUE"""),"Mô hình ""Hành trình người anh hùng"" trong sử thi Tây Nguyên và việc ứng dụng công nghệ số trong giáo dục di sản văn hóa")</f>
        <v>Mô hình "Hành trình người anh hùng" trong sử thi Tây Nguyên và việc ứng dụng công nghệ số trong giáo dục di sản văn hóa</v>
      </c>
      <c r="D85" s="4" t="str">
        <f>IFERROR(__xludf.DUMMYFUNCTION("""COMPUTED_VALUE"""),"Đổ Chí Hải; Võ Quốc Đạt; Phạm Thanh Hà; Trần Khả Minh")</f>
        <v>Đổ Chí Hải; Võ Quốc Đạt; Phạm Thanh Hà; Trần Khả Minh</v>
      </c>
      <c r="E85" s="4" t="str">
        <f>IFERROR(__xludf.DUMMYFUNCTION("""COMPUTED_VALUE"""),"Trường Đại học Thủ Dầu Một")</f>
        <v>Trường Đại học Thủ Dầu Một</v>
      </c>
      <c r="F85" s="4" t="str">
        <f>IFERROR(__xludf.DUMMYFUNCTION("""COMPUTED_VALUE"""),"VHNT2026-084.png")</f>
        <v>VHNT2026-084.png</v>
      </c>
    </row>
    <row r="86">
      <c r="A86" s="4" t="str">
        <f>IFERROR(__xludf.DUMMYFUNCTION("""COMPUTED_VALUE"""),"VHNT2026-085")</f>
        <v>VHNT2026-085</v>
      </c>
      <c r="B86" s="4" t="str">
        <f>IFERROR(__xludf.DUMMYFUNCTION("""COMPUTED_VALUE"""),"Văn hóa - Nghệ thuật")</f>
        <v>Văn hóa - Nghệ thuật</v>
      </c>
      <c r="C86" s="4" t="str">
        <f>IFERROR(__xludf.DUMMYFUNCTION("""COMPUTED_VALUE"""),"Văn hóa dân gian đương đại trong môi trường số: Biến thể của tục ngữ, ca dao trên mạng xã hội")</f>
        <v>Văn hóa dân gian đương đại trong môi trường số: Biến thể của tục ngữ, ca dao trên mạng xã hội</v>
      </c>
      <c r="D86" s="4" t="str">
        <f>IFERROR(__xludf.DUMMYFUNCTION("""COMPUTED_VALUE"""),"Ngô Thị Mỹ Tâm; Bùi Lê Na")</f>
        <v>Ngô Thị Mỹ Tâm; Bùi Lê Na</v>
      </c>
      <c r="E86" s="4" t="str">
        <f>IFERROR(__xludf.DUMMYFUNCTION("""COMPUTED_VALUE"""),"Trường Đại học Khoa học xã hội và Nhân văn, ĐHQG-HCM")</f>
        <v>Trường Đại học Khoa học xã hội và Nhân văn, ĐHQG-HCM</v>
      </c>
      <c r="F86" s="4" t="str">
        <f>IFERROR(__xludf.DUMMYFUNCTION("""COMPUTED_VALUE"""),"VHNT2026-085.png")</f>
        <v>VHNT2026-085.png</v>
      </c>
    </row>
    <row r="87">
      <c r="A87" s="4" t="str">
        <f>IFERROR(__xludf.DUMMYFUNCTION("""COMPUTED_VALUE"""),"VHNT2026-086")</f>
        <v>VHNT2026-086</v>
      </c>
      <c r="B87" s="4" t="str">
        <f>IFERROR(__xludf.DUMMYFUNCTION("""COMPUTED_VALUE"""),"Văn hóa - Nghệ thuật")</f>
        <v>Văn hóa - Nghệ thuật</v>
      </c>
      <c r="C87" s="4" t="str">
        <f>IFERROR(__xludf.DUMMYFUNCTION("""COMPUTED_VALUE"""),"Vận dụng văn hoá dân gian như một phương thức kiến tạo căn tính nghệ sĩ: Một đối sánh liên văn hoá từ Hoàng Thuỳ Linh đến Taylor Swift")</f>
        <v>Vận dụng văn hoá dân gian như một phương thức kiến tạo căn tính nghệ sĩ: Một đối sánh liên văn hoá từ Hoàng Thuỳ Linh đến Taylor Swift</v>
      </c>
      <c r="D87" s="4" t="str">
        <f>IFERROR(__xludf.DUMMYFUNCTION("""COMPUTED_VALUE"""),"Trần Văn Lập; Huỳnh Ngọc Yến Nhi")</f>
        <v>Trần Văn Lập; Huỳnh Ngọc Yến Nhi</v>
      </c>
      <c r="E87" s="4" t="str">
        <f>IFERROR(__xludf.DUMMYFUNCTION("""COMPUTED_VALUE"""),"Trường Đại học Sư phạm TP. Hồ Chí Minh")</f>
        <v>Trường Đại học Sư phạm TP. Hồ Chí Minh</v>
      </c>
      <c r="F87" s="4" t="str">
        <f>IFERROR(__xludf.DUMMYFUNCTION("""COMPUTED_VALUE"""),"VHNT2026-086.png")</f>
        <v>VHNT2026-086.png</v>
      </c>
    </row>
    <row r="88">
      <c r="A88" s="4" t="str">
        <f>IFERROR(__xludf.DUMMYFUNCTION("""COMPUTED_VALUE"""),"VHNT2026-087")</f>
        <v>VHNT2026-087</v>
      </c>
      <c r="B88" s="4" t="str">
        <f>IFERROR(__xludf.DUMMYFUNCTION("""COMPUTED_VALUE"""),"Văn hóa - Nghệ thuật")</f>
        <v>Văn hóa - Nghệ thuật</v>
      </c>
      <c r="C88" s="4" t="str">
        <f>IFERROR(__xludf.DUMMYFUNCTION("""COMPUTED_VALUE"""),"Trải nghiệm nghệ thuật chèo truyền thống qua trò chơi board game")</f>
        <v>Trải nghiệm nghệ thuật chèo truyền thống qua trò chơi board game</v>
      </c>
      <c r="D88" s="4" t="str">
        <f>IFERROR(__xludf.DUMMYFUNCTION("""COMPUTED_VALUE"""),"Phạm Quế Anh; Lê Như Bình; Hoàng Ngọc Ánh")</f>
        <v>Phạm Quế Anh; Lê Như Bình; Hoàng Ngọc Ánh</v>
      </c>
      <c r="E88" s="4" t="str">
        <f>IFERROR(__xludf.DUMMYFUNCTION("""COMPUTED_VALUE"""),"Trường Đại học Sư phạm Hà Nội")</f>
        <v>Trường Đại học Sư phạm Hà Nội</v>
      </c>
      <c r="F88" s="4" t="str">
        <f>IFERROR(__xludf.DUMMYFUNCTION("""COMPUTED_VALUE"""),"VHNT2026-087.png")</f>
        <v>VHNT2026-087.png</v>
      </c>
    </row>
    <row r="89">
      <c r="A89" s="4" t="str">
        <f>IFERROR(__xludf.DUMMYFUNCTION("""COMPUTED_VALUE"""),"VHNT2026-088")</f>
        <v>VHNT2026-088</v>
      </c>
      <c r="B89" s="4" t="str">
        <f>IFERROR(__xludf.DUMMYFUNCTION("""COMPUTED_VALUE"""),"Văn hóa - Nghệ thuật")</f>
        <v>Văn hóa - Nghệ thuật</v>
      </c>
      <c r="C89" s="4" t="str">
        <f>IFERROR(__xludf.DUMMYFUNCTION("""COMPUTED_VALUE"""),"Tiếp nhận và tái triển bài xẩm Mục hạ vô nhân của Nguyễn Khuyến trong văn học –nghệ thuật hiện đại và đương đại")</f>
        <v>Tiếp nhận và tái triển bài xẩm Mục hạ vô nhân của Nguyễn Khuyến trong văn học –nghệ thuật hiện đại và đương đại</v>
      </c>
      <c r="D89" s="4" t="str">
        <f>IFERROR(__xludf.DUMMYFUNCTION("""COMPUTED_VALUE"""),"Đào Thùy Dương; Nguyễn Thế Phi Đăng; Vũ Thị Khánh Huyền")</f>
        <v>Đào Thùy Dương; Nguyễn Thế Phi Đăng; Vũ Thị Khánh Huyền</v>
      </c>
      <c r="E89" s="4" t="str">
        <f>IFERROR(__xludf.DUMMYFUNCTION("""COMPUTED_VALUE"""),"Trường Đại học Sư phạm Hà Nội")</f>
        <v>Trường Đại học Sư phạm Hà Nội</v>
      </c>
      <c r="F89" s="4" t="str">
        <f>IFERROR(__xludf.DUMMYFUNCTION("""COMPUTED_VALUE"""),"VHNT2026-088.png")</f>
        <v>VHNT2026-088.png</v>
      </c>
    </row>
    <row r="90">
      <c r="A90" s="4" t="str">
        <f>IFERROR(__xludf.DUMMYFUNCTION("""COMPUTED_VALUE"""),"VHNT2026-089")</f>
        <v>VHNT2026-089</v>
      </c>
      <c r="B90" s="4" t="str">
        <f>IFERROR(__xludf.DUMMYFUNCTION("""COMPUTED_VALUE"""),"Văn hóa - Nghệ thuật")</f>
        <v>Văn hóa - Nghệ thuật</v>
      </c>
      <c r="C90" s="4" t="str">
        <f>IFERROR(__xludf.DUMMYFUNCTION("""COMPUTED_VALUE"""),"Xây dựng bộ nhận diện thương hiệu cho gia đình nghệ nhân Đức Thịnh tại làng nghề gốm Phù Lãng (Bắc Ninh)")</f>
        <v>Xây dựng bộ nhận diện thương hiệu cho gia đình nghệ nhân Đức Thịnh tại làng nghề gốm Phù Lãng (Bắc Ninh)</v>
      </c>
      <c r="D90" s="4" t="str">
        <f>IFERROR(__xludf.DUMMYFUNCTION("""COMPUTED_VALUE"""),"Nguyễn Minh Phương Thảo; Nguyễn Thị Ngọc Ánh; Hoàng Thúy Uyên")</f>
        <v>Nguyễn Minh Phương Thảo; Nguyễn Thị Ngọc Ánh; Hoàng Thúy Uyên</v>
      </c>
      <c r="E90" s="4" t="str">
        <f>IFERROR(__xludf.DUMMYFUNCTION("""COMPUTED_VALUE"""),"Trường Đại học Văn hóa Hà Nội")</f>
        <v>Trường Đại học Văn hóa Hà Nội</v>
      </c>
      <c r="F90" s="4" t="str">
        <f>IFERROR(__xludf.DUMMYFUNCTION("""COMPUTED_VALUE"""),"VHNT2026-089.png")</f>
        <v>VHNT2026-089.png</v>
      </c>
    </row>
    <row r="91">
      <c r="A91" s="4" t="str">
        <f>IFERROR(__xludf.DUMMYFUNCTION("""COMPUTED_VALUE"""),"VHNT2026-090")</f>
        <v>VHNT2026-090</v>
      </c>
      <c r="B91" s="4" t="str">
        <f>IFERROR(__xludf.DUMMYFUNCTION("""COMPUTED_VALUE"""),"Văn hóa - Nghệ thuật")</f>
        <v>Văn hóa - Nghệ thuật</v>
      </c>
      <c r="C91" s="4" t="str">
        <f>IFERROR(__xludf.DUMMYFUNCTION("""COMPUTED_VALUE"""),"Bảo tồn và phát huy giá trị nghệ thuật hát Then của người Tày tại Làng văn hoá Quỳnh Sơn, tỉnh Lạng Sơn")</f>
        <v>Bảo tồn và phát huy giá trị nghệ thuật hát Then của người Tày tại Làng văn hoá Quỳnh Sơn, tỉnh Lạng Sơn</v>
      </c>
      <c r="D91" s="4" t="str">
        <f>IFERROR(__xludf.DUMMYFUNCTION("""COMPUTED_VALUE"""),"Phạm Tuấn Anh; Tạ Minh Anh; Bùi Thị Vui")</f>
        <v>Phạm Tuấn Anh; Tạ Minh Anh; Bùi Thị Vui</v>
      </c>
      <c r="E91" s="4" t="str">
        <f>IFERROR(__xludf.DUMMYFUNCTION("""COMPUTED_VALUE"""),"Học viện Hành chính và Quản trị công")</f>
        <v>Học viện Hành chính và Quản trị công</v>
      </c>
      <c r="F91" s="4" t="str">
        <f>IFERROR(__xludf.DUMMYFUNCTION("""COMPUTED_VALUE"""),"VHNT2026-090.png")</f>
        <v>VHNT2026-090.png</v>
      </c>
    </row>
    <row r="92">
      <c r="A92" s="4" t="str">
        <f>IFERROR(__xludf.DUMMYFUNCTION("""COMPUTED_VALUE"""),"VHNT2026-091")</f>
        <v>VHNT2026-091</v>
      </c>
      <c r="B92" s="4" t="str">
        <f>IFERROR(__xludf.DUMMYFUNCTION("""COMPUTED_VALUE"""),"Văn hóa - Nghệ thuật")</f>
        <v>Văn hóa - Nghệ thuật</v>
      </c>
      <c r="C92" s="4" t="str">
        <f>IFERROR(__xludf.DUMMYFUNCTION("""COMPUTED_VALUE"""),"Trải nghiệm thực tế ảo và ý định ghé thăm của du khách: Hướng đến phát huy giá trị Di tích lịch sử Dinh Độc Lập")</f>
        <v>Trải nghiệm thực tế ảo và ý định ghé thăm của du khách: Hướng đến phát huy giá trị Di tích lịch sử Dinh Độc Lập</v>
      </c>
      <c r="D92" s="4" t="str">
        <f>IFERROR(__xludf.DUMMYFUNCTION("""COMPUTED_VALUE"""),"Lầm Cún Sầu")</f>
        <v>Lầm Cún Sầu</v>
      </c>
      <c r="E92" s="4" t="str">
        <f>IFERROR(__xludf.DUMMYFUNCTION("""COMPUTED_VALUE"""),"Trường Đại học Công nghiệp TP. Hồ Chí Minh")</f>
        <v>Trường Đại học Công nghiệp TP. Hồ Chí Minh</v>
      </c>
      <c r="F92" s="4" t="str">
        <f>IFERROR(__xludf.DUMMYFUNCTION("""COMPUTED_VALUE"""),"VHNT2026-091.png")</f>
        <v>VHNT2026-091.png</v>
      </c>
    </row>
    <row r="93">
      <c r="A93" s="4" t="str">
        <f>IFERROR(__xludf.DUMMYFUNCTION("""COMPUTED_VALUE"""),"VHNT2026-092")</f>
        <v>VHNT2026-092</v>
      </c>
      <c r="B93" s="4" t="str">
        <f>IFERROR(__xludf.DUMMYFUNCTION("""COMPUTED_VALUE"""),"Văn hóa - Nghệ thuật")</f>
        <v>Văn hóa - Nghệ thuật</v>
      </c>
      <c r="C93" s="4" t="str">
        <f>IFERROR(__xludf.DUMMYFUNCTION("""COMPUTED_VALUE"""),"Ký ức tập thể và Folklore đương đại: Nghiên cứu trường hợp truyền thuyết hậu chiến tại thành phố Đà Nẵng")</f>
        <v>Ký ức tập thể và Folklore đương đại: Nghiên cứu trường hợp truyền thuyết hậu chiến tại thành phố Đà Nẵng</v>
      </c>
      <c r="D93" s="4" t="str">
        <f>IFERROR(__xludf.DUMMYFUNCTION("""COMPUTED_VALUE"""),"Trần Văn Khánh Dương; Vũ Minh Huyền; Dương Vũ Như Quỳnh; Trần Thành Tài; Bùi Thị Phương Thảo")</f>
        <v>Trần Văn Khánh Dương; Vũ Minh Huyền; Dương Vũ Như Quỳnh; Trần Thành Tài; Bùi Thị Phương Thảo</v>
      </c>
      <c r="E93" s="4" t="str">
        <f>IFERROR(__xludf.DUMMYFUNCTION("""COMPUTED_VALUE"""),"Trường Đại học Sư phạm, Đại học Đà Nẵng")</f>
        <v>Trường Đại học Sư phạm, Đại học Đà Nẵng</v>
      </c>
      <c r="F93" s="4" t="str">
        <f>IFERROR(__xludf.DUMMYFUNCTION("""COMPUTED_VALUE"""),"VHNT2026-092.png")</f>
        <v>VHNT2026-092.png</v>
      </c>
    </row>
    <row r="94">
      <c r="A94" s="4" t="str">
        <f>IFERROR(__xludf.DUMMYFUNCTION("""COMPUTED_VALUE"""),"VHNT2026-093")</f>
        <v>VHNT2026-093</v>
      </c>
      <c r="B94" s="4" t="str">
        <f>IFERROR(__xludf.DUMMYFUNCTION("""COMPUTED_VALUE"""),"Văn hóa - Nghệ thuật")</f>
        <v>Văn hóa - Nghệ thuật</v>
      </c>
      <c r="C94" s="4" t="str">
        <f>IFERROR(__xludf.DUMMYFUNCTION("""COMPUTED_VALUE"""),"Không gian văn hóa Hán tự tại Vĩnh Long – sự tiếp biến tư tưởng Nho giáo, nghệ thuật và dấu ấn di cư")</f>
        <v>Không gian văn hóa Hán tự tại Vĩnh Long – sự tiếp biến tư tưởng Nho giáo, nghệ thuật và dấu ấn di cư</v>
      </c>
      <c r="D94" s="4" t="str">
        <f>IFERROR(__xludf.DUMMYFUNCTION("""COMPUTED_VALUE"""),"Đỗ Ngọc Minh Thư; Văn Toàn Thiện")</f>
        <v>Đỗ Ngọc Minh Thư; Văn Toàn Thiện</v>
      </c>
      <c r="E94" s="4" t="str">
        <f>IFERROR(__xludf.DUMMYFUNCTION("""COMPUTED_VALUE"""),"Trường Đại học Văn Lang")</f>
        <v>Trường Đại học Văn Lang</v>
      </c>
      <c r="F94" s="4" t="str">
        <f>IFERROR(__xludf.DUMMYFUNCTION("""COMPUTED_VALUE"""),"VHNT2026-093.png")</f>
        <v>VHNT2026-093.png</v>
      </c>
    </row>
    <row r="95">
      <c r="A95" s="4" t="str">
        <f>IFERROR(__xludf.DUMMYFUNCTION("""COMPUTED_VALUE"""),"VHNT2026-094")</f>
        <v>VHNT2026-094</v>
      </c>
      <c r="B95" s="4" t="str">
        <f>IFERROR(__xludf.DUMMYFUNCTION("""COMPUTED_VALUE"""),"Văn hóa - Nghệ thuật")</f>
        <v>Văn hóa - Nghệ thuật</v>
      </c>
      <c r="C95" s="4" t="str">
        <f>IFERROR(__xludf.DUMMYFUNCTION("""COMPUTED_VALUE"""),"Sự biến đổi trong đời sống văn hóa tại Sài Gòn, Chợ Lớn, gia định trước tác động của cuộc di cư từ bắc vào nam sau hiệp định Geneva (07/1954)")</f>
        <v>Sự biến đổi trong đời sống văn hóa tại Sài Gòn, Chợ Lớn, gia định trước tác động của cuộc di cư từ bắc vào nam sau hiệp định Geneva (07/1954)</v>
      </c>
      <c r="D95" s="4" t="str">
        <f>IFERROR(__xludf.DUMMYFUNCTION("""COMPUTED_VALUE"""),"Võ Văn Thương; Phạm Văn Khánh")</f>
        <v>Võ Văn Thương; Phạm Văn Khánh</v>
      </c>
      <c r="E95" s="4" t="str">
        <f>IFERROR(__xludf.DUMMYFUNCTION("""COMPUTED_VALUE"""),"Trường Đại học Văn Hiến")</f>
        <v>Trường Đại học Văn Hiến</v>
      </c>
      <c r="F95" s="4" t="str">
        <f>IFERROR(__xludf.DUMMYFUNCTION("""COMPUTED_VALUE"""),"VHNT2026-094.png")</f>
        <v>VHNT2026-094.png</v>
      </c>
    </row>
    <row r="96">
      <c r="A96" s="4" t="str">
        <f>IFERROR(__xludf.DUMMYFUNCTION("""COMPUTED_VALUE"""),"VHNT2026-095")</f>
        <v>VHNT2026-095</v>
      </c>
      <c r="B96" s="4" t="str">
        <f>IFERROR(__xludf.DUMMYFUNCTION("""COMPUTED_VALUE"""),"Văn hóa - Nghệ thuật")</f>
        <v>Văn hóa - Nghệ thuật</v>
      </c>
      <c r="C96" s="4" t="str">
        <f>IFERROR(__xludf.DUMMYFUNCTION("""COMPUTED_VALUE"""),"Nghiên cứu các yếu tố ảnh hưởng đến trải nghiệm của công chúng tại bảo tàng: Bài học kinh nghiệm từ Trung Quốc và gợi mở cho các bảo tàng ở Hà Nội")</f>
        <v>Nghiên cứu các yếu tố ảnh hưởng đến trải nghiệm của công chúng tại bảo tàng: Bài học kinh nghiệm từ Trung Quốc và gợi mở cho các bảo tàng ở Hà Nội</v>
      </c>
      <c r="D96" s="4" t="str">
        <f>IFERROR(__xludf.DUMMYFUNCTION("""COMPUTED_VALUE"""),"Phạm Hà My; Nguyễn Phương Thảo; Đỗ Như Quỳnh; Nguyễn Khánh Ly")</f>
        <v>Phạm Hà My; Nguyễn Phương Thảo; Đỗ Như Quỳnh; Nguyễn Khánh Ly</v>
      </c>
      <c r="E96" s="4" t="str">
        <f>IFERROR(__xludf.DUMMYFUNCTION("""COMPUTED_VALUE"""),"Trường Đại học Ngoại thương")</f>
        <v>Trường Đại học Ngoại thương</v>
      </c>
      <c r="F96" s="4" t="str">
        <f>IFERROR(__xludf.DUMMYFUNCTION("""COMPUTED_VALUE"""),"VHNT2026-095.png")</f>
        <v>VHNT2026-095.png</v>
      </c>
    </row>
    <row r="97">
      <c r="A97" s="4" t="str">
        <f>IFERROR(__xludf.DUMMYFUNCTION("""COMPUTED_VALUE"""),"VHNT2026-096")</f>
        <v>VHNT2026-096</v>
      </c>
      <c r="B97" s="4" t="str">
        <f>IFERROR(__xludf.DUMMYFUNCTION("""COMPUTED_VALUE"""),"Văn hóa - Nghệ thuật")</f>
        <v>Văn hóa - Nghệ thuật</v>
      </c>
      <c r="C97" s="4" t="str">
        <f>IFERROR(__xludf.DUMMYFUNCTION("""COMPUTED_VALUE"""),"Hình tượng người phụ nữ trong văn hóa đạo Mẫu từ biểu tượng tín ngưỡng đến nguồn lực văn hóa đương đại")</f>
        <v>Hình tượng người phụ nữ trong văn hóa đạo Mẫu từ biểu tượng tín ngưỡng đến nguồn lực văn hóa đương đại</v>
      </c>
      <c r="D97" s="4" t="str">
        <f>IFERROR(__xludf.DUMMYFUNCTION("""COMPUTED_VALUE"""),"Phạm Thị Minh Phương; Nguyễn Lê Tú Anh")</f>
        <v>Phạm Thị Minh Phương; Nguyễn Lê Tú Anh</v>
      </c>
      <c r="E97" s="4" t="str">
        <f>IFERROR(__xludf.DUMMYFUNCTION("""COMPUTED_VALUE"""),"Trường Đại học Thủ đô Hà Nội")</f>
        <v>Trường Đại học Thủ đô Hà Nội</v>
      </c>
      <c r="F97" s="4" t="str">
        <f>IFERROR(__xludf.DUMMYFUNCTION("""COMPUTED_VALUE"""),"VHNT2026-096.png")</f>
        <v>VHNT2026-096.png</v>
      </c>
    </row>
    <row r="98">
      <c r="A98" s="4" t="str">
        <f>IFERROR(__xludf.DUMMYFUNCTION("""COMPUTED_VALUE"""),"VHNT2026-097")</f>
        <v>VHNT2026-097</v>
      </c>
      <c r="B98" s="4" t="str">
        <f>IFERROR(__xludf.DUMMYFUNCTION("""COMPUTED_VALUE"""),"Văn hóa - Nghệ thuật")</f>
        <v>Văn hóa - Nghệ thuật</v>
      </c>
      <c r="C98" s="4" t="str">
        <f>IFERROR(__xludf.DUMMYFUNCTION("""COMPUTED_VALUE"""),"Văn hóa chọn ngày lành tháng tốt của người Việt nhìn từ lý thuyết nghi lễ của Victor Turner")</f>
        <v>Văn hóa chọn ngày lành tháng tốt của người Việt nhìn từ lý thuyết nghi lễ của Victor Turner</v>
      </c>
      <c r="D98" s="4" t="str">
        <f>IFERROR(__xludf.DUMMYFUNCTION("""COMPUTED_VALUE"""),"Trần Thị Minh Anh; Nguyễn Thị An; Nguyễn Hồ Thảo Chi")</f>
        <v>Trần Thị Minh Anh; Nguyễn Thị An; Nguyễn Hồ Thảo Chi</v>
      </c>
      <c r="E98" s="4" t="str">
        <f>IFERROR(__xludf.DUMMYFUNCTION("""COMPUTED_VALUE"""),"Trường Đại học Sư phạm TP. Hồ Chí Minh")</f>
        <v>Trường Đại học Sư phạm TP. Hồ Chí Minh</v>
      </c>
      <c r="F98" s="4" t="str">
        <f>IFERROR(__xludf.DUMMYFUNCTION("""COMPUTED_VALUE"""),"VHNT2026-097.png")</f>
        <v>VHNT2026-097.png</v>
      </c>
    </row>
    <row r="99">
      <c r="A99" s="4" t="str">
        <f>IFERROR(__xludf.DUMMYFUNCTION("""COMPUTED_VALUE"""),"VHNT2026-098")</f>
        <v>VHNT2026-098</v>
      </c>
      <c r="B99" s="4" t="str">
        <f>IFERROR(__xludf.DUMMYFUNCTION("""COMPUTED_VALUE"""),"Văn hóa - Nghệ thuật")</f>
        <v>Văn hóa - Nghệ thuật</v>
      </c>
      <c r="C99" s="4" t="str">
        <f>IFERROR(__xludf.DUMMYFUNCTION("""COMPUTED_VALUE"""),"Chiếm dụng các sản phẩm văn hóa dân tộc thiểu số Việt Nam trên mạng xã hội hiện nay")</f>
        <v>Chiếm dụng các sản phẩm văn hóa dân tộc thiểu số Việt Nam trên mạng xã hội hiện nay</v>
      </c>
      <c r="D99" s="4" t="str">
        <f>IFERROR(__xludf.DUMMYFUNCTION("""COMPUTED_VALUE"""),"Võ Quỳnh Anh")</f>
        <v>Võ Quỳnh Anh</v>
      </c>
      <c r="E99" s="4" t="str">
        <f>IFERROR(__xludf.DUMMYFUNCTION("""COMPUTED_VALUE"""),"Trường Đại học Văn hóa TP. Hồ Chí Minh")</f>
        <v>Trường Đại học Văn hóa TP. Hồ Chí Minh</v>
      </c>
      <c r="F99" s="4" t="str">
        <f>IFERROR(__xludf.DUMMYFUNCTION("""COMPUTED_VALUE"""),"VHNT2026-098.png")</f>
        <v>VHNT2026-098.png</v>
      </c>
    </row>
    <row r="100">
      <c r="A100" s="4" t="str">
        <f>IFERROR(__xludf.DUMMYFUNCTION("""COMPUTED_VALUE"""),"VHNT2026-099")</f>
        <v>VHNT2026-099</v>
      </c>
      <c r="B100" s="4" t="str">
        <f>IFERROR(__xludf.DUMMYFUNCTION("""COMPUTED_VALUE"""),"Văn hóa - Nghệ thuật")</f>
        <v>Văn hóa - Nghệ thuật</v>
      </c>
      <c r="C100" s="4" t="str">
        <f>IFERROR(__xludf.DUMMYFUNCTION("""COMPUTED_VALUE"""),"Xây dựng mô hình nhà sách trải nghiệm văn hóa cho thế hệ Z trên cơ sở khảo sát một số mô hình nhà sách tiêu biểu tại Hà Nội")</f>
        <v>Xây dựng mô hình nhà sách trải nghiệm văn hóa cho thế hệ Z trên cơ sở khảo sát một số mô hình nhà sách tiêu biểu tại Hà Nội</v>
      </c>
      <c r="D100" s="4" t="str">
        <f>IFERROR(__xludf.DUMMYFUNCTION("""COMPUTED_VALUE"""),"Bùi Thanh Trà; Lý Thủy Tiên; Chu Thị Thanh Ngọc; Nguyễn Thị Phương Thanh")</f>
        <v>Bùi Thanh Trà; Lý Thủy Tiên; Chu Thị Thanh Ngọc; Nguyễn Thị Phương Thanh</v>
      </c>
      <c r="E100" s="4" t="str">
        <f>IFERROR(__xludf.DUMMYFUNCTION("""COMPUTED_VALUE"""),"Trường Đại học Văn hóa Hà Nội")</f>
        <v>Trường Đại học Văn hóa Hà Nội</v>
      </c>
      <c r="F100" s="4" t="str">
        <f>IFERROR(__xludf.DUMMYFUNCTION("""COMPUTED_VALUE"""),"VHNT2026-099.png")</f>
        <v>VHNT2026-099.png</v>
      </c>
    </row>
    <row r="101">
      <c r="A101" s="4" t="str">
        <f>IFERROR(__xludf.DUMMYFUNCTION("""COMPUTED_VALUE"""),"VHNT2026-100")</f>
        <v>VHNT2026-100</v>
      </c>
      <c r="B101" s="4" t="str">
        <f>IFERROR(__xludf.DUMMYFUNCTION("""COMPUTED_VALUE"""),"Văn hóa - Nghệ thuật")</f>
        <v>Văn hóa - Nghệ thuật</v>
      </c>
      <c r="C101" s="4" t="str">
        <f>IFERROR(__xludf.DUMMYFUNCTION("""COMPUTED_VALUE"""),"Giải pháp bảo tồn và phát huy giá trị không gian kiến trúc Thành cổ An Thổ trong bối cảnh đương đại Phú Yên")</f>
        <v>Giải pháp bảo tồn và phát huy giá trị không gian kiến trúc Thành cổ An Thổ trong bối cảnh đương đại Phú Yên</v>
      </c>
      <c r="D101" s="4" t="str">
        <f>IFERROR(__xludf.DUMMYFUNCTION("""COMPUTED_VALUE"""),"Hoàng Trọng Vũ; Phan Long Phúc; Huỳnh Văn Thiện; Liêu Minh Tâm; Nguyễn Quang Huy")</f>
        <v>Hoàng Trọng Vũ; Phan Long Phúc; Huỳnh Văn Thiện; Liêu Minh Tâm; Nguyễn Quang Huy</v>
      </c>
      <c r="E101" s="4" t="str">
        <f>IFERROR(__xludf.DUMMYFUNCTION("""COMPUTED_VALUE"""),"Trường Đại học Kiến trúc TP. Hồ Chí Minh")</f>
        <v>Trường Đại học Kiến trúc TP. Hồ Chí Minh</v>
      </c>
      <c r="F101" s="4" t="str">
        <f>IFERROR(__xludf.DUMMYFUNCTION("""COMPUTED_VALUE"""),"VHNT2026-100.png")</f>
        <v>VHNT2026-100.png</v>
      </c>
    </row>
    <row r="102">
      <c r="A102" s="4" t="str">
        <f>IFERROR(__xludf.DUMMYFUNCTION("""COMPUTED_VALUE"""),"VHNT2026-101")</f>
        <v>VHNT2026-101</v>
      </c>
      <c r="B102" s="4" t="str">
        <f>IFERROR(__xludf.DUMMYFUNCTION("""COMPUTED_VALUE"""),"Văn hóa - Nghệ thuật")</f>
        <v>Văn hóa - Nghệ thuật</v>
      </c>
      <c r="C102" s="4" t="str">
        <f>IFERROR(__xludf.DUMMYFUNCTION("""COMPUTED_VALUE"""),"The Impact of Artificial Intelligence on the Application of Research-Based Learning (RBL) in the Ideation Phase of Communication Design Students")</f>
        <v>The Impact of Artificial Intelligence on the Application of Research-Based Learning (RBL) in the Ideation Phase of Communication Design Students</v>
      </c>
      <c r="D102" s="4" t="str">
        <f>IFERROR(__xludf.DUMMYFUNCTION("""COMPUTED_VALUE"""),"Nguyễn Lan Anh; Vũ Thu An")</f>
        <v>Nguyễn Lan Anh; Vũ Thu An</v>
      </c>
      <c r="E102" s="4" t="str">
        <f>IFERROR(__xludf.DUMMYFUNCTION("""COMPUTED_VALUE"""),"Trường Đại học FPT")</f>
        <v>Trường Đại học FPT</v>
      </c>
      <c r="F102" s="4" t="str">
        <f>IFERROR(__xludf.DUMMYFUNCTION("""COMPUTED_VALUE"""),"VHNT2026-101.png")</f>
        <v>VHNT2026-101.png</v>
      </c>
    </row>
    <row r="103">
      <c r="A103" s="4" t="str">
        <f>IFERROR(__xludf.DUMMYFUNCTION("""COMPUTED_VALUE"""),"VHNT2026-102")</f>
        <v>VHNT2026-102</v>
      </c>
      <c r="B103" s="4" t="str">
        <f>IFERROR(__xludf.DUMMYFUNCTION("""COMPUTED_VALUE"""),"Văn hóa - Nghệ thuật")</f>
        <v>Văn hóa - Nghệ thuật</v>
      </c>
      <c r="C103" s="4" t="str">
        <f>IFERROR(__xludf.DUMMYFUNCTION("""COMPUTED_VALUE"""),"DIỄN NGÔN SINH THÁI TRONG THỰC HÀNH TÍN NGƯỠNG THỜ CÁ ÔNG Ở VIỆT NAM")</f>
        <v>DIỄN NGÔN SINH THÁI TRONG THỰC HÀNH TÍN NGƯỠNG THỜ CÁ ÔNG Ở VIỆT NAM</v>
      </c>
      <c r="D103" s="4" t="str">
        <f>IFERROR(__xludf.DUMMYFUNCTION("""COMPUTED_VALUE"""),"Phan Thị Thúc Quỳnh; Nguyễn Nam Anh; Mai Thị Nghi; Trần Bảo Ngọc; Lê Thị Bích Quân")</f>
        <v>Phan Thị Thúc Quỳnh; Nguyễn Nam Anh; Mai Thị Nghi; Trần Bảo Ngọc; Lê Thị Bích Quân</v>
      </c>
      <c r="E103" s="4" t="str">
        <f>IFERROR(__xludf.DUMMYFUNCTION("""COMPUTED_VALUE"""),"Trường Đại học Sài Gòn")</f>
        <v>Trường Đại học Sài Gòn</v>
      </c>
      <c r="F103" s="4" t="str">
        <f>IFERROR(__xludf.DUMMYFUNCTION("""COMPUTED_VALUE"""),"VHNT2026-102.png")</f>
        <v>VHNT2026-102.png</v>
      </c>
    </row>
    <row r="104">
      <c r="A104" s="4" t="str">
        <f>IFERROR(__xludf.DUMMYFUNCTION("""COMPUTED_VALUE"""),"VHNT2026-103")</f>
        <v>VHNT2026-103</v>
      </c>
      <c r="B104" s="4" t="str">
        <f>IFERROR(__xludf.DUMMYFUNCTION("""COMPUTED_VALUE"""),"Văn hóa - Nghệ thuật")</f>
        <v>Văn hóa - Nghệ thuật</v>
      </c>
      <c r="C104" s="4" t="str">
        <f>IFERROR(__xludf.DUMMYFUNCTION("""COMPUTED_VALUE"""),"Hà Nội trong tản văn của Nguyễn Trương Quý")</f>
        <v>Hà Nội trong tản văn của Nguyễn Trương Quý</v>
      </c>
      <c r="D104" s="4" t="str">
        <f>IFERROR(__xludf.DUMMYFUNCTION("""COMPUTED_VALUE"""),"Vũ Đỗ Ngọc An; Hoàng Ngọc Anh; Bùi Thị Ngân; Hoàng Đình Quân")</f>
        <v>Vũ Đỗ Ngọc An; Hoàng Ngọc Anh; Bùi Thị Ngân; Hoàng Đình Quân</v>
      </c>
      <c r="E104" s="4" t="str">
        <f>IFERROR(__xludf.DUMMYFUNCTION("""COMPUTED_VALUE"""),"Trường Đại học Thủ đô Hà Nội")</f>
        <v>Trường Đại học Thủ đô Hà Nội</v>
      </c>
      <c r="F104" s="4" t="str">
        <f>IFERROR(__xludf.DUMMYFUNCTION("""COMPUTED_VALUE"""),"VHNT2026-103.png")</f>
        <v>VHNT2026-103.png</v>
      </c>
    </row>
    <row r="105">
      <c r="A105" s="4" t="str">
        <f>IFERROR(__xludf.DUMMYFUNCTION("""COMPUTED_VALUE"""),"VHNT2026-104")</f>
        <v>VHNT2026-104</v>
      </c>
      <c r="B105" s="4" t="str">
        <f>IFERROR(__xludf.DUMMYFUNCTION("""COMPUTED_VALUE"""),"Văn hóa - Nghệ thuật")</f>
        <v>Văn hóa - Nghệ thuật</v>
      </c>
      <c r="C105" s="4" t="str">
        <f>IFERROR(__xludf.DUMMYFUNCTION("""COMPUTED_VALUE"""),"Biểu đạt Nữ quyền trong âm nhạc đại chúng Việt Nam từ góc nhìn lý thuyết Nữ quyền Hip-Hop (Nghiên cứu trường hợp Album “Ái” của Ca sĩ Tlinh)")</f>
        <v>Biểu đạt Nữ quyền trong âm nhạc đại chúng Việt Nam từ góc nhìn lý thuyết Nữ quyền Hip-Hop (Nghiên cứu trường hợp Album “Ái” của Ca sĩ Tlinh)</v>
      </c>
      <c r="D105" s="4" t="str">
        <f>IFERROR(__xludf.DUMMYFUNCTION("""COMPUTED_VALUE"""),"Trần Kim Ngân; Nguyễn Bích Ngọc")</f>
        <v>Trần Kim Ngân; Nguyễn Bích Ngọc</v>
      </c>
      <c r="E105" s="4" t="str">
        <f>IFERROR(__xludf.DUMMYFUNCTION("""COMPUTED_VALUE"""),"Trường Đại học Ngoại ngữ - Tin học TP. Hồ Chí Minh")</f>
        <v>Trường Đại học Ngoại ngữ - Tin học TP. Hồ Chí Minh</v>
      </c>
      <c r="F105" s="4" t="str">
        <f>IFERROR(__xludf.DUMMYFUNCTION("""COMPUTED_VALUE"""),"VHNT2026-104.png")</f>
        <v>VHNT2026-104.png</v>
      </c>
    </row>
    <row r="106">
      <c r="A106" s="4" t="str">
        <f>IFERROR(__xludf.DUMMYFUNCTION("""COMPUTED_VALUE"""),"VHNT2026-105")</f>
        <v>VHNT2026-105</v>
      </c>
      <c r="B106" s="4" t="str">
        <f>IFERROR(__xludf.DUMMYFUNCTION("""COMPUTED_VALUE"""),"Văn hóa - Nghệ thuật")</f>
        <v>Văn hóa - Nghệ thuật</v>
      </c>
      <c r="C106" s="4" t="str">
        <f>IFERROR(__xludf.DUMMYFUNCTION("""COMPUTED_VALUE"""),"An Le - Research and design of an application for ritual guidance and personal wish management in Vietnamese worship culture.")</f>
        <v>An Le - Research and design of an application for ritual guidance and personal wish management in Vietnamese worship culture.</v>
      </c>
      <c r="D106" s="4" t="str">
        <f>IFERROR(__xludf.DUMMYFUNCTION("""COMPUTED_VALUE"""),"Vũ Linh Nhi; Nguyễn Phạm Hoàng Nam; Võ Văn Khánh")</f>
        <v>Vũ Linh Nhi; Nguyễn Phạm Hoàng Nam; Võ Văn Khánh</v>
      </c>
      <c r="E106" s="4" t="str">
        <f>IFERROR(__xludf.DUMMYFUNCTION("""COMPUTED_VALUE"""),"Trường Đại học FPT")</f>
        <v>Trường Đại học FPT</v>
      </c>
      <c r="F106" s="4" t="str">
        <f>IFERROR(__xludf.DUMMYFUNCTION("""COMPUTED_VALUE"""),"VHNT2026-105.png")</f>
        <v>VHNT2026-105.png</v>
      </c>
    </row>
    <row r="107">
      <c r="A107" s="4" t="str">
        <f>IFERROR(__xludf.DUMMYFUNCTION("""COMPUTED_VALUE"""),"VHNT2026-106")</f>
        <v>VHNT2026-106</v>
      </c>
      <c r="B107" s="4" t="str">
        <f>IFERROR(__xludf.DUMMYFUNCTION("""COMPUTED_VALUE"""),"Văn hóa - Nghệ thuật")</f>
        <v>Văn hóa - Nghệ thuật</v>
      </c>
      <c r="C107" s="4" t="str">
        <f>IFERROR(__xludf.DUMMYFUNCTION("""COMPUTED_VALUE"""),"Student Adaptation in Pre-Design Concept Research within an AI-Influenced Learning Environment: A Study of Graphic Design Students at FPT University HCMC")</f>
        <v>Student Adaptation in Pre-Design Concept Research within an AI-Influenced Learning Environment: A Study of Graphic Design Students at FPT University HCMC</v>
      </c>
      <c r="D107" s="4" t="str">
        <f>IFERROR(__xludf.DUMMYFUNCTION("""COMPUTED_VALUE"""),"Dương Gia Bảo")</f>
        <v>Dương Gia Bảo</v>
      </c>
      <c r="E107" s="4" t="str">
        <f>IFERROR(__xludf.DUMMYFUNCTION("""COMPUTED_VALUE"""),"Trường Đại học FPT")</f>
        <v>Trường Đại học FPT</v>
      </c>
      <c r="F107" s="4" t="str">
        <f>IFERROR(__xludf.DUMMYFUNCTION("""COMPUTED_VALUE"""),"VHNT2026-106.png")</f>
        <v>VHNT2026-106.png</v>
      </c>
    </row>
    <row r="108">
      <c r="A108" s="4" t="str">
        <f>IFERROR(__xludf.DUMMYFUNCTION("""COMPUTED_VALUE"""),"VHNT2026-107")</f>
        <v>VHNT2026-107</v>
      </c>
      <c r="B108" s="4" t="str">
        <f>IFERROR(__xludf.DUMMYFUNCTION("""COMPUTED_VALUE"""),"Văn hóa - Nghệ thuật")</f>
        <v>Văn hóa - Nghệ thuật</v>
      </c>
      <c r="C108" s="4" t="str">
        <f>IFERROR(__xludf.DUMMYFUNCTION("""COMPUTED_VALUE"""),"Nghiên cứu ẩn dụ tri nhận về cảm xúc vui và buồn thể hiện trong ca từ các bài hát K-pop giai đoạn 2012-2020")</f>
        <v>Nghiên cứu ẩn dụ tri nhận về cảm xúc vui và buồn thể hiện trong ca từ các bài hát K-pop giai đoạn 2012-2020</v>
      </c>
      <c r="D108" s="4" t="str">
        <f>IFERROR(__xludf.DUMMYFUNCTION("""COMPUTED_VALUE"""),"Lê Quốc Duy")</f>
        <v>Lê Quốc Duy</v>
      </c>
      <c r="E108" s="4" t="str">
        <f>IFERROR(__xludf.DUMMYFUNCTION("""COMPUTED_VALUE"""),"Trường Đại học Khoa học xã hội và Nhân văn, ĐHQG-HCM")</f>
        <v>Trường Đại học Khoa học xã hội và Nhân văn, ĐHQG-HCM</v>
      </c>
      <c r="F108" s="4" t="str">
        <f>IFERROR(__xludf.DUMMYFUNCTION("""COMPUTED_VALUE"""),"VHNT2026-107.png")</f>
        <v>VHNT2026-107.png</v>
      </c>
    </row>
    <row r="109">
      <c r="A109" s="4" t="str">
        <f>IFERROR(__xludf.DUMMYFUNCTION("""COMPUTED_VALUE"""),"VHNT2026-108")</f>
        <v>VHNT2026-108</v>
      </c>
      <c r="B109" s="4" t="str">
        <f>IFERROR(__xludf.DUMMYFUNCTION("""COMPUTED_VALUE"""),"Văn hóa - Nghệ thuật")</f>
        <v>Văn hóa - Nghệ thuật</v>
      </c>
      <c r="C109" s="4" t="str">
        <f>IFERROR(__xludf.DUMMYFUNCTION("""COMPUTED_VALUE"""),"Vấn đề chiến tranh trong Mưa đỏ từ tiểu thuyết đến phim điện ảnh.")</f>
        <v>Vấn đề chiến tranh trong Mưa đỏ từ tiểu thuyết đến phim điện ảnh.</v>
      </c>
      <c r="D109" s="4" t="str">
        <f>IFERROR(__xludf.DUMMYFUNCTION("""COMPUTED_VALUE"""),"Võ Diệp Thảo Hiếu; Nguyễn Minh Phú; Nguyễn Huỳnh Khả Duyên")</f>
        <v>Võ Diệp Thảo Hiếu; Nguyễn Minh Phú; Nguyễn Huỳnh Khả Duyên</v>
      </c>
      <c r="E109" s="4" t="str">
        <f>IFERROR(__xludf.DUMMYFUNCTION("""COMPUTED_VALUE"""),"Trường Đại học Khoa học xã hội và Nhân văn, ĐHQG-HCM")</f>
        <v>Trường Đại học Khoa học xã hội và Nhân văn, ĐHQG-HCM</v>
      </c>
      <c r="F109" s="4" t="str">
        <f>IFERROR(__xludf.DUMMYFUNCTION("""COMPUTED_VALUE"""),"VHNT2026-108.png")</f>
        <v>VHNT2026-108.png</v>
      </c>
    </row>
    <row r="110">
      <c r="A110" s="4" t="str">
        <f>IFERROR(__xludf.DUMMYFUNCTION("""COMPUTED_VALUE"""),"VHNT2026-109")</f>
        <v>VHNT2026-109</v>
      </c>
      <c r="B110" s="4" t="str">
        <f>IFERROR(__xludf.DUMMYFUNCTION("""COMPUTED_VALUE"""),"Văn hóa - Nghệ thuật")</f>
        <v>Văn hóa - Nghệ thuật</v>
      </c>
      <c r="C110" s="4" t="str">
        <f>IFERROR(__xludf.DUMMYFUNCTION("""COMPUTED_VALUE"""),"Dấu ấn Phật giáo trong kịch bản tuồng nôm ở Sài Gòn - Chợ Lớn cuối thế kỉ XIX - đầu thế kỉ XX: Khảo sát trường hợp Trương Ngáo")</f>
        <v>Dấu ấn Phật giáo trong kịch bản tuồng nôm ở Sài Gòn - Chợ Lớn cuối thế kỉ XIX - đầu thế kỉ XX: Khảo sát trường hợp Trương Ngáo</v>
      </c>
      <c r="D110" s="4" t="str">
        <f>IFERROR(__xludf.DUMMYFUNCTION("""COMPUTED_VALUE"""),"Trần Quang Huy")</f>
        <v>Trần Quang Huy</v>
      </c>
      <c r="E110" s="4" t="str">
        <f>IFERROR(__xludf.DUMMYFUNCTION("""COMPUTED_VALUE"""),"Trường Đại học Sư phạm TP. Hồ Chí Minh")</f>
        <v>Trường Đại học Sư phạm TP. Hồ Chí Minh</v>
      </c>
      <c r="F110" s="4" t="str">
        <f>IFERROR(__xludf.DUMMYFUNCTION("""COMPUTED_VALUE"""),"VHNT2026-109.png")</f>
        <v>VHNT2026-109.png</v>
      </c>
    </row>
    <row r="111">
      <c r="A111" s="4" t="str">
        <f>IFERROR(__xludf.DUMMYFUNCTION("""COMPUTED_VALUE"""),"VHNT2026-110")</f>
        <v>VHNT2026-110</v>
      </c>
      <c r="B111" s="4" t="str">
        <f>IFERROR(__xludf.DUMMYFUNCTION("""COMPUTED_VALUE"""),"Văn hóa - Nghệ thuật")</f>
        <v>Văn hóa - Nghệ thuật</v>
      </c>
      <c r="C111" s="4" t="str">
        <f>IFERROR(__xludf.DUMMYFUNCTION("""COMPUTED_VALUE"""),"Mỹ học khổ tu trong Vô Y Tử thi tập của Chân Giác Tuệ Thầm")</f>
        <v>Mỹ học khổ tu trong Vô Y Tử thi tập của Chân Giác Tuệ Thầm</v>
      </c>
      <c r="D111" s="4" t="str">
        <f>IFERROR(__xludf.DUMMYFUNCTION("""COMPUTED_VALUE"""),"Nguyễn Thị Thanh Tuyền")</f>
        <v>Nguyễn Thị Thanh Tuyền</v>
      </c>
      <c r="E111" s="4" t="str">
        <f>IFERROR(__xludf.DUMMYFUNCTION("""COMPUTED_VALUE"""),"Trường Đại học Sư phạm TP. Hồ Chí Minh")</f>
        <v>Trường Đại học Sư phạm TP. Hồ Chí Minh</v>
      </c>
      <c r="F111" s="4" t="str">
        <f>IFERROR(__xludf.DUMMYFUNCTION("""COMPUTED_VALUE"""),"VHNT2026-110.png")</f>
        <v>VHNT2026-110.png</v>
      </c>
    </row>
    <row r="112">
      <c r="A112" s="4" t="str">
        <f>IFERROR(__xludf.DUMMYFUNCTION("""COMPUTED_VALUE"""),"VHNT2026-111")</f>
        <v>VHNT2026-111</v>
      </c>
      <c r="B112" s="4" t="str">
        <f>IFERROR(__xludf.DUMMYFUNCTION("""COMPUTED_VALUE"""),"Văn hóa - Nghệ thuật")</f>
        <v>Văn hóa - Nghệ thuật</v>
      </c>
      <c r="C112" s="4" t="str">
        <f>IFERROR(__xludf.DUMMYFUNCTION("""COMPUTED_VALUE"""),"Hành trình trở thành phụ nữ qua Lê Vân - Yêu và Sống (Bùi Mai Hạnh - Lê Vân) và Jane Eyre (Charlotte Bronte)")</f>
        <v>Hành trình trở thành phụ nữ qua Lê Vân - Yêu và Sống (Bùi Mai Hạnh - Lê Vân) và Jane Eyre (Charlotte Bronte)</v>
      </c>
      <c r="D112" s="4" t="str">
        <f>IFERROR(__xludf.DUMMYFUNCTION("""COMPUTED_VALUE"""),"Dương Hoàng Bảo Như; Lý Quốc Khánh; Lê Thu Trang")</f>
        <v>Dương Hoàng Bảo Như; Lý Quốc Khánh; Lê Thu Trang</v>
      </c>
      <c r="E112" s="4" t="str">
        <f>IFERROR(__xludf.DUMMYFUNCTION("""COMPUTED_VALUE"""),"Trường Đại học Sư phạm TP. Hồ Chí Minh")</f>
        <v>Trường Đại học Sư phạm TP. Hồ Chí Minh</v>
      </c>
      <c r="F112" s="4" t="str">
        <f>IFERROR(__xludf.DUMMYFUNCTION("""COMPUTED_VALUE"""),"VHNT2026-111.png")</f>
        <v>VHNT2026-111.png</v>
      </c>
    </row>
    <row r="113">
      <c r="A113" s="4" t="str">
        <f>IFERROR(__xludf.DUMMYFUNCTION("""COMPUTED_VALUE"""),"VHNT2026-112")</f>
        <v>VHNT2026-112</v>
      </c>
      <c r="B113" s="4" t="str">
        <f>IFERROR(__xludf.DUMMYFUNCTION("""COMPUTED_VALUE"""),"Văn hóa - Nghệ thuật")</f>
        <v>Văn hóa - Nghệ thuật</v>
      </c>
      <c r="C113" s="4" t="str">
        <f>IFERROR(__xludf.DUMMYFUNCTION("""COMPUTED_VALUE"""),"Căn tính và giới trong một số tự truyện của người chuyển giới nữ Việt Nam")</f>
        <v>Căn tính và giới trong một số tự truyện của người chuyển giới nữ Việt Nam</v>
      </c>
      <c r="D113" s="4" t="str">
        <f>IFERROR(__xludf.DUMMYFUNCTION("""COMPUTED_VALUE"""),"Huỳnh Xuân Quan")</f>
        <v>Huỳnh Xuân Quan</v>
      </c>
      <c r="E113" s="4" t="str">
        <f>IFERROR(__xludf.DUMMYFUNCTION("""COMPUTED_VALUE"""),"Trường Đại học Sư phạm TP. Hồ Chí Minh")</f>
        <v>Trường Đại học Sư phạm TP. Hồ Chí Minh</v>
      </c>
      <c r="F113" s="4" t="str">
        <f>IFERROR(__xludf.DUMMYFUNCTION("""COMPUTED_VALUE"""),"VHNT2026-112.png")</f>
        <v>VHNT2026-112.png</v>
      </c>
    </row>
    <row r="114">
      <c r="A114" s="4" t="str">
        <f>IFERROR(__xludf.DUMMYFUNCTION("""COMPUTED_VALUE"""),"VHNT2026-113")</f>
        <v>VHNT2026-113</v>
      </c>
      <c r="B114" s="4" t="str">
        <f>IFERROR(__xludf.DUMMYFUNCTION("""COMPUTED_VALUE"""),"Văn hóa - Nghệ thuật")</f>
        <v>Văn hóa - Nghệ thuật</v>
      </c>
      <c r="C114" s="4" t="str">
        <f>IFERROR(__xludf.DUMMYFUNCTION("""COMPUTED_VALUE"""),"Truyện ngắn của Bình Nguyên Lộc từ góc nhìn phê bình sinh thái")</f>
        <v>Truyện ngắn của Bình Nguyên Lộc từ góc nhìn phê bình sinh thái</v>
      </c>
      <c r="D114" s="4" t="str">
        <f>IFERROR(__xludf.DUMMYFUNCTION("""COMPUTED_VALUE"""),"Nguyễn Thị Quỳnh Hương")</f>
        <v>Nguyễn Thị Quỳnh Hương</v>
      </c>
      <c r="E114" s="4" t="str">
        <f>IFERROR(__xludf.DUMMYFUNCTION("""COMPUTED_VALUE"""),"Trường Đại học Sư phạm TP. Hồ Chí Minh")</f>
        <v>Trường Đại học Sư phạm TP. Hồ Chí Minh</v>
      </c>
      <c r="F114" s="4" t="str">
        <f>IFERROR(__xludf.DUMMYFUNCTION("""COMPUTED_VALUE"""),"VHNT2026-113.png")</f>
        <v>VHNT2026-113.png</v>
      </c>
    </row>
    <row r="115">
      <c r="A115" s="4" t="str">
        <f>IFERROR(__xludf.DUMMYFUNCTION("""COMPUTED_VALUE"""),"VHNT2026-114")</f>
        <v>VHNT2026-114</v>
      </c>
      <c r="B115" s="4" t="str">
        <f>IFERROR(__xludf.DUMMYFUNCTION("""COMPUTED_VALUE"""),"Văn hóa - Nghệ thuật")</f>
        <v>Văn hóa - Nghệ thuật</v>
      </c>
      <c r="C115" s="4" t="str">
        <f>IFERROR(__xludf.DUMMYFUNCTION("""COMPUTED_VALUE"""),"Văn xuôi Đoàn Giỏi từ góc nhìn phê bình sinh thái")</f>
        <v>Văn xuôi Đoàn Giỏi từ góc nhìn phê bình sinh thái</v>
      </c>
      <c r="D115" s="4" t="str">
        <f>IFERROR(__xludf.DUMMYFUNCTION("""COMPUTED_VALUE"""),"Chung Ngọc Bảo Nguyên; Vũ Huyền Khanh")</f>
        <v>Chung Ngọc Bảo Nguyên; Vũ Huyền Khanh</v>
      </c>
      <c r="E115" s="4" t="str">
        <f>IFERROR(__xludf.DUMMYFUNCTION("""COMPUTED_VALUE"""),"Trường Đại học Sư phạm TP. Hồ Chí Minh")</f>
        <v>Trường Đại học Sư phạm TP. Hồ Chí Minh</v>
      </c>
      <c r="F115" s="4" t="str">
        <f>IFERROR(__xludf.DUMMYFUNCTION("""COMPUTED_VALUE"""),"VHNT2026-114.png")</f>
        <v>VHNT2026-114.png</v>
      </c>
    </row>
    <row r="116">
      <c r="A116" s="4" t="str">
        <f>IFERROR(__xludf.DUMMYFUNCTION("""COMPUTED_VALUE"""),"VHNT2026-115")</f>
        <v>VHNT2026-115</v>
      </c>
      <c r="B116" s="4" t="str">
        <f>IFERROR(__xludf.DUMMYFUNCTION("""COMPUTED_VALUE"""),"Văn hóa - Nghệ thuật")</f>
        <v>Văn hóa - Nghệ thuật</v>
      </c>
      <c r="C116" s="4" t="str">
        <f>IFERROR(__xludf.DUMMYFUNCTION("""COMPUTED_VALUE"""),"Đối chiếu từ ngữ chỉ màu sắc trong thơ ca của S. Esenin về thiên nhiên (giai đoạn trước năm 1917) giữa nguyên tác và bản dịch tiếng Việt")</f>
        <v>Đối chiếu từ ngữ chỉ màu sắc trong thơ ca của S. Esenin về thiên nhiên (giai đoạn trước năm 1917) giữa nguyên tác và bản dịch tiếng Việt</v>
      </c>
      <c r="D116" s="4" t="str">
        <f>IFERROR(__xludf.DUMMYFUNCTION("""COMPUTED_VALUE"""),"Phạm Thị Quỳnh Thư; Ngô Mỹ Kim An; Trương Hoàng Quân; Cao Đức Trí")</f>
        <v>Phạm Thị Quỳnh Thư; Ngô Mỹ Kim An; Trương Hoàng Quân; Cao Đức Trí</v>
      </c>
      <c r="E116" s="4" t="str">
        <f>IFERROR(__xludf.DUMMYFUNCTION("""COMPUTED_VALUE"""),"Trường Đại học Sư phạm TP. Hồ Chí Minh")</f>
        <v>Trường Đại học Sư phạm TP. Hồ Chí Minh</v>
      </c>
      <c r="F116" s="4" t="str">
        <f>IFERROR(__xludf.DUMMYFUNCTION("""COMPUTED_VALUE"""),"VHNT2026-115.png")</f>
        <v>VHNT2026-115.png</v>
      </c>
    </row>
    <row r="117">
      <c r="A117" s="4" t="str">
        <f>IFERROR(__xludf.DUMMYFUNCTION("""COMPUTED_VALUE"""),"VHNT2026-116")</f>
        <v>VHNT2026-116</v>
      </c>
      <c r="B117" s="4" t="str">
        <f>IFERROR(__xludf.DUMMYFUNCTION("""COMPUTED_VALUE"""),"Văn hóa - Nghệ thuật")</f>
        <v>Văn hóa - Nghệ thuật</v>
      </c>
      <c r="C117" s="4" t="str">
        <f>IFERROR(__xludf.DUMMYFUNCTION("""COMPUTED_VALUE"""),"Dự án Podcast “Việt Nam mến yêu” - Hành trình lan tỏa văn hóa và lịch sử Việt Nam")</f>
        <v>Dự án Podcast “Việt Nam mến yêu” - Hành trình lan tỏa văn hóa và lịch sử Việt Nam</v>
      </c>
      <c r="D117" s="4" t="str">
        <f>IFERROR(__xludf.DUMMYFUNCTION("""COMPUTED_VALUE"""),"Thịnh Ngọc Mai; Nguyễn Huệ Lâm")</f>
        <v>Thịnh Ngọc Mai; Nguyễn Huệ Lâm</v>
      </c>
      <c r="E117" s="4" t="str">
        <f>IFERROR(__xludf.DUMMYFUNCTION("""COMPUTED_VALUE"""),"Trường Đại học Ngoại ngữ, ĐHQG Hà Nội")</f>
        <v>Trường Đại học Ngoại ngữ, ĐHQG Hà Nội</v>
      </c>
      <c r="F117" s="4" t="str">
        <f>IFERROR(__xludf.DUMMYFUNCTION("""COMPUTED_VALUE"""),"VHNT2026-116.png")</f>
        <v>VHNT2026-116.png</v>
      </c>
    </row>
    <row r="118">
      <c r="A118" s="4" t="str">
        <f>IFERROR(__xludf.DUMMYFUNCTION("""COMPUTED_VALUE"""),"VHNT2026-117")</f>
        <v>VHNT2026-117</v>
      </c>
      <c r="B118" s="4" t="str">
        <f>IFERROR(__xludf.DUMMYFUNCTION("""COMPUTED_VALUE"""),"Văn hóa - Nghệ thuật")</f>
        <v>Văn hóa - Nghệ thuật</v>
      </c>
      <c r="C118" s="4" t="str">
        <f>IFERROR(__xludf.DUMMYFUNCTION("""COMPUTED_VALUE"""),"Bảo tồn và phát huy bản sắc văn hóa Việt Nam được thể hiện qua “Tổng tập thác bản văn khắc Hán Nôm (Tập 19)")</f>
        <v>Bảo tồn và phát huy bản sắc văn hóa Việt Nam được thể hiện qua “Tổng tập thác bản văn khắc Hán Nôm (Tập 19)</v>
      </c>
      <c r="D118" s="4" t="str">
        <f>IFERROR(__xludf.DUMMYFUNCTION("""COMPUTED_VALUE"""),"Thái Bình Nguyên")</f>
        <v>Thái Bình Nguyên</v>
      </c>
      <c r="E118" s="4" t="str">
        <f>IFERROR(__xludf.DUMMYFUNCTION("""COMPUTED_VALUE"""),"Trường Đại học Văn hóa TP. Hồ Chí Minh")</f>
        <v>Trường Đại học Văn hóa TP. Hồ Chí Minh</v>
      </c>
      <c r="F118" s="4" t="str">
        <f>IFERROR(__xludf.DUMMYFUNCTION("""COMPUTED_VALUE"""),"VHNT2026-117.png")</f>
        <v>VHNT2026-117.png</v>
      </c>
    </row>
    <row r="119">
      <c r="A119" s="4" t="str">
        <f>IFERROR(__xludf.DUMMYFUNCTION("""COMPUTED_VALUE"""),"VHNT2026-118")</f>
        <v>VHNT2026-118</v>
      </c>
      <c r="B119" s="4" t="str">
        <f>IFERROR(__xludf.DUMMYFUNCTION("""COMPUTED_VALUE"""),"Văn hóa - Nghệ thuật")</f>
        <v>Văn hóa - Nghệ thuật</v>
      </c>
      <c r="C119" s="4" t="str">
        <f>IFERROR(__xludf.DUMMYFUNCTION("""COMPUTED_VALUE"""),"ỨNG DỤNG TRÒ CHƠI THẺ BÀI TRONG TRUYỀN TẢI VÀ TIẾP NHẬN VĂN HÓA VIỆT NAM CHO DU KHÁCH QUỐC TẾ - TRƯỜNG HỢP DỰ ÁN VIETVIBE")</f>
        <v>ỨNG DỤNG TRÒ CHƠI THẺ BÀI TRONG TRUYỀN TẢI VÀ TIẾP NHẬN VĂN HÓA VIỆT NAM CHO DU KHÁCH QUỐC TẾ - TRƯỜNG HỢP DỰ ÁN VIETVIBE</v>
      </c>
      <c r="D119" s="4" t="str">
        <f>IFERROR(__xludf.DUMMYFUNCTION("""COMPUTED_VALUE"""),"Nguyễn Vũ Quỳnh Anh; Lê Thị Ngà; Nguyễn Thị Minh Ánh; Đào Minh Nguyệt; Đào Thị Thu Phương")</f>
        <v>Nguyễn Vũ Quỳnh Anh; Lê Thị Ngà; Nguyễn Thị Minh Ánh; Đào Minh Nguyệt; Đào Thị Thu Phương</v>
      </c>
      <c r="E119" s="4" t="str">
        <f>IFERROR(__xludf.DUMMYFUNCTION("""COMPUTED_VALUE"""),"Trường Đại học Ngoại ngữ, ĐHQG Hà Nội")</f>
        <v>Trường Đại học Ngoại ngữ, ĐHQG Hà Nội</v>
      </c>
      <c r="F119" s="4" t="str">
        <f>IFERROR(__xludf.DUMMYFUNCTION("""COMPUTED_VALUE"""),"VHNT2026-118.png")</f>
        <v>VHNT2026-118.png</v>
      </c>
    </row>
    <row r="120">
      <c r="A120" s="4" t="str">
        <f>IFERROR(__xludf.DUMMYFUNCTION("""COMPUTED_VALUE"""),"VHNT2026-119")</f>
        <v>VHNT2026-119</v>
      </c>
      <c r="B120" s="4" t="str">
        <f>IFERROR(__xludf.DUMMYFUNCTION("""COMPUTED_VALUE"""),"Văn hóa - Nghệ thuật")</f>
        <v>Văn hóa - Nghệ thuật</v>
      </c>
      <c r="C120" s="4" t="str">
        <f>IFERROR(__xludf.DUMMYFUNCTION("""COMPUTED_VALUE"""),"Thiết kế và triển khai hệ thống boardgame tích hợp AI – AR nhằm nâng cao nhận thức và lan tỏa giá trị văn hóa dân tộc cho học sinh THPT tại phường Ngũ Hành Sơn, thành phố Đà Nẵng")</f>
        <v>Thiết kế và triển khai hệ thống boardgame tích hợp AI – AR nhằm nâng cao nhận thức và lan tỏa giá trị văn hóa dân tộc cho học sinh THPT tại phường Ngũ Hành Sơn, thành phố Đà Nẵng</v>
      </c>
      <c r="D120" s="4" t="str">
        <f>IFERROR(__xludf.DUMMYFUNCTION("""COMPUTED_VALUE"""),"Nguyễn Ngọc Gia Bảo; Lê Thị Phương Chi; Nguyễn Ngọc Minh Châu;Trần Hà Linh; Trương Nguyên Khang")</f>
        <v>Nguyễn Ngọc Gia Bảo; Lê Thị Phương Chi; Nguyễn Ngọc Minh Châu;Trần Hà Linh; Trương Nguyên Khang</v>
      </c>
      <c r="E120" s="4" t="str">
        <f>IFERROR(__xludf.DUMMYFUNCTION("""COMPUTED_VALUE"""),"Đại học Kinh tế TP. Hồ Chí Minh")</f>
        <v>Đại học Kinh tế TP. Hồ Chí Minh</v>
      </c>
      <c r="F120" s="4" t="str">
        <f>IFERROR(__xludf.DUMMYFUNCTION("""COMPUTED_VALUE"""),"VHNT2026-119.png")</f>
        <v>VHNT2026-119.png</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86"/>
    <col customWidth="1" min="2" max="2" width="19.29"/>
    <col customWidth="1" min="3" max="3" width="260.29"/>
    <col customWidth="1" min="4" max="4" width="105.43"/>
    <col customWidth="1" min="5" max="5" width="74.57"/>
    <col customWidth="1" min="6" max="6" width="18.86"/>
  </cols>
  <sheetData>
    <row r="1">
      <c r="A1" s="1" t="s">
        <v>0</v>
      </c>
      <c r="B1" s="1" t="s">
        <v>1</v>
      </c>
      <c r="C1" s="1" t="s">
        <v>2</v>
      </c>
      <c r="D1" s="1" t="s">
        <v>3</v>
      </c>
      <c r="E1" s="1" t="s">
        <v>4</v>
      </c>
      <c r="F1" s="1" t="s">
        <v>5</v>
      </c>
    </row>
    <row r="2">
      <c r="A2" s="4" t="str">
        <f>IFERROR(__xludf.DUMMYFUNCTION("FILTER('Danh sach'!A2:F2184, 'Danh sach'!B2:B2184=""Công nghệ thông tin"")"),"CNTT2026-001")</f>
        <v>CNTT2026-001</v>
      </c>
      <c r="B2" s="4" t="str">
        <f>IFERROR(__xludf.DUMMYFUNCTION("""COMPUTED_VALUE"""),"Công nghệ thông tin")</f>
        <v>Công nghệ thông tin</v>
      </c>
      <c r="C2" s="4" t="str">
        <f>IFERROR(__xludf.DUMMYFUNCTION("""COMPUTED_VALUE"""),"TÌM HIỂU KHẢ NĂNG CỦA TRÍ TUỆ NHÂN TẠO, KHẢ NĂNG VƯỢT QUA CON NGƯỜI VÀ TÁC ĐỘNG ĐẾN SINH VIÊN NGÀNH CÔNG NGHỆ THÔNG TIN")</f>
        <v>TÌM HIỂU KHẢ NĂNG CỦA TRÍ TUỆ NHÂN TẠO, KHẢ NĂNG VƯỢT QUA CON NGƯỜI VÀ TÁC ĐỘNG ĐẾN SINH VIÊN NGÀNH CÔNG NGHỆ THÔNG TIN</v>
      </c>
      <c r="D2" s="4" t="str">
        <f>IFERROR(__xludf.DUMMYFUNCTION("""COMPUTED_VALUE"""),"Võ Duy Bình")</f>
        <v>Võ Duy Bình</v>
      </c>
      <c r="E2" s="4" t="str">
        <f>IFERROR(__xludf.DUMMYFUNCTION("""COMPUTED_VALUE"""),"Trường Đại học Hoa Sen")</f>
        <v>Trường Đại học Hoa Sen</v>
      </c>
      <c r="F2" s="4" t="str">
        <f>IFERROR(__xludf.DUMMYFUNCTION("""COMPUTED_VALUE"""),"CNTT2026-001.png")</f>
        <v>CNTT2026-001.png</v>
      </c>
    </row>
    <row r="3">
      <c r="A3" s="4" t="str">
        <f>IFERROR(__xludf.DUMMYFUNCTION("""COMPUTED_VALUE"""),"CNTT2026-002")</f>
        <v>CNTT2026-002</v>
      </c>
      <c r="B3" s="4" t="str">
        <f>IFERROR(__xludf.DUMMYFUNCTION("""COMPUTED_VALUE"""),"Công nghệ thông tin")</f>
        <v>Công nghệ thông tin</v>
      </c>
      <c r="C3" s="4" t="str">
        <f>IFERROR(__xludf.DUMMYFUNCTION("""COMPUTED_VALUE"""),"EAAGRI: NỀN TẢNG NÔNG NGHIỆP THÔNG MINH TÍCH HỢP THỊ GIÁC MÁY TÍNH VÀ RAG CHO KHUYẾN NGHỊ PHÒNG TRỊ BỆNH SẦU RIÊNG TUÂN THỦ VIETGAP")</f>
        <v>EAAGRI: NỀN TẢNG NÔNG NGHIỆP THÔNG MINH TÍCH HỢP THỊ GIÁC MÁY TÍNH VÀ RAG CHO KHUYẾN NGHỊ PHÒNG TRỊ BỆNH SẦU RIÊNG TUÂN THỦ VIETGAP</v>
      </c>
      <c r="D3" s="4" t="str">
        <f>IFERROR(__xludf.DUMMYFUNCTION("""COMPUTED_VALUE"""),"Phan Đăng Huy; Trương Trần Quang Huy; Đặng Văn Chung; Nguyễn Anh Giảng")</f>
        <v>Phan Đăng Huy; Trương Trần Quang Huy; Đặng Văn Chung; Nguyễn Anh Giảng</v>
      </c>
      <c r="E3" s="4" t="str">
        <f>IFERROR(__xludf.DUMMYFUNCTION("""COMPUTED_VALUE"""),"Trường Đại học Nguyễn Tất Thành")</f>
        <v>Trường Đại học Nguyễn Tất Thành</v>
      </c>
      <c r="F3" s="4" t="str">
        <f>IFERROR(__xludf.DUMMYFUNCTION("""COMPUTED_VALUE"""),"CNTT2026-002.png")</f>
        <v>CNTT2026-002.png</v>
      </c>
    </row>
    <row r="4">
      <c r="A4" s="4" t="str">
        <f>IFERROR(__xludf.DUMMYFUNCTION("""COMPUTED_VALUE"""),"CNTT2026-003")</f>
        <v>CNTT2026-003</v>
      </c>
      <c r="B4" s="4" t="str">
        <f>IFERROR(__xludf.DUMMYFUNCTION("""COMPUTED_VALUE"""),"Công nghệ thông tin")</f>
        <v>Công nghệ thông tin</v>
      </c>
      <c r="C4" s="4" t="str">
        <f>IFERROR(__xludf.DUMMYFUNCTION("""COMPUTED_VALUE"""),"Nền tảng quản lý đa trung tâm ngoại ngữ và hỗ trợ luyện thi VSTEP tích hợp trí tuệ nhân tạo")</f>
        <v>Nền tảng quản lý đa trung tâm ngoại ngữ và hỗ trợ luyện thi VSTEP tích hợp trí tuệ nhân tạo</v>
      </c>
      <c r="D4" s="4" t="str">
        <f>IFERROR(__xludf.DUMMYFUNCTION("""COMPUTED_VALUE"""),"Trần Thị Mỹ Hạnh; Nguyễn Ngọc Cẩm Tiên; Huỳnh Văn Quân; Nguyễn Hoàng Khánh Duy; Huỳnh Nhật Minh Anh")</f>
        <v>Trần Thị Mỹ Hạnh; Nguyễn Ngọc Cẩm Tiên; Huỳnh Văn Quân; Nguyễn Hoàng Khánh Duy; Huỳnh Nhật Minh Anh</v>
      </c>
      <c r="E4" s="4" t="str">
        <f>IFERROR(__xludf.DUMMYFUNCTION("""COMPUTED_VALUE"""),"Trường Đại học Công nghiệp TP. Hồ Chí Minh")</f>
        <v>Trường Đại học Công nghiệp TP. Hồ Chí Minh</v>
      </c>
      <c r="F4" s="4" t="str">
        <f>IFERROR(__xludf.DUMMYFUNCTION("""COMPUTED_VALUE"""),"CNTT2026-003.png")</f>
        <v>CNTT2026-003.png</v>
      </c>
    </row>
    <row r="5">
      <c r="A5" s="4" t="str">
        <f>IFERROR(__xludf.DUMMYFUNCTION("""COMPUTED_VALUE"""),"CNTT2026-004")</f>
        <v>CNTT2026-004</v>
      </c>
      <c r="B5" s="4" t="str">
        <f>IFERROR(__xludf.DUMMYFUNCTION("""COMPUTED_VALUE"""),"Công nghệ thông tin")</f>
        <v>Công nghệ thông tin</v>
      </c>
      <c r="C5" s="4" t="str">
        <f>IFERROR(__xludf.DUMMYFUNCTION("""COMPUTED_VALUE"""),"HEALTHSENSE: XÂY DỰNG HỆ THỐNG HỖ TRỢ TẦM SOÁT VÀ CẢNH BÁO SỚM RUNG NHĨ KẾT HỢP AI VÀ THIẾT BỊ IOT")</f>
        <v>HEALTHSENSE: XÂY DỰNG HỆ THỐNG HỖ TRỢ TẦM SOÁT VÀ CẢNH BÁO SỚM RUNG NHĨ KẾT HỢP AI VÀ THIẾT BỊ IOT</v>
      </c>
      <c r="D5" s="4" t="str">
        <f>IFERROR(__xludf.DUMMYFUNCTION("""COMPUTED_VALUE"""),"Huỳnh Đức Phú; Lê Trần Gia Huy; Đặng Nguyễn Tiến Phát; Phạm Ngọc Hùng")</f>
        <v>Huỳnh Đức Phú; Lê Trần Gia Huy; Đặng Nguyễn Tiến Phát; Phạm Ngọc Hùng</v>
      </c>
      <c r="E5" s="4" t="str">
        <f>IFERROR(__xludf.DUMMYFUNCTION("""COMPUTED_VALUE"""),"Trường Đại học Công nghiệp TP. Hồ Chí Minh")</f>
        <v>Trường Đại học Công nghiệp TP. Hồ Chí Minh</v>
      </c>
      <c r="F5" s="4" t="str">
        <f>IFERROR(__xludf.DUMMYFUNCTION("""COMPUTED_VALUE"""),"CNTT2026-004.png")</f>
        <v>CNTT2026-004.png</v>
      </c>
    </row>
    <row r="6">
      <c r="A6" s="4" t="str">
        <f>IFERROR(__xludf.DUMMYFUNCTION("""COMPUTED_VALUE"""),"CNTT2026-005")</f>
        <v>CNTT2026-005</v>
      </c>
      <c r="B6" s="4" t="str">
        <f>IFERROR(__xludf.DUMMYFUNCTION("""COMPUTED_VALUE"""),"Công nghệ thông tin")</f>
        <v>Công nghệ thông tin</v>
      </c>
      <c r="C6" s="4" t="str">
        <f>IFERROR(__xludf.DUMMYFUNCTION("""COMPUTED_VALUE"""),"Nghiên cứu và xây dựng hệ thống Website tìm đồng đội")</f>
        <v>Nghiên cứu và xây dựng hệ thống Website tìm đồng đội</v>
      </c>
      <c r="D6" s="4" t="str">
        <f>IFERROR(__xludf.DUMMYFUNCTION("""COMPUTED_VALUE"""),"Lô Quang Trung")</f>
        <v>Lô Quang Trung</v>
      </c>
      <c r="E6" s="4" t="str">
        <f>IFERROR(__xludf.DUMMYFUNCTION("""COMPUTED_VALUE"""),"Trường Đại học Nghệ An")</f>
        <v>Trường Đại học Nghệ An</v>
      </c>
      <c r="F6" s="4" t="str">
        <f>IFERROR(__xludf.DUMMYFUNCTION("""COMPUTED_VALUE"""),"CNTT2026-005.png")</f>
        <v>CNTT2026-005.png</v>
      </c>
    </row>
    <row r="7">
      <c r="A7" s="4" t="str">
        <f>IFERROR(__xludf.DUMMYFUNCTION("""COMPUTED_VALUE"""),"CNTT2026-006")</f>
        <v>CNTT2026-006</v>
      </c>
      <c r="B7" s="4" t="str">
        <f>IFERROR(__xludf.DUMMYFUNCTION("""COMPUTED_VALUE"""),"Công nghệ thông tin")</f>
        <v>Công nghệ thông tin</v>
      </c>
      <c r="C7" s="4" t="str">
        <f>IFERROR(__xludf.DUMMYFUNCTION("""COMPUTED_VALUE"""),"Nghiên cứu và xây dựng hệ thồng website kết nối cho thuê phòng trọ tích hợp chatbot AI")</f>
        <v>Nghiên cứu và xây dựng hệ thồng website kết nối cho thuê phòng trọ tích hợp chatbot AI</v>
      </c>
      <c r="D7" s="4" t="str">
        <f>IFERROR(__xludf.DUMMYFUNCTION("""COMPUTED_VALUE"""),"Nguyễn Đại Thắng; Nguyễn Bá Bổng; Cao Thị Quỳnh Như")</f>
        <v>Nguyễn Đại Thắng; Nguyễn Bá Bổng; Cao Thị Quỳnh Như</v>
      </c>
      <c r="E7" s="4" t="str">
        <f>IFERROR(__xludf.DUMMYFUNCTION("""COMPUTED_VALUE"""),"Trường Đại học Nghệ An")</f>
        <v>Trường Đại học Nghệ An</v>
      </c>
      <c r="F7" s="4" t="str">
        <f>IFERROR(__xludf.DUMMYFUNCTION("""COMPUTED_VALUE"""),"CNTT2026-006.png")</f>
        <v>CNTT2026-006.png</v>
      </c>
    </row>
    <row r="8">
      <c r="A8" s="4" t="str">
        <f>IFERROR(__xludf.DUMMYFUNCTION("""COMPUTED_VALUE"""),"CNTT2026-007")</f>
        <v>CNTT2026-007</v>
      </c>
      <c r="B8" s="4" t="str">
        <f>IFERROR(__xludf.DUMMYFUNCTION("""COMPUTED_VALUE"""),"Công nghệ thông tin")</f>
        <v>Công nghệ thông tin</v>
      </c>
      <c r="C8" s="4" t="str">
        <f>IFERROR(__xludf.DUMMYFUNCTION("""COMPUTED_VALUE"""),"Ứng dụng kiến trúc kết hợp RAG và Vision AI trong hỗ trợ phân tích và tư vấn y tế")</f>
        <v>Ứng dụng kiến trúc kết hợp RAG và Vision AI trong hỗ trợ phân tích và tư vấn y tế</v>
      </c>
      <c r="D8" s="4" t="str">
        <f>IFERROR(__xludf.DUMMYFUNCTION("""COMPUTED_VALUE"""),"Hoàng Anh Duy")</f>
        <v>Hoàng Anh Duy</v>
      </c>
      <c r="E8" s="4" t="str">
        <f>IFERROR(__xludf.DUMMYFUNCTION("""COMPUTED_VALUE"""),"Trường Đại học Mở TP. Hồ Chí Minh")</f>
        <v>Trường Đại học Mở TP. Hồ Chí Minh</v>
      </c>
      <c r="F8" s="4" t="str">
        <f>IFERROR(__xludf.DUMMYFUNCTION("""COMPUTED_VALUE"""),"CNTT2026-007.png")</f>
        <v>CNTT2026-007.png</v>
      </c>
    </row>
    <row r="9">
      <c r="A9" s="4" t="str">
        <f>IFERROR(__xludf.DUMMYFUNCTION("""COMPUTED_VALUE"""),"CNTT2026-008")</f>
        <v>CNTT2026-008</v>
      </c>
      <c r="B9" s="4" t="str">
        <f>IFERROR(__xludf.DUMMYFUNCTION("""COMPUTED_VALUE"""),"Công nghệ thông tin")</f>
        <v>Công nghệ thông tin</v>
      </c>
      <c r="C9" s="4" t="str">
        <f>IFERROR(__xludf.DUMMYFUNCTION("""COMPUTED_VALUE"""),"Xây dựng ứng dụng học đa ngôn ngữ cá nhân hóa lộ trình sử dụng trí tuệ nhân tạo và trò chơi hóa (Gamification) nhằm thúc đẩy động lực học tập của sinh viên")</f>
        <v>Xây dựng ứng dụng học đa ngôn ngữ cá nhân hóa lộ trình sử dụng trí tuệ nhân tạo và trò chơi hóa (Gamification) nhằm thúc đẩy động lực học tập của sinh viên</v>
      </c>
      <c r="D9" s="4" t="str">
        <f>IFERROR(__xludf.DUMMYFUNCTION("""COMPUTED_VALUE"""),"Nguyễn Trọng An; Phan Lê Duy")</f>
        <v>Nguyễn Trọng An; Phan Lê Duy</v>
      </c>
      <c r="E9" s="4" t="str">
        <f>IFERROR(__xludf.DUMMYFUNCTION("""COMPUTED_VALUE"""),"Trường Đại học Công nghệ Đồng Nai")</f>
        <v>Trường Đại học Công nghệ Đồng Nai</v>
      </c>
      <c r="F9" s="4" t="str">
        <f>IFERROR(__xludf.DUMMYFUNCTION("""COMPUTED_VALUE"""),"CNTT2026-008.png")</f>
        <v>CNTT2026-008.png</v>
      </c>
    </row>
    <row r="10">
      <c r="A10" s="4" t="str">
        <f>IFERROR(__xludf.DUMMYFUNCTION("""COMPUTED_VALUE"""),"CNTT2026-009")</f>
        <v>CNTT2026-009</v>
      </c>
      <c r="B10" s="4" t="str">
        <f>IFERROR(__xludf.DUMMYFUNCTION("""COMPUTED_VALUE"""),"Công nghệ thông tin")</f>
        <v>Công nghệ thông tin</v>
      </c>
      <c r="C10" s="4" t="str">
        <f>IFERROR(__xludf.DUMMYFUNCTION("""COMPUTED_VALUE"""),"Xây dựng ứng dụng hồ sơ điện tử và cá nhân hóa lộ trình học tập dành cho sinh viên đại học")</f>
        <v>Xây dựng ứng dụng hồ sơ điện tử và cá nhân hóa lộ trình học tập dành cho sinh viên đại học</v>
      </c>
      <c r="D10" s="4" t="str">
        <f>IFERROR(__xludf.DUMMYFUNCTION("""COMPUTED_VALUE"""),"Trương Trần Thanh Phương; Võ Thành Trung; Võ Ngọc Duy")</f>
        <v>Trương Trần Thanh Phương; Võ Thành Trung; Võ Ngọc Duy</v>
      </c>
      <c r="E10" s="4" t="str">
        <f>IFERROR(__xludf.DUMMYFUNCTION("""COMPUTED_VALUE"""),"Trường Đại học Văn Lang")</f>
        <v>Trường Đại học Văn Lang</v>
      </c>
      <c r="F10" s="4" t="str">
        <f>IFERROR(__xludf.DUMMYFUNCTION("""COMPUTED_VALUE"""),"CNTT2026-009.png")</f>
        <v>CNTT2026-009.png</v>
      </c>
    </row>
    <row r="11">
      <c r="A11" s="4" t="str">
        <f>IFERROR(__xludf.DUMMYFUNCTION("""COMPUTED_VALUE"""),"CNTT2026-010")</f>
        <v>CNTT2026-010</v>
      </c>
      <c r="B11" s="4" t="str">
        <f>IFERROR(__xludf.DUMMYFUNCTION("""COMPUTED_VALUE"""),"Công nghệ thông tin")</f>
        <v>Công nghệ thông tin</v>
      </c>
      <c r="C11" s="4" t="str">
        <f>IFERROR(__xludf.DUMMYFUNCTION("""COMPUTED_VALUE"""),"Thiết kế và xây dựng hệ thống thương mại điện tử đa ngành, tùy biến H&amp;N Odyssey")</f>
        <v>Thiết kế và xây dựng hệ thống thương mại điện tử đa ngành, tùy biến H&amp;N Odyssey</v>
      </c>
      <c r="D11" s="4" t="str">
        <f>IFERROR(__xludf.DUMMYFUNCTION("""COMPUTED_VALUE"""),"Ngô Quốc Nam; Vũ Hoàng Phi Hùng")</f>
        <v>Ngô Quốc Nam; Vũ Hoàng Phi Hùng</v>
      </c>
      <c r="E11" s="4" t="str">
        <f>IFERROR(__xludf.DUMMYFUNCTION("""COMPUTED_VALUE"""),"Trường Đại học Văn Lang")</f>
        <v>Trường Đại học Văn Lang</v>
      </c>
      <c r="F11" s="4" t="str">
        <f>IFERROR(__xludf.DUMMYFUNCTION("""COMPUTED_VALUE"""),"CNTT2026-010.png")</f>
        <v>CNTT2026-010.png</v>
      </c>
    </row>
    <row r="12">
      <c r="A12" s="4" t="str">
        <f>IFERROR(__xludf.DUMMYFUNCTION("""COMPUTED_VALUE"""),"CNTT2026-011")</f>
        <v>CNTT2026-011</v>
      </c>
      <c r="B12" s="4" t="str">
        <f>IFERROR(__xludf.DUMMYFUNCTION("""COMPUTED_VALUE"""),"Công nghệ thông tin")</f>
        <v>Công nghệ thông tin</v>
      </c>
      <c r="C12" s="4" t="str">
        <f>IFERROR(__xludf.DUMMYFUNCTION("""COMPUTED_VALUE"""),"Xây dựng kênh thông tin nhà trọ cho khu vực Học viện Nông nghiệp Việt Nam")</f>
        <v>Xây dựng kênh thông tin nhà trọ cho khu vực Học viện Nông nghiệp Việt Nam</v>
      </c>
      <c r="D12" s="4" t="str">
        <f>IFERROR(__xludf.DUMMYFUNCTION("""COMPUTED_VALUE"""),"Vương Nhật Thành; Chu Văn Tài; Lương Thị Ngọc Lan")</f>
        <v>Vương Nhật Thành; Chu Văn Tài; Lương Thị Ngọc Lan</v>
      </c>
      <c r="E12" s="4" t="str">
        <f>IFERROR(__xludf.DUMMYFUNCTION("""COMPUTED_VALUE"""),"Học viện Nông nghiệp Việt Nam")</f>
        <v>Học viện Nông nghiệp Việt Nam</v>
      </c>
      <c r="F12" s="4" t="str">
        <f>IFERROR(__xludf.DUMMYFUNCTION("""COMPUTED_VALUE"""),"CNTT2026-011.png")</f>
        <v>CNTT2026-011.png</v>
      </c>
    </row>
    <row r="13">
      <c r="A13" s="4" t="str">
        <f>IFERROR(__xludf.DUMMYFUNCTION("""COMPUTED_VALUE"""),"CNTT2026-012")</f>
        <v>CNTT2026-012</v>
      </c>
      <c r="B13" s="4" t="str">
        <f>IFERROR(__xludf.DUMMYFUNCTION("""COMPUTED_VALUE"""),"Công nghệ thông tin")</f>
        <v>Công nghệ thông tin</v>
      </c>
      <c r="C13" s="4" t="str">
        <f>IFERROR(__xludf.DUMMYFUNCTION("""COMPUTED_VALUE"""),"Xây dựng mô hình chọn đặc trưng gene tối ưu bằng thuật toán lai Red - billed blue magpie optimizer (RBMO) và Secretary bird optimization algorithm (SBOA) trong hệ thống hỗ trợ chẩn đoán sớm ung thư máu")</f>
        <v>Xây dựng mô hình chọn đặc trưng gene tối ưu bằng thuật toán lai Red - billed blue magpie optimizer (RBMO) và Secretary bird optimization algorithm (SBOA) trong hệ thống hỗ trợ chẩn đoán sớm ung thư máu</v>
      </c>
      <c r="D13" s="4" t="str">
        <f>IFERROR(__xludf.DUMMYFUNCTION("""COMPUTED_VALUE"""),"Phùng Thị Ly; Lê Hoàng Minh Nhật; Bạch Ngọc Vy")</f>
        <v>Phùng Thị Ly; Lê Hoàng Minh Nhật; Bạch Ngọc Vy</v>
      </c>
      <c r="E13" s="4" t="str">
        <f>IFERROR(__xludf.DUMMYFUNCTION("""COMPUTED_VALUE"""),"Trường Đại học Công Thương TP. Hồ Chí Minh")</f>
        <v>Trường Đại học Công Thương TP. Hồ Chí Minh</v>
      </c>
      <c r="F13" s="4" t="str">
        <f>IFERROR(__xludf.DUMMYFUNCTION("""COMPUTED_VALUE"""),"CNTT2026-012.png")</f>
        <v>CNTT2026-012.png</v>
      </c>
    </row>
    <row r="14">
      <c r="A14" s="4" t="str">
        <f>IFERROR(__xludf.DUMMYFUNCTION("""COMPUTED_VALUE"""),"CNTT2026-013")</f>
        <v>CNTT2026-013</v>
      </c>
      <c r="B14" s="4" t="str">
        <f>IFERROR(__xludf.DUMMYFUNCTION("""COMPUTED_VALUE"""),"Công nghệ thông tin")</f>
        <v>Công nghệ thông tin</v>
      </c>
      <c r="C14" s="4" t="str">
        <f>IFERROR(__xludf.DUMMYFUNCTION("""COMPUTED_VALUE"""),"Phát triển hệ thống Web - App hỗ trợ tìm việc thông minh cho sinh viên dựa trên học máy và xử lý ngôn ngữ tự nhiên")</f>
        <v>Phát triển hệ thống Web - App hỗ trợ tìm việc thông minh cho sinh viên dựa trên học máy và xử lý ngôn ngữ tự nhiên</v>
      </c>
      <c r="D14" s="4" t="str">
        <f>IFERROR(__xludf.DUMMYFUNCTION("""COMPUTED_VALUE"""),"Hoàng Ngọc Khang; Tăng Hữu Minh; Lê Minh Tiến; Nguyễn Thanh Tùng")</f>
        <v>Hoàng Ngọc Khang; Tăng Hữu Minh; Lê Minh Tiến; Nguyễn Thanh Tùng</v>
      </c>
      <c r="E14" s="4" t="str">
        <f>IFERROR(__xludf.DUMMYFUNCTION("""COMPUTED_VALUE"""),"Trường Đại học Công Thương TP. Hồ Chí Minh")</f>
        <v>Trường Đại học Công Thương TP. Hồ Chí Minh</v>
      </c>
      <c r="F14" s="4" t="str">
        <f>IFERROR(__xludf.DUMMYFUNCTION("""COMPUTED_VALUE"""),"CNTT2026-013.png")</f>
        <v>CNTT2026-013.png</v>
      </c>
    </row>
    <row r="15">
      <c r="A15" s="4" t="str">
        <f>IFERROR(__xludf.DUMMYFUNCTION("""COMPUTED_VALUE"""),"CNTT2026-014")</f>
        <v>CNTT2026-014</v>
      </c>
      <c r="B15" s="4" t="str">
        <f>IFERROR(__xludf.DUMMYFUNCTION("""COMPUTED_VALUE"""),"Công nghệ thông tin")</f>
        <v>Công nghệ thông tin</v>
      </c>
      <c r="C15" s="4" t="str">
        <f>IFERROR(__xludf.DUMMYFUNCTION("""COMPUTED_VALUE"""),"Xây dựng hệ thống phân tích, dự báo và giải thích bệnh theo mùa ở trẻ em")</f>
        <v>Xây dựng hệ thống phân tích, dự báo và giải thích bệnh theo mùa ở trẻ em</v>
      </c>
      <c r="D15" s="4" t="str">
        <f>IFERROR(__xludf.DUMMYFUNCTION("""COMPUTED_VALUE"""),"Lê Vũ Kiệt; Trần Trọng Hiếu")</f>
        <v>Lê Vũ Kiệt; Trần Trọng Hiếu</v>
      </c>
      <c r="E15" s="4" t="str">
        <f>IFERROR(__xludf.DUMMYFUNCTION("""COMPUTED_VALUE"""),"Trường Đại học Tài nguyên và Môi trường TP. Hồ Chí Minh")</f>
        <v>Trường Đại học Tài nguyên và Môi trường TP. Hồ Chí Minh</v>
      </c>
      <c r="F15" s="4" t="str">
        <f>IFERROR(__xludf.DUMMYFUNCTION("""COMPUTED_VALUE"""),"CNTT2026-014.png")</f>
        <v>CNTT2026-014.png</v>
      </c>
    </row>
    <row r="16">
      <c r="A16" s="4" t="str">
        <f>IFERROR(__xludf.DUMMYFUNCTION("""COMPUTED_VALUE"""),"CNTT2026-015")</f>
        <v>CNTT2026-015</v>
      </c>
      <c r="B16" s="4" t="str">
        <f>IFERROR(__xludf.DUMMYFUNCTION("""COMPUTED_VALUE"""),"Công nghệ thông tin")</f>
        <v>Công nghệ thông tin</v>
      </c>
      <c r="C16" s="4" t="str">
        <f>IFERROR(__xludf.DUMMYFUNCTION("""COMPUTED_VALUE"""),"Xây dựng ứng dụng quản lý học tập trên nền tảng Google Workspace")</f>
        <v>Xây dựng ứng dụng quản lý học tập trên nền tảng Google Workspace</v>
      </c>
      <c r="D16" s="4" t="str">
        <f>IFERROR(__xludf.DUMMYFUNCTION("""COMPUTED_VALUE"""),"Phan Thị Hồng Nhung; Nguyễn Đức Hải; Nguyễn Hữu Hoàng Sang; Phan Gia Đại")</f>
        <v>Phan Thị Hồng Nhung; Nguyễn Đức Hải; Nguyễn Hữu Hoàng Sang; Phan Gia Đại</v>
      </c>
      <c r="E16" s="4" t="str">
        <f>IFERROR(__xludf.DUMMYFUNCTION("""COMPUTED_VALUE"""),"Trường Đại học Sư phạm TP. Hồ Chí Minh")</f>
        <v>Trường Đại học Sư phạm TP. Hồ Chí Minh</v>
      </c>
      <c r="F16" s="4" t="str">
        <f>IFERROR(__xludf.DUMMYFUNCTION("""COMPUTED_VALUE"""),"CNTT2026-015.png")</f>
        <v>CNTT2026-015.png</v>
      </c>
    </row>
    <row r="17">
      <c r="A17" s="4" t="str">
        <f>IFERROR(__xludf.DUMMYFUNCTION("""COMPUTED_VALUE"""),"CNTT2026-016")</f>
        <v>CNTT2026-016</v>
      </c>
      <c r="B17" s="4" t="str">
        <f>IFERROR(__xludf.DUMMYFUNCTION("""COMPUTED_VALUE"""),"Công nghệ thông tin")</f>
        <v>Công nghệ thông tin</v>
      </c>
      <c r="C17" s="4" t="str">
        <f>IFERROR(__xludf.DUMMYFUNCTION("""COMPUTED_VALUE"""),"XÂY DỰNG HỆ THỐNG HỎI - ĐÁP TỰ ĐỘNG TRÊN VĂN BẢN QUY CHẾ GIÁO DỤC ĐẠI HỌC TIẾNG VIỆT THEO KIẾN TRÚC SINH NỘI DUNG TĂNG CƯỜNG TRUY XUẤT (RETRIEVAL-AUGMENTED GENERATION)")</f>
        <v>XÂY DỰNG HỆ THỐNG HỎI - ĐÁP TỰ ĐỘNG TRÊN VĂN BẢN QUY CHẾ GIÁO DỤC ĐẠI HỌC TIẾNG VIỆT THEO KIẾN TRÚC SINH NỘI DUNG TĂNG CƯỜNG TRUY XUẤT (RETRIEVAL-AUGMENTED GENERATION)</v>
      </c>
      <c r="D17" s="4" t="str">
        <f>IFERROR(__xludf.DUMMYFUNCTION("""COMPUTED_VALUE"""),"Nguyễn Chí Đại")</f>
        <v>Nguyễn Chí Đại</v>
      </c>
      <c r="E17" s="4" t="str">
        <f>IFERROR(__xludf.DUMMYFUNCTION("""COMPUTED_VALUE"""),"Phân hiệu Trường Đại học Bình Dương tại Cà Mau")</f>
        <v>Phân hiệu Trường Đại học Bình Dương tại Cà Mau</v>
      </c>
      <c r="F17" s="4" t="str">
        <f>IFERROR(__xludf.DUMMYFUNCTION("""COMPUTED_VALUE"""),"CNTT2026-016.png")</f>
        <v>CNTT2026-016.png</v>
      </c>
    </row>
    <row r="18">
      <c r="A18" s="4" t="str">
        <f>IFERROR(__xludf.DUMMYFUNCTION("""COMPUTED_VALUE"""),"CNTT2026-017")</f>
        <v>CNTT2026-017</v>
      </c>
      <c r="B18" s="4" t="str">
        <f>IFERROR(__xludf.DUMMYFUNCTION("""COMPUTED_VALUE"""),"Công nghệ thông tin")</f>
        <v>Công nghệ thông tin</v>
      </c>
      <c r="C18" s="4" t="str">
        <f>IFERROR(__xludf.DUMMYFUNCTION("""COMPUTED_VALUE"""),"XÂY DỰNG VÀ ĐÁNH GIÁ HỆ THỐNG HỖ TRỢ ĐIỂM DANH KẾT HỢP THEO DÕI VÀ CẢNH BÁO NGƯỜI LẠ BẰNG NHẬN DIỆN KHUÔN MẶT")</f>
        <v>XÂY DỰNG VÀ ĐÁNH GIÁ HỆ THỐNG HỖ TRỢ ĐIỂM DANH KẾT HỢP THEO DÕI VÀ CẢNH BÁO NGƯỜI LẠ BẰNG NHẬN DIỆN KHUÔN MẶT</v>
      </c>
      <c r="D18" s="4" t="str">
        <f>IFERROR(__xludf.DUMMYFUNCTION("""COMPUTED_VALUE"""),"Hồ Việt Lê; Nguyễn Hà Huyền Trân")</f>
        <v>Hồ Việt Lê; Nguyễn Hà Huyền Trân</v>
      </c>
      <c r="E18" s="4" t="str">
        <f>IFERROR(__xludf.DUMMYFUNCTION("""COMPUTED_VALUE"""),"Phân hiệu Trường Đại học Bình Dương tại Cà Mau")</f>
        <v>Phân hiệu Trường Đại học Bình Dương tại Cà Mau</v>
      </c>
      <c r="F18" s="4" t="str">
        <f>IFERROR(__xludf.DUMMYFUNCTION("""COMPUTED_VALUE"""),"CNTT2026-017.png")</f>
        <v>CNTT2026-017.png</v>
      </c>
    </row>
    <row r="19">
      <c r="A19" s="4" t="str">
        <f>IFERROR(__xludf.DUMMYFUNCTION("""COMPUTED_VALUE"""),"CNTT2026-018")</f>
        <v>CNTT2026-018</v>
      </c>
      <c r="B19" s="4" t="str">
        <f>IFERROR(__xludf.DUMMYFUNCTION("""COMPUTED_VALUE"""),"Công nghệ thông tin")</f>
        <v>Công nghệ thông tin</v>
      </c>
      <c r="C19" s="4" t="str">
        <f>IFERROR(__xludf.DUMMYFUNCTION("""COMPUTED_VALUE"""),"Minh bạch hành trình thiện nguyện bằng Blockchain: Từ quyên góp đến thụ hưởng")</f>
        <v>Minh bạch hành trình thiện nguyện bằng Blockchain: Từ quyên góp đến thụ hưởng</v>
      </c>
      <c r="D19" s="4" t="str">
        <f>IFERROR(__xludf.DUMMYFUNCTION("""COMPUTED_VALUE"""),"Nguyễn Cao Đỉnh; Nguyễn Minh Thuận")</f>
        <v>Nguyễn Cao Đỉnh; Nguyễn Minh Thuận</v>
      </c>
      <c r="E19" s="4" t="str">
        <f>IFERROR(__xludf.DUMMYFUNCTION("""COMPUTED_VALUE"""),"Trường Đại học Kỹ thuật Công nghệ Cần Thơ")</f>
        <v>Trường Đại học Kỹ thuật Công nghệ Cần Thơ</v>
      </c>
      <c r="F19" s="4" t="str">
        <f>IFERROR(__xludf.DUMMYFUNCTION("""COMPUTED_VALUE"""),"CNTT2026-018.png")</f>
        <v>CNTT2026-018.png</v>
      </c>
    </row>
    <row r="20">
      <c r="A20" s="4" t="str">
        <f>IFERROR(__xludf.DUMMYFUNCTION("""COMPUTED_VALUE"""),"CNTT2026-019")</f>
        <v>CNTT2026-019</v>
      </c>
      <c r="B20" s="4" t="str">
        <f>IFERROR(__xludf.DUMMYFUNCTION("""COMPUTED_VALUE"""),"Công nghệ thông tin")</f>
        <v>Công nghệ thông tin</v>
      </c>
      <c r="C20" s="4" t="str">
        <f>IFERROR(__xludf.DUMMYFUNCTION("""COMPUTED_VALUE"""),"Hệ sinh thái du lịch và chăm sóc sức khỏe xanh tại Vĩnh Long")</f>
        <v>Hệ sinh thái du lịch và chăm sóc sức khỏe xanh tại Vĩnh Long</v>
      </c>
      <c r="D20" s="4" t="str">
        <f>IFERROR(__xludf.DUMMYFUNCTION("""COMPUTED_VALUE"""),"Nguyễn Công Minh; Lê Kiều Duy Em; Hồ Ngọc Bảo Trâm; Ngô Hoàng Tuấn; Nguyễn Lê Thanh Tâm")</f>
        <v>Nguyễn Công Minh; Lê Kiều Duy Em; Hồ Ngọc Bảo Trâm; Ngô Hoàng Tuấn; Nguyễn Lê Thanh Tâm</v>
      </c>
      <c r="E20" s="4" t="str">
        <f>IFERROR(__xludf.DUMMYFUNCTION("""COMPUTED_VALUE"""),"Trường Đại học Hùng Vương Thành phố Hồ Chí Minh")</f>
        <v>Trường Đại học Hùng Vương Thành phố Hồ Chí Minh</v>
      </c>
      <c r="F20" s="4" t="str">
        <f>IFERROR(__xludf.DUMMYFUNCTION("""COMPUTED_VALUE"""),"CNTT2026-019.png")</f>
        <v>CNTT2026-019.png</v>
      </c>
    </row>
    <row r="21">
      <c r="A21" s="4" t="str">
        <f>IFERROR(__xludf.DUMMYFUNCTION("""COMPUTED_VALUE"""),"CNTT2026-020")</f>
        <v>CNTT2026-020</v>
      </c>
      <c r="B21" s="4" t="str">
        <f>IFERROR(__xludf.DUMMYFUNCTION("""COMPUTED_VALUE"""),"Công nghệ thông tin")</f>
        <v>Công nghệ thông tin</v>
      </c>
      <c r="C21" s="4" t="str">
        <f>IFERROR(__xludf.DUMMYFUNCTION("""COMPUTED_VALUE"""),"Thiết kế hệ thống Chăm sóc người cao tuổi tích hợp AI và IOT hỗ trợ phát hiện cảnh báo té ngã")</f>
        <v>Thiết kế hệ thống Chăm sóc người cao tuổi tích hợp AI và IOT hỗ trợ phát hiện cảnh báo té ngã</v>
      </c>
      <c r="D21" s="4" t="str">
        <f>IFERROR(__xludf.DUMMYFUNCTION("""COMPUTED_VALUE"""),"Mai Trần Thiện Tâm")</f>
        <v>Mai Trần Thiện Tâm</v>
      </c>
      <c r="E21" s="4" t="str">
        <f>IFERROR(__xludf.DUMMYFUNCTION("""COMPUTED_VALUE"""),"Trường Đại học Hùng Vương Thành phố Hồ Chí Minh")</f>
        <v>Trường Đại học Hùng Vương Thành phố Hồ Chí Minh</v>
      </c>
      <c r="F21" s="4" t="str">
        <f>IFERROR(__xludf.DUMMYFUNCTION("""COMPUTED_VALUE"""),"CNTT2026-020.png")</f>
        <v>CNTT2026-020.png</v>
      </c>
    </row>
    <row r="22">
      <c r="A22" s="4" t="str">
        <f>IFERROR(__xludf.DUMMYFUNCTION("""COMPUTED_VALUE"""),"CNTT2026-021")</f>
        <v>CNTT2026-021</v>
      </c>
      <c r="B22" s="4" t="str">
        <f>IFERROR(__xludf.DUMMYFUNCTION("""COMPUTED_VALUE"""),"Công nghệ thông tin")</f>
        <v>Công nghệ thông tin</v>
      </c>
      <c r="C22" s="4" t="str">
        <f>IFERROR(__xludf.DUMMYFUNCTION("""COMPUTED_VALUE"""),"EXPLORING THE REASONING DEPTH OF SMALL LANGUAGE MODELS IN SOFTWARE ARCHITECTURE: A MULTIDIMENSIONAL EVALUATION FRAMEWORK TOWARDS SOFTWARE ENGINEERING 2.0")</f>
        <v>EXPLORING THE REASONING DEPTH OF SMALL LANGUAGE MODELS IN SOFTWARE ARCHITECTURE: A MULTIDIMENSIONAL EVALUATION FRAMEWORK TOWARDS SOFTWARE ENGINEERING 2.0</v>
      </c>
      <c r="D22" s="4" t="str">
        <f>IFERROR(__xludf.DUMMYFUNCTION("""COMPUTED_VALUE"""),"Võ Hữu Khang; Võ Xuân Hạ")</f>
        <v>Võ Hữu Khang; Võ Xuân Hạ</v>
      </c>
      <c r="E22" s="4" t="str">
        <f>IFERROR(__xludf.DUMMYFUNCTION("""COMPUTED_VALUE"""),"Trường Đại học Bách Khoa, ĐHQG-HCM")</f>
        <v>Trường Đại học Bách Khoa, ĐHQG-HCM</v>
      </c>
      <c r="F22" s="4" t="str">
        <f>IFERROR(__xludf.DUMMYFUNCTION("""COMPUTED_VALUE"""),"CNTT2026-021.png")</f>
        <v>CNTT2026-021.png</v>
      </c>
    </row>
    <row r="23">
      <c r="A23" s="4" t="str">
        <f>IFERROR(__xludf.DUMMYFUNCTION("""COMPUTED_VALUE"""),"CNTT2026-022")</f>
        <v>CNTT2026-022</v>
      </c>
      <c r="B23" s="4" t="str">
        <f>IFERROR(__xludf.DUMMYFUNCTION("""COMPUTED_VALUE"""),"Công nghệ thông tin")</f>
        <v>Công nghệ thông tin</v>
      </c>
      <c r="C23" s="4" t="str">
        <f>IFERROR(__xludf.DUMMYFUNCTION("""COMPUTED_VALUE"""),"Xây dựng mô hình tối ưu hóa lập lịch hoạt động sinh viên dựa trên tổng trọng số bằng thuật toán lai Snake Optimization with Parasitic Mechanism (SOPM) trong hệ thống hỗ trợ sắp xếp sinh hoạt đa mục tiêu")</f>
        <v>Xây dựng mô hình tối ưu hóa lập lịch hoạt động sinh viên dựa trên tổng trọng số bằng thuật toán lai Snake Optimization with Parasitic Mechanism (SOPM) trong hệ thống hỗ trợ sắp xếp sinh hoạt đa mục tiêu</v>
      </c>
      <c r="D23" s="4" t="str">
        <f>IFERROR(__xludf.DUMMYFUNCTION("""COMPUTED_VALUE"""),"Nguyễn Thị Mỹ Duyên; Nguyễn Cao Mạnh Hùng; Phan Tuấn Giang")</f>
        <v>Nguyễn Thị Mỹ Duyên; Nguyễn Cao Mạnh Hùng; Phan Tuấn Giang</v>
      </c>
      <c r="E23" s="4" t="str">
        <f>IFERROR(__xludf.DUMMYFUNCTION("""COMPUTED_VALUE"""),"Trường Đại học Công Thương TP. Hồ Chí Minh")</f>
        <v>Trường Đại học Công Thương TP. Hồ Chí Minh</v>
      </c>
      <c r="F23" s="4" t="str">
        <f>IFERROR(__xludf.DUMMYFUNCTION("""COMPUTED_VALUE"""),"CNTT2026-022.png")</f>
        <v>CNTT2026-022.png</v>
      </c>
    </row>
    <row r="24">
      <c r="A24" s="4" t="str">
        <f>IFERROR(__xludf.DUMMYFUNCTION("""COMPUTED_VALUE"""),"CNTT2026-023")</f>
        <v>CNTT2026-023</v>
      </c>
      <c r="B24" s="4" t="str">
        <f>IFERROR(__xludf.DUMMYFUNCTION("""COMPUTED_VALUE"""),"Công nghệ thông tin")</f>
        <v>Công nghệ thông tin</v>
      </c>
      <c r="C24" s="4" t="str">
        <f>IFERROR(__xludf.DUMMYFUNCTION("""COMPUTED_VALUE"""),"Phát triển mô hình học sâu đa mô thức ứng dụng XAI trong hỗ trợ chẩn đoán và tiên lượng bệnh u não")</f>
        <v>Phát triển mô hình học sâu đa mô thức ứng dụng XAI trong hỗ trợ chẩn đoán và tiên lượng bệnh u não</v>
      </c>
      <c r="D24" s="4" t="str">
        <f>IFERROR(__xludf.DUMMYFUNCTION("""COMPUTED_VALUE"""),"Phạm Huỳnh Quốc Đạt; Nguyễn Hải Đăng; Vương Quốc An")</f>
        <v>Phạm Huỳnh Quốc Đạt; Nguyễn Hải Đăng; Vương Quốc An</v>
      </c>
      <c r="E24" s="4" t="str">
        <f>IFERROR(__xludf.DUMMYFUNCTION("""COMPUTED_VALUE"""),"Trường Đại học Tôn Đức Thắng")</f>
        <v>Trường Đại học Tôn Đức Thắng</v>
      </c>
      <c r="F24" s="4" t="str">
        <f>IFERROR(__xludf.DUMMYFUNCTION("""COMPUTED_VALUE"""),"CNTT2026-023.png")</f>
        <v>CNTT2026-023.png</v>
      </c>
    </row>
    <row r="25">
      <c r="A25" s="4" t="str">
        <f>IFERROR(__xludf.DUMMYFUNCTION("""COMPUTED_VALUE"""),"CNTT2026-024")</f>
        <v>CNTT2026-024</v>
      </c>
      <c r="B25" s="4" t="str">
        <f>IFERROR(__xludf.DUMMYFUNCTION("""COMPUTED_VALUE"""),"Công nghệ thông tin")</f>
        <v>Công nghệ thông tin</v>
      </c>
      <c r="C25" s="4" t="str">
        <f>IFERROR(__xludf.DUMMYFUNCTION("""COMPUTED_VALUE"""),"Ứng dụng Text2Motion và Motion2Text trong huấn luyện kỹ năng vận động thể thao và giáo dục thể chất")</f>
        <v>Ứng dụng Text2Motion và Motion2Text trong huấn luyện kỹ năng vận động thể thao và giáo dục thể chất</v>
      </c>
      <c r="D25" s="4" t="str">
        <f>IFERROR(__xludf.DUMMYFUNCTION("""COMPUTED_VALUE"""),"Nguyễn Thị Tuyết Nhung; Aung Kaung Htet; Wai Yan Moe Myint")</f>
        <v>Nguyễn Thị Tuyết Nhung; Aung Kaung Htet; Wai Yan Moe Myint</v>
      </c>
      <c r="E25" s="4" t="str">
        <f>IFERROR(__xludf.DUMMYFUNCTION("""COMPUTED_VALUE"""),"Trường Đại học Tôn Đức Thắng")</f>
        <v>Trường Đại học Tôn Đức Thắng</v>
      </c>
      <c r="F25" s="4" t="str">
        <f>IFERROR(__xludf.DUMMYFUNCTION("""COMPUTED_VALUE"""),"CNTT2026-024.png")</f>
        <v>CNTT2026-024.png</v>
      </c>
    </row>
    <row r="26">
      <c r="A26" s="4" t="str">
        <f>IFERROR(__xludf.DUMMYFUNCTION("""COMPUTED_VALUE"""),"CNTT2026-025")</f>
        <v>CNTT2026-025</v>
      </c>
      <c r="B26" s="4" t="str">
        <f>IFERROR(__xludf.DUMMYFUNCTION("""COMPUTED_VALUE"""),"Công nghệ thông tin")</f>
        <v>Công nghệ thông tin</v>
      </c>
      <c r="C26" s="4" t="str">
        <f>IFERROR(__xludf.DUMMYFUNCTION("""COMPUTED_VALUE"""),"KneeXpert - Hệ thống trí tuệ nhân tạo trong phân tích và chẩn đoán bệnh khớp gối")</f>
        <v>KneeXpert - Hệ thống trí tuệ nhân tạo trong phân tích và chẩn đoán bệnh khớp gối</v>
      </c>
      <c r="D26" s="4" t="str">
        <f>IFERROR(__xludf.DUMMYFUNCTION("""COMPUTED_VALUE"""),"Lý Hùng Quốc Châu; Khổng Đức Tuấn; Aung Khant Paing")</f>
        <v>Lý Hùng Quốc Châu; Khổng Đức Tuấn; Aung Khant Paing</v>
      </c>
      <c r="E26" s="4" t="str">
        <f>IFERROR(__xludf.DUMMYFUNCTION("""COMPUTED_VALUE"""),"Trường Đại học Tôn Đức Thắng")</f>
        <v>Trường Đại học Tôn Đức Thắng</v>
      </c>
      <c r="F26" s="4" t="str">
        <f>IFERROR(__xludf.DUMMYFUNCTION("""COMPUTED_VALUE"""),"CNTT2026-025.png")</f>
        <v>CNTT2026-025.png</v>
      </c>
    </row>
    <row r="27">
      <c r="A27" s="4" t="str">
        <f>IFERROR(__xludf.DUMMYFUNCTION("""COMPUTED_VALUE"""),"CNTT2026-026")</f>
        <v>CNTT2026-026</v>
      </c>
      <c r="B27" s="4" t="str">
        <f>IFERROR(__xludf.DUMMYFUNCTION("""COMPUTED_VALUE"""),"Công nghệ thông tin")</f>
        <v>Công nghệ thông tin</v>
      </c>
      <c r="C27" s="4" t="str">
        <f>IFERROR(__xludf.DUMMYFUNCTION("""COMPUTED_VALUE"""),"APPCAUCUU - XÂY DỰNG HỆ THỐNG ỨNG DỤNG DI ĐỘNG KẾT NỐI MẠNG LƯỚI CỨU HỘ CỘNG ĐỒNG DỰA TRÊN VỊ TRÍ THỜI GIAN THỰC")</f>
        <v>APPCAUCUU - XÂY DỰNG HỆ THỐNG ỨNG DỤNG DI ĐỘNG KẾT NỐI MẠNG LƯỚI CỨU HỘ CỘNG ĐỒNG DỰA TRÊN VỊ TRÍ THỜI GIAN THỰC</v>
      </c>
      <c r="D27" s="4" t="str">
        <f>IFERROR(__xludf.DUMMYFUNCTION("""COMPUTED_VALUE"""),"Mai Thanh Long")</f>
        <v>Mai Thanh Long</v>
      </c>
      <c r="E27" s="4" t="str">
        <f>IFERROR(__xludf.DUMMYFUNCTION("""COMPUTED_VALUE"""),"Trường Đại học Nguyễn Tất Thành")</f>
        <v>Trường Đại học Nguyễn Tất Thành</v>
      </c>
      <c r="F27" s="4" t="str">
        <f>IFERROR(__xludf.DUMMYFUNCTION("""COMPUTED_VALUE"""),"CNTT2026-026.png")</f>
        <v>CNTT2026-026.png</v>
      </c>
    </row>
    <row r="28">
      <c r="A28" s="4" t="str">
        <f>IFERROR(__xludf.DUMMYFUNCTION("""COMPUTED_VALUE"""),"CNTT2026-027")</f>
        <v>CNTT2026-027</v>
      </c>
      <c r="B28" s="4" t="str">
        <f>IFERROR(__xludf.DUMMYFUNCTION("""COMPUTED_VALUE"""),"Công nghệ thông tin")</f>
        <v>Công nghệ thông tin</v>
      </c>
      <c r="C28" s="4" t="str">
        <f>IFERROR(__xludf.DUMMYFUNCTION("""COMPUTED_VALUE"""),"STUDY ON BUILDING AN INTELLIGENT LEGAL ASSISTANT SYSTEM BASED ON MULTI-AGENT ARCHITECTURE AND KNOWLEDGE GRAPH FOR STATUTORY RETRIEVAL IN VIETNAM")</f>
        <v>STUDY ON BUILDING AN INTELLIGENT LEGAL ASSISTANT SYSTEM BASED ON MULTI-AGENT ARCHITECTURE AND KNOWLEDGE GRAPH FOR STATUTORY RETRIEVAL IN VIETNAM</v>
      </c>
      <c r="D28" s="4" t="str">
        <f>IFERROR(__xludf.DUMMYFUNCTION("""COMPUTED_VALUE"""),"Mai Văn Vũ; Bùi Nguyễn Ngọc Thơ; Nguyễn Thanh Tường Vy; Vũ Trần Kiều Oanh")</f>
        <v>Mai Văn Vũ; Bùi Nguyễn Ngọc Thơ; Nguyễn Thanh Tường Vy; Vũ Trần Kiều Oanh</v>
      </c>
      <c r="E28" s="4" t="str">
        <f>IFERROR(__xludf.DUMMYFUNCTION("""COMPUTED_VALUE"""),"Trường Đại học Công nghiệp TP. Hồ Chí Minh")</f>
        <v>Trường Đại học Công nghiệp TP. Hồ Chí Minh</v>
      </c>
      <c r="F28" s="4" t="str">
        <f>IFERROR(__xludf.DUMMYFUNCTION("""COMPUTED_VALUE"""),"CNTT2026-027.png")</f>
        <v>CNTT2026-027.png</v>
      </c>
    </row>
    <row r="29">
      <c r="A29" s="4" t="str">
        <f>IFERROR(__xludf.DUMMYFUNCTION("""COMPUTED_VALUE"""),"CNTT2026-028")</f>
        <v>CNTT2026-028</v>
      </c>
      <c r="B29" s="4" t="str">
        <f>IFERROR(__xludf.DUMMYFUNCTION("""COMPUTED_VALUE"""),"Công nghệ thông tin")</f>
        <v>Công nghệ thông tin</v>
      </c>
      <c r="C29" s="4" t="str">
        <f>IFERROR(__xludf.DUMMYFUNCTION("""COMPUTED_VALUE"""),"Thiết kế và lập trình game 2D thể loại stealth Vụ trộm lặng lẽ trên Unity")</f>
        <v>Thiết kế và lập trình game 2D thể loại stealth Vụ trộm lặng lẽ trên Unity</v>
      </c>
      <c r="D29" s="4" t="str">
        <f>IFERROR(__xludf.DUMMYFUNCTION("""COMPUTED_VALUE"""),"Hồ Sỹ Tuấn; Hoàng Phi Quân")</f>
        <v>Hồ Sỹ Tuấn; Hoàng Phi Quân</v>
      </c>
      <c r="E29" s="4" t="str">
        <f>IFERROR(__xludf.DUMMYFUNCTION("""COMPUTED_VALUE"""),"Trường Đại học Nghệ An")</f>
        <v>Trường Đại học Nghệ An</v>
      </c>
      <c r="F29" s="4" t="str">
        <f>IFERROR(__xludf.DUMMYFUNCTION("""COMPUTED_VALUE"""),"CNTT2026-028.png")</f>
        <v>CNTT2026-028.png</v>
      </c>
    </row>
    <row r="30">
      <c r="A30" s="4" t="str">
        <f>IFERROR(__xludf.DUMMYFUNCTION("""COMPUTED_VALUE"""),"CNTT2026-029")</f>
        <v>CNTT2026-029</v>
      </c>
      <c r="B30" s="4" t="str">
        <f>IFERROR(__xludf.DUMMYFUNCTION("""COMPUTED_VALUE"""),"Công nghệ thông tin")</f>
        <v>Công nghệ thông tin</v>
      </c>
      <c r="C30" s="4" t="str">
        <f>IFERROR(__xludf.DUMMYFUNCTION("""COMPUTED_VALUE"""),"Nghiên cứu và ứng dụng các phương pháp học sâu dựa trên kiến trúc CNN và Transformer để phát triển hệ thống chẩn đoán hình ảnh răng trong nha khoa")</f>
        <v>Nghiên cứu và ứng dụng các phương pháp học sâu dựa trên kiến trúc CNN và Transformer để phát triển hệ thống chẩn đoán hình ảnh răng trong nha khoa</v>
      </c>
      <c r="D30" s="4" t="str">
        <f>IFERROR(__xludf.DUMMYFUNCTION("""COMPUTED_VALUE"""),"Nguyễn Văn Đúng; Huỳnh Nguyễn Minh Triển; Bùi Hoàng Quân; Phạm Trung Kiên; Nguyễn Công Minh Quân")</f>
        <v>Nguyễn Văn Đúng; Huỳnh Nguyễn Minh Triển; Bùi Hoàng Quân; Phạm Trung Kiên; Nguyễn Công Minh Quân</v>
      </c>
      <c r="E30" s="4" t="str">
        <f>IFERROR(__xludf.DUMMYFUNCTION("""COMPUTED_VALUE"""),"Phân hiệu Trường Đại học Giao thông vận tải tại TP. Hồ Chí Minh")</f>
        <v>Phân hiệu Trường Đại học Giao thông vận tải tại TP. Hồ Chí Minh</v>
      </c>
      <c r="F30" s="4" t="str">
        <f>IFERROR(__xludf.DUMMYFUNCTION("""COMPUTED_VALUE"""),"CNTT2026-029.png")</f>
        <v>CNTT2026-029.png</v>
      </c>
    </row>
    <row r="31">
      <c r="A31" s="4" t="str">
        <f>IFERROR(__xludf.DUMMYFUNCTION("""COMPUTED_VALUE"""),"CNTT2026-030")</f>
        <v>CNTT2026-030</v>
      </c>
      <c r="B31" s="4" t="str">
        <f>IFERROR(__xludf.DUMMYFUNCTION("""COMPUTED_VALUE"""),"Công nghệ thông tin")</f>
        <v>Công nghệ thông tin</v>
      </c>
      <c r="C31" s="4" t="str">
        <f>IFERROR(__xludf.DUMMYFUNCTION("""COMPUTED_VALUE"""),"NGHIÊN CỨU THÀNH PHẦN HÓA HỌC TỪ PHÂN ĐOẠN N-HEXAN VÀ ETHYL ACETAT CỦA CÂY CHUA NGÚT HOA TRẮNG (EMBELIA LAETA (L.) MEZ) VÀ ĐÁNH GIÁ TƯƠNG TÁC VỚI COX-2 BẰNG DOCKING PHÂN TỬ")</f>
        <v>NGHIÊN CỨU THÀNH PHẦN HÓA HỌC TỪ PHÂN ĐOẠN N-HEXAN VÀ ETHYL ACETAT CỦA CÂY CHUA NGÚT HOA TRẮNG (EMBELIA LAETA (L.) MEZ) VÀ ĐÁNH GIÁ TƯƠNG TÁC VỚI COX-2 BẰNG DOCKING PHÂN TỬ</v>
      </c>
      <c r="D31" s="4" t="str">
        <f>IFERROR(__xludf.DUMMYFUNCTION("""COMPUTED_VALUE"""),"Nguyễn Phương Nhi; Bùi Trần Ánh Nhiên; La Hân Hân; Mai Việt Hải")</f>
        <v>Nguyễn Phương Nhi; Bùi Trần Ánh Nhiên; La Hân Hân; Mai Việt Hải</v>
      </c>
      <c r="E31" s="4" t="str">
        <f>IFERROR(__xludf.DUMMYFUNCTION("""COMPUTED_VALUE"""),"Đại học Y Dược TP. Hồ Chí Minh")</f>
        <v>Đại học Y Dược TP. Hồ Chí Minh</v>
      </c>
      <c r="F31" s="4" t="str">
        <f>IFERROR(__xludf.DUMMYFUNCTION("""COMPUTED_VALUE"""),"CNTT2026-030.png")</f>
        <v>CNTT2026-030.png</v>
      </c>
    </row>
    <row r="32">
      <c r="A32" s="4" t="str">
        <f>IFERROR(__xludf.DUMMYFUNCTION("""COMPUTED_VALUE"""),"CNTT2026-031")</f>
        <v>CNTT2026-031</v>
      </c>
      <c r="B32" s="4" t="str">
        <f>IFERROR(__xludf.DUMMYFUNCTION("""COMPUTED_VALUE"""),"Công nghệ thông tin")</f>
        <v>Công nghệ thông tin</v>
      </c>
      <c r="C32" s="4" t="str">
        <f>IFERROR(__xludf.DUMMYFUNCTION("""COMPUTED_VALUE"""),"XÂY DỰNG MÔ HÌNH SÀNG LỌC ẢO CHẤT CHỦ VẬN THỤ THỂ GLP-1")</f>
        <v>XÂY DỰNG MÔ HÌNH SÀNG LỌC ẢO CHẤT CHỦ VẬN THỤ THỂ GLP-1</v>
      </c>
      <c r="D32" s="4" t="str">
        <f>IFERROR(__xludf.DUMMYFUNCTION("""COMPUTED_VALUE"""),"Mai Huỳnh Tâm Như; Vĩnh Bảo Khánh; Trần Nguyễn Trung Tuấn")</f>
        <v>Mai Huỳnh Tâm Như; Vĩnh Bảo Khánh; Trần Nguyễn Trung Tuấn</v>
      </c>
      <c r="E32" s="4" t="str">
        <f>IFERROR(__xludf.DUMMYFUNCTION("""COMPUTED_VALUE"""),"Đại học Y Dược TP. Hồ Chí Minh")</f>
        <v>Đại học Y Dược TP. Hồ Chí Minh</v>
      </c>
      <c r="F32" s="4" t="str">
        <f>IFERROR(__xludf.DUMMYFUNCTION("""COMPUTED_VALUE"""),"CNTT2026-031.png")</f>
        <v>CNTT2026-031.png</v>
      </c>
    </row>
    <row r="33">
      <c r="A33" s="4" t="str">
        <f>IFERROR(__xludf.DUMMYFUNCTION("""COMPUTED_VALUE"""),"CNTT2026-032")</f>
        <v>CNTT2026-032</v>
      </c>
      <c r="B33" s="4" t="str">
        <f>IFERROR(__xludf.DUMMYFUNCTION("""COMPUTED_VALUE"""),"Công nghệ thông tin")</f>
        <v>Công nghệ thông tin</v>
      </c>
      <c r="C33" s="4" t="str">
        <f>IFERROR(__xludf.DUMMYFUNCTION("""COMPUTED_VALUE"""),"XÂY DỰNG MÔ HÌNH TƯƠNG ĐỒNG HÌNH DẠNG BA CHIỀU VÀ MÔ HÌNH GHÉP NỐI PHÂN TỬ SÀNG LỌC CHẤT ỨC CHẾ IL-17A")</f>
        <v>XÂY DỰNG MÔ HÌNH TƯƠNG ĐỒNG HÌNH DẠNG BA CHIỀU VÀ MÔ HÌNH GHÉP NỐI PHÂN TỬ SÀNG LỌC CHẤT ỨC CHẾ IL-17A</v>
      </c>
      <c r="D33" s="4" t="str">
        <f>IFERROR(__xludf.DUMMYFUNCTION("""COMPUTED_VALUE"""),"Nguyễn Thị Hạnh Nhi; Bùi Thị Bích Ngọc; Đặng Nguyễn Bảo Trân; Nguyễn Đoàn Gia Hy")</f>
        <v>Nguyễn Thị Hạnh Nhi; Bùi Thị Bích Ngọc; Đặng Nguyễn Bảo Trân; Nguyễn Đoàn Gia Hy</v>
      </c>
      <c r="E33" s="4" t="str">
        <f>IFERROR(__xludf.DUMMYFUNCTION("""COMPUTED_VALUE"""),"Đại học Y Dược TP. Hồ Chí Minh")</f>
        <v>Đại học Y Dược TP. Hồ Chí Minh</v>
      </c>
      <c r="F33" s="4" t="str">
        <f>IFERROR(__xludf.DUMMYFUNCTION("""COMPUTED_VALUE"""),"CNTT2026-032.png")</f>
        <v>CNTT2026-032.png</v>
      </c>
    </row>
    <row r="34">
      <c r="A34" s="4" t="str">
        <f>IFERROR(__xludf.DUMMYFUNCTION("""COMPUTED_VALUE"""),"CNTT2026-033")</f>
        <v>CNTT2026-033</v>
      </c>
      <c r="B34" s="4" t="str">
        <f>IFERROR(__xludf.DUMMYFUNCTION("""COMPUTED_VALUE"""),"Công nghệ thông tin")</f>
        <v>Công nghệ thông tin</v>
      </c>
      <c r="C34" s="4" t="str">
        <f>IFERROR(__xludf.DUMMYFUNCTION("""COMPUTED_VALUE"""),"KHẢO SÁT VÀ XÂY DỰNG MÔ HÌNH GẮN KẾT PHÂN TỬ CHO CÁC MỤC TIÊU TÁC ĐỘNG CỦA VIRUS DENGUE TYPE II")</f>
        <v>KHẢO SÁT VÀ XÂY DỰNG MÔ HÌNH GẮN KẾT PHÂN TỬ CHO CÁC MỤC TIÊU TÁC ĐỘNG CỦA VIRUS DENGUE TYPE II</v>
      </c>
      <c r="D34" s="4" t="str">
        <f>IFERROR(__xludf.DUMMYFUNCTION("""COMPUTED_VALUE"""),"Nguyễn Ngọc Mỹ; Võ Ngọc Thanh Quyên; Phan Đoàn Nguyệt Minh; Võ Hoàng Phúc")</f>
        <v>Nguyễn Ngọc Mỹ; Võ Ngọc Thanh Quyên; Phan Đoàn Nguyệt Minh; Võ Hoàng Phúc</v>
      </c>
      <c r="E34" s="4" t="str">
        <f>IFERROR(__xludf.DUMMYFUNCTION("""COMPUTED_VALUE"""),"Đại học Y Dược TP. Hồ Chí Minh")</f>
        <v>Đại học Y Dược TP. Hồ Chí Minh</v>
      </c>
      <c r="F34" s="4" t="str">
        <f>IFERROR(__xludf.DUMMYFUNCTION("""COMPUTED_VALUE"""),"CNTT2026-033.png")</f>
        <v>CNTT2026-033.png</v>
      </c>
    </row>
    <row r="35">
      <c r="A35" s="4" t="str">
        <f>IFERROR(__xludf.DUMMYFUNCTION("""COMPUTED_VALUE"""),"CNTT2026-034")</f>
        <v>CNTT2026-034</v>
      </c>
      <c r="B35" s="4" t="str">
        <f>IFERROR(__xludf.DUMMYFUNCTION("""COMPUTED_VALUE"""),"Công nghệ thông tin")</f>
        <v>Công nghệ thông tin</v>
      </c>
      <c r="C35" s="4" t="str">
        <f>IFERROR(__xludf.DUMMYFUNCTION("""COMPUTED_VALUE"""),"XÂY DỰNG MÔ HÌNH SÀNG LỌC ẢO CHẤT ĐỐI VẬN THỤ THỂ OREXIN 1")</f>
        <v>XÂY DỰNG MÔ HÌNH SÀNG LỌC ẢO CHẤT ĐỐI VẬN THỤ THỂ OREXIN 1</v>
      </c>
      <c r="D35" s="4" t="str">
        <f>IFERROR(__xludf.DUMMYFUNCTION("""COMPUTED_VALUE"""),"Lê Nhật Minh; Nguyễn Mỹ Anh Thư; Châu Nhật Anh; Nguyễn Huy Xuân Sơn")</f>
        <v>Lê Nhật Minh; Nguyễn Mỹ Anh Thư; Châu Nhật Anh; Nguyễn Huy Xuân Sơn</v>
      </c>
      <c r="E35" s="4" t="str">
        <f>IFERROR(__xludf.DUMMYFUNCTION("""COMPUTED_VALUE"""),"Đại học Y Dược TP. Hồ Chí Minh")</f>
        <v>Đại học Y Dược TP. Hồ Chí Minh</v>
      </c>
      <c r="F35" s="4" t="str">
        <f>IFERROR(__xludf.DUMMYFUNCTION("""COMPUTED_VALUE"""),"CNTT2026-034.png")</f>
        <v>CNTT2026-034.png</v>
      </c>
    </row>
    <row r="36">
      <c r="A36" s="4" t="str">
        <f>IFERROR(__xludf.DUMMYFUNCTION("""COMPUTED_VALUE"""),"CNTT2026-035")</f>
        <v>CNTT2026-035</v>
      </c>
      <c r="B36" s="4" t="str">
        <f>IFERROR(__xludf.DUMMYFUNCTION("""COMPUTED_VALUE"""),"Công nghệ thông tin")</f>
        <v>Công nghệ thông tin</v>
      </c>
      <c r="C36" s="4" t="str">
        <f>IFERROR(__xludf.DUMMYFUNCTION("""COMPUTED_VALUE"""),"INVESTOR PROTECTION BY DESIGN AND DEMAND FOR TOKENIZED REAL ASSETS: EVIDENCE FROM A CHOICE-BASED CONJOINT EXPERIMENT IN A PROSPECTIVE VIETNAMESE RETAIL MARKET")</f>
        <v>INVESTOR PROTECTION BY DESIGN AND DEMAND FOR TOKENIZED REAL ASSETS: EVIDENCE FROM A CHOICE-BASED CONJOINT EXPERIMENT IN A PROSPECTIVE VIETNAMESE RETAIL MARKET</v>
      </c>
      <c r="D36" s="4" t="str">
        <f>IFERROR(__xludf.DUMMYFUNCTION("""COMPUTED_VALUE"""),"Nguyễn Hải Đăng; Huỳnh Bảo Khánh; Nguyễn Gia Vỹ; Nguyễn Thị An Thuận; Bùi Ngọc Bảo Trân")</f>
        <v>Nguyễn Hải Đăng; Huỳnh Bảo Khánh; Nguyễn Gia Vỹ; Nguyễn Thị An Thuận; Bùi Ngọc Bảo Trân</v>
      </c>
      <c r="E36" s="4" t="str">
        <f>IFERROR(__xludf.DUMMYFUNCTION("""COMPUTED_VALUE"""),"Đại học Kinh tế TP. Hồ Chí Minh")</f>
        <v>Đại học Kinh tế TP. Hồ Chí Minh</v>
      </c>
      <c r="F36" s="4" t="str">
        <f>IFERROR(__xludf.DUMMYFUNCTION("""COMPUTED_VALUE"""),"CNTT2026-035.png")</f>
        <v>CNTT2026-035.png</v>
      </c>
    </row>
    <row r="37">
      <c r="A37" s="4" t="str">
        <f>IFERROR(__xludf.DUMMYFUNCTION("""COMPUTED_VALUE"""),"CNTT2026-036")</f>
        <v>CNTT2026-036</v>
      </c>
      <c r="B37" s="4" t="str">
        <f>IFERROR(__xludf.DUMMYFUNCTION("""COMPUTED_VALUE"""),"Công nghệ thông tin")</f>
        <v>Công nghệ thông tin</v>
      </c>
      <c r="C37" s="4" t="str">
        <f>IFERROR(__xludf.DUMMYFUNCTION("""COMPUTED_VALUE"""),"Nghiên cứu và phát triển hệ thống quan trắc chất lượng không khí tại khu công nghiệp kết hợp trạm cố định và robot di động")</f>
        <v>Nghiên cứu và phát triển hệ thống quan trắc chất lượng không khí tại khu công nghiệp kết hợp trạm cố định và robot di động</v>
      </c>
      <c r="D37" s="4" t="str">
        <f>IFERROR(__xludf.DUMMYFUNCTION("""COMPUTED_VALUE"""),"Trương Gia Huy; Đặng Ngọc Châu")</f>
        <v>Trương Gia Huy; Đặng Ngọc Châu</v>
      </c>
      <c r="E37" s="4" t="str">
        <f>IFERROR(__xludf.DUMMYFUNCTION("""COMPUTED_VALUE"""),"Trường Đại học Tài nguyên và Môi trường TP. Hồ Chí Minh")</f>
        <v>Trường Đại học Tài nguyên và Môi trường TP. Hồ Chí Minh</v>
      </c>
      <c r="F37" s="4" t="str">
        <f>IFERROR(__xludf.DUMMYFUNCTION("""COMPUTED_VALUE"""),"CNTT2026-036.png")</f>
        <v>CNTT2026-036.png</v>
      </c>
    </row>
    <row r="38">
      <c r="A38" s="4" t="str">
        <f>IFERROR(__xludf.DUMMYFUNCTION("""COMPUTED_VALUE"""),"CNTT2026-037")</f>
        <v>CNTT2026-037</v>
      </c>
      <c r="B38" s="4" t="str">
        <f>IFERROR(__xludf.DUMMYFUNCTION("""COMPUTED_VALUE"""),"Công nghệ thông tin")</f>
        <v>Công nghệ thông tin</v>
      </c>
      <c r="C38" s="4" t="str">
        <f>IFERROR(__xludf.DUMMYFUNCTION("""COMPUTED_VALUE"""),"Personalized Wearable IMU System for Real-Time Vestibular Fall-Risk Detection")</f>
        <v>Personalized Wearable IMU System for Real-Time Vestibular Fall-Risk Detection</v>
      </c>
      <c r="D38" s="4" t="str">
        <f>IFERROR(__xludf.DUMMYFUNCTION("""COMPUTED_VALUE"""),"Bùi Việt Hoàng")</f>
        <v>Bùi Việt Hoàng</v>
      </c>
      <c r="E38" s="4" t="str">
        <f>IFERROR(__xludf.DUMMYFUNCTION("""COMPUTED_VALUE"""),"Trường Đại học Khoa học và Công nghệ Hà Nội")</f>
        <v>Trường Đại học Khoa học và Công nghệ Hà Nội</v>
      </c>
      <c r="F38" s="4" t="str">
        <f>IFERROR(__xludf.DUMMYFUNCTION("""COMPUTED_VALUE"""),"CNTT2026-037.png")</f>
        <v>CNTT2026-037.png</v>
      </c>
    </row>
    <row r="39">
      <c r="A39" s="4" t="str">
        <f>IFERROR(__xludf.DUMMYFUNCTION("""COMPUTED_VALUE"""),"CNTT2026-038")</f>
        <v>CNTT2026-038</v>
      </c>
      <c r="B39" s="4" t="str">
        <f>IFERROR(__xludf.DUMMYFUNCTION("""COMPUTED_VALUE"""),"Công nghệ thông tin")</f>
        <v>Công nghệ thông tin</v>
      </c>
      <c r="C39" s="4" t="str">
        <f>IFERROR(__xludf.DUMMYFUNCTION("""COMPUTED_VALUE"""),"AN EXPLAINABLE DECISION SUPPORT FRAMEWORK FOR AQUACULTURE WATER QUALITY EARLY WARNING: A PHYSICS-INFORMED DIGITAL TWIN SIMULATION APPROACH")</f>
        <v>AN EXPLAINABLE DECISION SUPPORT FRAMEWORK FOR AQUACULTURE WATER QUALITY EARLY WARNING: A PHYSICS-INFORMED DIGITAL TWIN SIMULATION APPROACH</v>
      </c>
      <c r="D39" s="4" t="str">
        <f>IFERROR(__xludf.DUMMYFUNCTION("""COMPUTED_VALUE"""),"Phạm Quang Nhật; Nguyễn Đình Khôi; Cao Thị Hà Phương; Nguyễn Bá Trần Khoa; Nguyễn Gia Bảo")</f>
        <v>Phạm Quang Nhật; Nguyễn Đình Khôi; Cao Thị Hà Phương; Nguyễn Bá Trần Khoa; Nguyễn Gia Bảo</v>
      </c>
      <c r="E39" s="4" t="str">
        <f>IFERROR(__xludf.DUMMYFUNCTION("""COMPUTED_VALUE"""),"Trường Đại học Khoa học và Công nghệ Hà Nội")</f>
        <v>Trường Đại học Khoa học và Công nghệ Hà Nội</v>
      </c>
      <c r="F39" s="4" t="str">
        <f>IFERROR(__xludf.DUMMYFUNCTION("""COMPUTED_VALUE"""),"CNTT2026-038.png")</f>
        <v>CNTT2026-038.png</v>
      </c>
    </row>
    <row r="40">
      <c r="A40" s="4" t="str">
        <f>IFERROR(__xludf.DUMMYFUNCTION("""COMPUTED_VALUE"""),"CNTT2026-039")</f>
        <v>CNTT2026-039</v>
      </c>
      <c r="B40" s="4" t="str">
        <f>IFERROR(__xludf.DUMMYFUNCTION("""COMPUTED_VALUE"""),"Công nghệ thông tin")</f>
        <v>Công nghệ thông tin</v>
      </c>
      <c r="C40" s="4" t="str">
        <f>IFERROR(__xludf.DUMMYFUNCTION("""COMPUTED_VALUE"""),"Mô hình mạng lưới tích hợp Freight-on-Transit và Microhub cho Logistics giao hàng chặng cuối tại đô thị bền vững: Nghiên cứu tại Phường Sài Gòn và Phường Thạnh Mỹ Tây, Thành phố Hồ Chí Minh")</f>
        <v>Mô hình mạng lưới tích hợp Freight-on-Transit và Microhub cho Logistics giao hàng chặng cuối tại đô thị bền vững: Nghiên cứu tại Phường Sài Gòn và Phường Thạnh Mỹ Tây, Thành phố Hồ Chí Minh</v>
      </c>
      <c r="D40" s="4" t="str">
        <f>IFERROR(__xludf.DUMMYFUNCTION("""COMPUTED_VALUE"""),"Nguyễn Đức Phát; Nguyễn Đình Phúc; Lê Thành An; Lê Lý Phúc An")</f>
        <v>Nguyễn Đức Phát; Nguyễn Đình Phúc; Lê Thành An; Lê Lý Phúc An</v>
      </c>
      <c r="E40" s="4" t="str">
        <f>IFERROR(__xludf.DUMMYFUNCTION("""COMPUTED_VALUE"""),"Trường Đại học Giao thông vận tải TP. Hồ Chí Minh")</f>
        <v>Trường Đại học Giao thông vận tải TP. Hồ Chí Minh</v>
      </c>
      <c r="F40" s="4" t="str">
        <f>IFERROR(__xludf.DUMMYFUNCTION("""COMPUTED_VALUE"""),"CNTT2026-039.png")</f>
        <v>CNTT2026-039.png</v>
      </c>
    </row>
    <row r="41">
      <c r="A41" s="4" t="str">
        <f>IFERROR(__xludf.DUMMYFUNCTION("""COMPUTED_VALUE"""),"CNTT2026-040")</f>
        <v>CNTT2026-040</v>
      </c>
      <c r="B41" s="4" t="str">
        <f>IFERROR(__xludf.DUMMYFUNCTION("""COMPUTED_VALUE"""),"Công nghệ thông tin")</f>
        <v>Công nghệ thông tin</v>
      </c>
      <c r="C41" s="4" t="str">
        <f>IFERROR(__xludf.DUMMYFUNCTION("""COMPUTED_VALUE"""),"Nghiên cứu và xây dựng hệ thống hỗ trợ điều hướng giao thông dựa trên phân tích video bằng YOLOV8")</f>
        <v>Nghiên cứu và xây dựng hệ thống hỗ trợ điều hướng giao thông dựa trên phân tích video bằng YOLOV8</v>
      </c>
      <c r="D41" s="4" t="str">
        <f>IFERROR(__xludf.DUMMYFUNCTION("""COMPUTED_VALUE"""),"Nguyễn Thị Tú Uyên; Đỗ Lê Phương Dung")</f>
        <v>Nguyễn Thị Tú Uyên; Đỗ Lê Phương Dung</v>
      </c>
      <c r="E41" s="4" t="str">
        <f>IFERROR(__xludf.DUMMYFUNCTION("""COMPUTED_VALUE"""),"Trường Đại học Giao thông vận tải TP. Hồ Chí Minh")</f>
        <v>Trường Đại học Giao thông vận tải TP. Hồ Chí Minh</v>
      </c>
      <c r="F41" s="4" t="str">
        <f>IFERROR(__xludf.DUMMYFUNCTION("""COMPUTED_VALUE"""),"CNTT2026-040.png")</f>
        <v>CNTT2026-040.png</v>
      </c>
    </row>
    <row r="42">
      <c r="A42" s="4" t="str">
        <f>IFERROR(__xludf.DUMMYFUNCTION("""COMPUTED_VALUE"""),"CNTT2026-041")</f>
        <v>CNTT2026-041</v>
      </c>
      <c r="B42" s="4" t="str">
        <f>IFERROR(__xludf.DUMMYFUNCTION("""COMPUTED_VALUE"""),"Công nghệ thông tin")</f>
        <v>Công nghệ thông tin</v>
      </c>
      <c r="C42" s="4" t="str">
        <f>IFERROR(__xludf.DUMMYFUNCTION("""COMPUTED_VALUE"""),"Tối ưu hóa phối hợp xe tải điện và drone trong giao hàng đô thị: Nghiên cứu tại Vạn Phúc–Hiệp Bình, TP. HCM")</f>
        <v>Tối ưu hóa phối hợp xe tải điện và drone trong giao hàng đô thị: Nghiên cứu tại Vạn Phúc–Hiệp Bình, TP. HCM</v>
      </c>
      <c r="D42" s="4" t="str">
        <f>IFERROR(__xludf.DUMMYFUNCTION("""COMPUTED_VALUE"""),"Bùi Thị Minh Thơ; Nguyễn Chí Cường")</f>
        <v>Bùi Thị Minh Thơ; Nguyễn Chí Cường</v>
      </c>
      <c r="E42" s="4" t="str">
        <f>IFERROR(__xludf.DUMMYFUNCTION("""COMPUTED_VALUE"""),"Trường Đại học Giao thông vận tải TP. Hồ Chí Minh")</f>
        <v>Trường Đại học Giao thông vận tải TP. Hồ Chí Minh</v>
      </c>
      <c r="F42" s="4" t="str">
        <f>IFERROR(__xludf.DUMMYFUNCTION("""COMPUTED_VALUE"""),"CNTT2026-041.png")</f>
        <v>CNTT2026-041.png</v>
      </c>
    </row>
    <row r="43">
      <c r="A43" s="4" t="str">
        <f>IFERROR(__xludf.DUMMYFUNCTION("""COMPUTED_VALUE"""),"CNTT2026-042")</f>
        <v>CNTT2026-042</v>
      </c>
      <c r="B43" s="4" t="str">
        <f>IFERROR(__xludf.DUMMYFUNCTION("""COMPUTED_VALUE"""),"Công nghệ thông tin")</f>
        <v>Công nghệ thông tin</v>
      </c>
      <c r="C43" s="4" t="str">
        <f>IFERROR(__xludf.DUMMYFUNCTION("""COMPUTED_VALUE"""),"Nghiên cứu, Xây dựng hệ thống hỗ trợ tìm kiếm điểm sơ tán và đường thoát hiểm trong điều kiện mưa lũ tại Lào Cai")</f>
        <v>Nghiên cứu, Xây dựng hệ thống hỗ trợ tìm kiếm điểm sơ tán và đường thoát hiểm trong điều kiện mưa lũ tại Lào Cai</v>
      </c>
      <c r="D43" s="4" t="str">
        <f>IFERROR(__xludf.DUMMYFUNCTION("""COMPUTED_VALUE"""),"Lê Gia Hưng; Trần Phương Thảo; Nguyễn Văn Hiếu; Vũ Mạnh Tiến; Nguyễn Văn Tùng")</f>
        <v>Lê Gia Hưng; Trần Phương Thảo; Nguyễn Văn Hiếu; Vũ Mạnh Tiến; Nguyễn Văn Tùng</v>
      </c>
      <c r="E43" s="4" t="str">
        <f>IFERROR(__xludf.DUMMYFUNCTION("""COMPUTED_VALUE"""),"Trường Đại học Tài nguyên và Môi trường Hà Nội")</f>
        <v>Trường Đại học Tài nguyên và Môi trường Hà Nội</v>
      </c>
      <c r="F43" s="4" t="str">
        <f>IFERROR(__xludf.DUMMYFUNCTION("""COMPUTED_VALUE"""),"CNTT2026-042.png")</f>
        <v>CNTT2026-042.png</v>
      </c>
    </row>
    <row r="44">
      <c r="A44" s="4" t="str">
        <f>IFERROR(__xludf.DUMMYFUNCTION("""COMPUTED_VALUE"""),"CNTT2026-043")</f>
        <v>CNTT2026-043</v>
      </c>
      <c r="B44" s="4" t="str">
        <f>IFERROR(__xludf.DUMMYFUNCTION("""COMPUTED_VALUE"""),"Công nghệ thông tin")</f>
        <v>Công nghệ thông tin</v>
      </c>
      <c r="C44" s="4" t="str">
        <f>IFERROR(__xludf.DUMMYFUNCTION("""COMPUTED_VALUE"""),"Nghiên cứu, xây dựng môi trường giả lập phục vụ phân tích, đánh giá nguy cơ tấn công mạng hướng tới các thành phần lõi trong hạ tầng mạng 5G")</f>
        <v>Nghiên cứu, xây dựng môi trường giả lập phục vụ phân tích, đánh giá nguy cơ tấn công mạng hướng tới các thành phần lõi trong hạ tầng mạng 5G</v>
      </c>
      <c r="D44" s="4" t="str">
        <f>IFERROR(__xludf.DUMMYFUNCTION("""COMPUTED_VALUE"""),"Hoàng Đức Linh")</f>
        <v>Hoàng Đức Linh</v>
      </c>
      <c r="E44" s="4" t="str">
        <f>IFERROR(__xludf.DUMMYFUNCTION("""COMPUTED_VALUE"""),"Học viện An ninh nhân dân")</f>
        <v>Học viện An ninh nhân dân</v>
      </c>
      <c r="F44" s="4" t="str">
        <f>IFERROR(__xludf.DUMMYFUNCTION("""COMPUTED_VALUE"""),"CNTT2026-043.png")</f>
        <v>CNTT2026-043.png</v>
      </c>
    </row>
    <row r="45">
      <c r="A45" s="4" t="str">
        <f>IFERROR(__xludf.DUMMYFUNCTION("""COMPUTED_VALUE"""),"CNTT2026-044")</f>
        <v>CNTT2026-044</v>
      </c>
      <c r="B45" s="4" t="str">
        <f>IFERROR(__xludf.DUMMYFUNCTION("""COMPUTED_VALUE"""),"Công nghệ thông tin")</f>
        <v>Công nghệ thông tin</v>
      </c>
      <c r="C45" s="4" t="str">
        <f>IFERROR(__xludf.DUMMYFUNCTION("""COMPUTED_VALUE"""),"Tác động của nhận thức về rủi ro tội phạm mạng đến ý định sử dụng dịch vụ E-banking của sinh viên tại Hà Nội")</f>
        <v>Tác động của nhận thức về rủi ro tội phạm mạng đến ý định sử dụng dịch vụ E-banking của sinh viên tại Hà Nội</v>
      </c>
      <c r="D45" s="4" t="str">
        <f>IFERROR(__xludf.DUMMYFUNCTION("""COMPUTED_VALUE"""),"Đồng Thị Hương Giang; Nguyễn Thị Hương Giang; Phạm Thị Hồng Phúc; Nguyễn Mai Phương; Nguyễn Thị Ngọc Linh")</f>
        <v>Đồng Thị Hương Giang; Nguyễn Thị Hương Giang; Phạm Thị Hồng Phúc; Nguyễn Mai Phương; Nguyễn Thị Ngọc Linh</v>
      </c>
      <c r="E45" s="4" t="str">
        <f>IFERROR(__xludf.DUMMYFUNCTION("""COMPUTED_VALUE"""),"Học viện Ngân hàng")</f>
        <v>Học viện Ngân hàng</v>
      </c>
      <c r="F45" s="4" t="str">
        <f>IFERROR(__xludf.DUMMYFUNCTION("""COMPUTED_VALUE"""),"CNTT2026-044.png")</f>
        <v>CNTT2026-044.png</v>
      </c>
    </row>
    <row r="46">
      <c r="A46" s="4" t="str">
        <f>IFERROR(__xludf.DUMMYFUNCTION("""COMPUTED_VALUE"""),"CNTT2026-045")</f>
        <v>CNTT2026-045</v>
      </c>
      <c r="B46" s="4" t="str">
        <f>IFERROR(__xludf.DUMMYFUNCTION("""COMPUTED_VALUE"""),"Công nghệ thông tin")</f>
        <v>Công nghệ thông tin</v>
      </c>
      <c r="C46" s="4" t="str">
        <f>IFERROR(__xludf.DUMMYFUNCTION("""COMPUTED_VALUE"""),"ĐÁNH GIÁ SỰ THÀNH CÔNG CỦA HỆ THỐNG QUẢN LÝ QUAN HỆ KHÁCH HÀNG ĐIỆN TỬ (ECRM) TẠI CÁC TẬP ĐOÀN BÁN LẺ ĐA QUỐC GIA ĐANG HOẠT ĐỘNG Ở VIỆT NAM HIỆN NAY. HÀM Ý CHÍNH SÁCH CHO CÁC DOANH NGHIỆP VIỆT NAM TRONG KỶ NGUYÊN VƯƠN MÌNH")</f>
        <v>ĐÁNH GIÁ SỰ THÀNH CÔNG CỦA HỆ THỐNG QUẢN LÝ QUAN HỆ KHÁCH HÀNG ĐIỆN TỬ (ECRM) TẠI CÁC TẬP ĐOÀN BÁN LẺ ĐA QUỐC GIA ĐANG HOẠT ĐỘNG Ở VIỆT NAM HIỆN NAY. HÀM Ý CHÍNH SÁCH CHO CÁC DOANH NGHIỆP VIỆT NAM TRONG KỶ NGUYÊN VƯƠN MÌNH</v>
      </c>
      <c r="D46" s="4" t="str">
        <f>IFERROR(__xludf.DUMMYFUNCTION("""COMPUTED_VALUE"""),"Nguyễn Thị Thanh Huyền; Đỗ Thi Kim Oanh")</f>
        <v>Nguyễn Thị Thanh Huyền; Đỗ Thi Kim Oanh</v>
      </c>
      <c r="E46" s="4" t="str">
        <f>IFERROR(__xludf.DUMMYFUNCTION("""COMPUTED_VALUE"""),"Học viện Ngân hàng")</f>
        <v>Học viện Ngân hàng</v>
      </c>
      <c r="F46" s="4" t="str">
        <f>IFERROR(__xludf.DUMMYFUNCTION("""COMPUTED_VALUE"""),"CNTT2026-045.png")</f>
        <v>CNTT2026-045.png</v>
      </c>
    </row>
    <row r="47">
      <c r="A47" s="4" t="str">
        <f>IFERROR(__xludf.DUMMYFUNCTION("""COMPUTED_VALUE"""),"CNTT2026-046")</f>
        <v>CNTT2026-046</v>
      </c>
      <c r="B47" s="4" t="str">
        <f>IFERROR(__xludf.DUMMYFUNCTION("""COMPUTED_VALUE"""),"Công nghệ thông tin")</f>
        <v>Công nghệ thông tin</v>
      </c>
      <c r="C47" s="4" t="str">
        <f>IFERROR(__xludf.DUMMYFUNCTION("""COMPUTED_VALUE"""),"Từ dữ liệu đến rủi ro: Liệu công nghệ tài chính có làm giảm rủi ro tài chính của doanh nghiệp? Góc nhìn mới từ cơ chế hạn chế lệch pha tài chính")</f>
        <v>Từ dữ liệu đến rủi ro: Liệu công nghệ tài chính có làm giảm rủi ro tài chính của doanh nghiệp? Góc nhìn mới từ cơ chế hạn chế lệch pha tài chính</v>
      </c>
      <c r="D47" s="4" t="str">
        <f>IFERROR(__xludf.DUMMYFUNCTION("""COMPUTED_VALUE"""),"Bùi Khánh Ly; Trần Thị Thanh Nhiên; Nguyễn Thị Phương Thanh")</f>
        <v>Bùi Khánh Ly; Trần Thị Thanh Nhiên; Nguyễn Thị Phương Thanh</v>
      </c>
      <c r="E47" s="4" t="str">
        <f>IFERROR(__xludf.DUMMYFUNCTION("""COMPUTED_VALUE"""),"Học viện Ngân hàng")</f>
        <v>Học viện Ngân hàng</v>
      </c>
      <c r="F47" s="4" t="str">
        <f>IFERROR(__xludf.DUMMYFUNCTION("""COMPUTED_VALUE"""),"CNTT2026-046.png")</f>
        <v>CNTT2026-046.png</v>
      </c>
    </row>
    <row r="48">
      <c r="A48" s="4" t="str">
        <f>IFERROR(__xludf.DUMMYFUNCTION("""COMPUTED_VALUE"""),"CNTT2026-047")</f>
        <v>CNTT2026-047</v>
      </c>
      <c r="B48" s="4" t="str">
        <f>IFERROR(__xludf.DUMMYFUNCTION("""COMPUTED_VALUE"""),"Công nghệ thông tin")</f>
        <v>Công nghệ thông tin</v>
      </c>
      <c r="C48" s="4" t="str">
        <f>IFERROR(__xludf.DUMMYFUNCTION("""COMPUTED_VALUE"""),"TÁC ĐỘNG CỦA CHUYỂN ĐỔI SỐ ĐẾN RỦI RO TÍN DỤNG VÀ RỦI RO THANH KHOẢN VỚI VAI TRÒ TRUNG GIAN CỦA ĐA DẠNG HÓA THU NHẬP TẠI CÁC NGÂN HÀNG THƯƠNG MẠI VIỆT NAM")</f>
        <v>TÁC ĐỘNG CỦA CHUYỂN ĐỔI SỐ ĐẾN RỦI RO TÍN DỤNG VÀ RỦI RO THANH KHOẢN VỚI VAI TRÒ TRUNG GIAN CỦA ĐA DẠNG HÓA THU NHẬP TẠI CÁC NGÂN HÀNG THƯƠNG MẠI VIỆT NAM</v>
      </c>
      <c r="D48" s="4" t="str">
        <f>IFERROR(__xludf.DUMMYFUNCTION("""COMPUTED_VALUE"""),"Nguyễn Hải Linh; Bùi Thị Trà My; Nguyễn Thanh Hương; Nguyễn Thị Hải Yến; Trần Thục Uyên")</f>
        <v>Nguyễn Hải Linh; Bùi Thị Trà My; Nguyễn Thanh Hương; Nguyễn Thị Hải Yến; Trần Thục Uyên</v>
      </c>
      <c r="E48" s="4" t="str">
        <f>IFERROR(__xludf.DUMMYFUNCTION("""COMPUTED_VALUE"""),"Học viện Ngân hàng")</f>
        <v>Học viện Ngân hàng</v>
      </c>
      <c r="F48" s="4" t="str">
        <f>IFERROR(__xludf.DUMMYFUNCTION("""COMPUTED_VALUE"""),"CNTT2026-047.png")</f>
        <v>CNTT2026-047.png</v>
      </c>
    </row>
    <row r="49">
      <c r="A49" s="4" t="str">
        <f>IFERROR(__xludf.DUMMYFUNCTION("""COMPUTED_VALUE"""),"CNTT2026-048")</f>
        <v>CNTT2026-048</v>
      </c>
      <c r="B49" s="4" t="str">
        <f>IFERROR(__xludf.DUMMYFUNCTION("""COMPUTED_VALUE"""),"Công nghệ thông tin")</f>
        <v>Công nghệ thông tin</v>
      </c>
      <c r="C49" s="4" t="str">
        <f>IFERROR(__xludf.DUMMYFUNCTION("""COMPUTED_VALUE"""),"UNIVERSITY - CERTIFICATE - CONNECTION")</f>
        <v>UNIVERSITY - CERTIFICATE - CONNECTION</v>
      </c>
      <c r="D49" s="4" t="str">
        <f>IFERROR(__xludf.DUMMYFUNCTION("""COMPUTED_VALUE"""),"Phạm Trần Bình An; Cao Thuỳ Linh; Nguyễn Thu Thảo; Nguyễn Phương Thuỳ Anh; Nguyễn Phương Thảo")</f>
        <v>Phạm Trần Bình An; Cao Thuỳ Linh; Nguyễn Thu Thảo; Nguyễn Phương Thuỳ Anh; Nguyễn Phương Thảo</v>
      </c>
      <c r="E49" s="4" t="str">
        <f>IFERROR(__xludf.DUMMYFUNCTION("""COMPUTED_VALUE"""),"Trường Đại học Ngoại ngữ, ĐHQG Hà Nội")</f>
        <v>Trường Đại học Ngoại ngữ, ĐHQG Hà Nội</v>
      </c>
      <c r="F49" s="4" t="str">
        <f>IFERROR(__xludf.DUMMYFUNCTION("""COMPUTED_VALUE"""),"CNTT2026-048.png")</f>
        <v>CNTT2026-048.png</v>
      </c>
    </row>
    <row r="50">
      <c r="A50" s="4" t="str">
        <f>IFERROR(__xludf.DUMMYFUNCTION("""COMPUTED_VALUE"""),"CNTT2026-049")</f>
        <v>CNTT2026-049</v>
      </c>
      <c r="B50" s="4" t="str">
        <f>IFERROR(__xludf.DUMMYFUNCTION("""COMPUTED_VALUE"""),"Công nghệ thông tin")</f>
        <v>Công nghệ thông tin</v>
      </c>
      <c r="C50" s="4" t="str">
        <f>IFERROR(__xludf.DUMMYFUNCTION("""COMPUTED_VALUE"""),"Hệ thống Phát hiện Phishing Đa Phương thức và Chống chịu Tấn công Đối nghịch")</f>
        <v>Hệ thống Phát hiện Phishing Đa Phương thức và Chống chịu Tấn công Đối nghịch</v>
      </c>
      <c r="D50" s="4" t="str">
        <f>IFERROR(__xludf.DUMMYFUNCTION("""COMPUTED_VALUE"""),"Hồ Lê Giỏi; Nguyễn Đình Quốc Trí; Trần Phúc Tiến")</f>
        <v>Hồ Lê Giỏi; Nguyễn Đình Quốc Trí; Trần Phúc Tiến</v>
      </c>
      <c r="E50" s="4" t="str">
        <f>IFERROR(__xludf.DUMMYFUNCTION("""COMPUTED_VALUE"""),"Học viện Công nghệ Bưu chính Viễn thông")</f>
        <v>Học viện Công nghệ Bưu chính Viễn thông</v>
      </c>
      <c r="F50" s="4" t="str">
        <f>IFERROR(__xludf.DUMMYFUNCTION("""COMPUTED_VALUE"""),"CNTT2026-049.png")</f>
        <v>CNTT2026-049.png</v>
      </c>
    </row>
    <row r="51">
      <c r="A51" s="4" t="str">
        <f>IFERROR(__xludf.DUMMYFUNCTION("""COMPUTED_VALUE"""),"CNTT2026-050")</f>
        <v>CNTT2026-050</v>
      </c>
      <c r="B51" s="4" t="str">
        <f>IFERROR(__xludf.DUMMYFUNCTION("""COMPUTED_VALUE"""),"Công nghệ thông tin")</f>
        <v>Công nghệ thông tin</v>
      </c>
      <c r="C51" s="4" t="str">
        <f>IFERROR(__xludf.DUMMYFUNCTION("""COMPUTED_VALUE"""),"AN AUTOMATED MITRE ATT&amp;CK–DRIVEN FRAMEWORK FOR EVALUATING IDS/IPS AND SOC DETECTION CAPABILITIES")</f>
        <v>AN AUTOMATED MITRE ATT&amp;CK–DRIVEN FRAMEWORK FOR EVALUATING IDS/IPS AND SOC DETECTION CAPABILITIES</v>
      </c>
      <c r="D51" s="4" t="str">
        <f>IFERROR(__xludf.DUMMYFUNCTION("""COMPUTED_VALUE"""),"Đỗ Phạm Hoàng Phúc")</f>
        <v>Đỗ Phạm Hoàng Phúc</v>
      </c>
      <c r="E51" s="4" t="str">
        <f>IFERROR(__xludf.DUMMYFUNCTION("""COMPUTED_VALUE"""),"Trường Đại học Gia Định")</f>
        <v>Trường Đại học Gia Định</v>
      </c>
      <c r="F51" s="4" t="str">
        <f>IFERROR(__xludf.DUMMYFUNCTION("""COMPUTED_VALUE"""),"CNTT2026-050.png")</f>
        <v>CNTT2026-050.png</v>
      </c>
    </row>
    <row r="52">
      <c r="A52" s="4" t="str">
        <f>IFERROR(__xludf.DUMMYFUNCTION("""COMPUTED_VALUE"""),"CNTT2026-051")</f>
        <v>CNTT2026-051</v>
      </c>
      <c r="B52" s="4" t="str">
        <f>IFERROR(__xludf.DUMMYFUNCTION("""COMPUTED_VALUE"""),"Công nghệ thông tin")</f>
        <v>Công nghệ thông tin</v>
      </c>
      <c r="C52" s="4" t="str">
        <f>IFERROR(__xludf.DUMMYFUNCTION("""COMPUTED_VALUE"""),"THIẾT KẾ, HIỆN THỰC VÀ ĐÁNH GIÁ KIẾN TRÚC CỤM EDGE-AI PHÂN TÁN DỊ THỂ NHẰM TỐI ƯU HIỆU SUẤT CHO CÁC TÁC VỤ AI")</f>
        <v>THIẾT KẾ, HIỆN THỰC VÀ ĐÁNH GIÁ KIẾN TRÚC CỤM EDGE-AI PHÂN TÁN DỊ THỂ NHẰM TỐI ƯU HIỆU SUẤT CHO CÁC TÁC VỤ AI</v>
      </c>
      <c r="D52" s="4" t="str">
        <f>IFERROR(__xludf.DUMMYFUNCTION("""COMPUTED_VALUE"""),"Trần An Huy; Trần Quang Huy")</f>
        <v>Trần An Huy; Trần Quang Huy</v>
      </c>
      <c r="E52" s="4" t="str">
        <f>IFERROR(__xludf.DUMMYFUNCTION("""COMPUTED_VALUE"""),"Trường Đại học Công nghệ Thông tin, ĐHQG-HCM")</f>
        <v>Trường Đại học Công nghệ Thông tin, ĐHQG-HCM</v>
      </c>
      <c r="F52" s="4" t="str">
        <f>IFERROR(__xludf.DUMMYFUNCTION("""COMPUTED_VALUE"""),"CNTT2026-051.png")</f>
        <v>CNTT2026-051.png</v>
      </c>
    </row>
    <row r="53">
      <c r="A53" s="4" t="str">
        <f>IFERROR(__xludf.DUMMYFUNCTION("""COMPUTED_VALUE"""),"CNTT2026-052")</f>
        <v>CNTT2026-052</v>
      </c>
      <c r="B53" s="4" t="str">
        <f>IFERROR(__xludf.DUMMYFUNCTION("""COMPUTED_VALUE"""),"Công nghệ thông tin")</f>
        <v>Công nghệ thông tin</v>
      </c>
      <c r="C53" s="4" t="str">
        <f>IFERROR(__xludf.DUMMYFUNCTION("""COMPUTED_VALUE"""),"Giải pháp giám sát an ninh thông minh đa camera chi phí thấp, công suất thấp dựa trên điện toán biên và mô hình học sâu lượng tử hóa")</f>
        <v>Giải pháp giám sát an ninh thông minh đa camera chi phí thấp, công suất thấp dựa trên điện toán biên và mô hình học sâu lượng tử hóa</v>
      </c>
      <c r="D53" s="4" t="str">
        <f>IFERROR(__xludf.DUMMYFUNCTION("""COMPUTED_VALUE"""),"Phan Vũ Đăng Khoa; Phạm Ngọc Anh Hào")</f>
        <v>Phan Vũ Đăng Khoa; Phạm Ngọc Anh Hào</v>
      </c>
      <c r="E53" s="4" t="str">
        <f>IFERROR(__xludf.DUMMYFUNCTION("""COMPUTED_VALUE"""),"Trường Đại học Khoa học Tự nhiên, ĐHQG-HCM")</f>
        <v>Trường Đại học Khoa học Tự nhiên, ĐHQG-HCM</v>
      </c>
      <c r="F53" s="4" t="str">
        <f>IFERROR(__xludf.DUMMYFUNCTION("""COMPUTED_VALUE"""),"CNTT2026-052.png")</f>
        <v>CNTT2026-052.png</v>
      </c>
    </row>
    <row r="54">
      <c r="A54" s="4" t="str">
        <f>IFERROR(__xludf.DUMMYFUNCTION("""COMPUTED_VALUE"""),"CNTT2026-053")</f>
        <v>CNTT2026-053</v>
      </c>
      <c r="B54" s="4" t="str">
        <f>IFERROR(__xludf.DUMMYFUNCTION("""COMPUTED_VALUE"""),"Công nghệ thông tin")</f>
        <v>Công nghệ thông tin</v>
      </c>
      <c r="C54" s="4" t="str">
        <f>IFERROR(__xludf.DUMMYFUNCTION("""COMPUTED_VALUE"""),"Hệ thống chụp cắt lớp trở kháng điện 16 điện cực tích hợp trí tuệ nhân tạo nhúng trên STM32H7 để nhận biết số lượng và định vị vật thể theo vùng góc")</f>
        <v>Hệ thống chụp cắt lớp trở kháng điện 16 điện cực tích hợp trí tuệ nhân tạo nhúng trên STM32H7 để nhận biết số lượng và định vị vật thể theo vùng góc</v>
      </c>
      <c r="D54" s="4" t="str">
        <f>IFERROR(__xludf.DUMMYFUNCTION("""COMPUTED_VALUE"""),"Lưu Hữu Phước; Huỳnh Tuấn Kiệt; Trần Minh Cao Nguyên; Huỳnh Tấn Phát; Trương Công Vinh")</f>
        <v>Lưu Hữu Phước; Huỳnh Tuấn Kiệt; Trần Minh Cao Nguyên; Huỳnh Tấn Phát; Trương Công Vinh</v>
      </c>
      <c r="E54" s="4" t="str">
        <f>IFERROR(__xludf.DUMMYFUNCTION("""COMPUTED_VALUE"""),"Trường Đại học Khoa học Tự nhiên, ĐHQG-HCM")</f>
        <v>Trường Đại học Khoa học Tự nhiên, ĐHQG-HCM</v>
      </c>
      <c r="F54" s="4" t="str">
        <f>IFERROR(__xludf.DUMMYFUNCTION("""COMPUTED_VALUE"""),"CNTT2026-053.png")</f>
        <v>CNTT2026-053.png</v>
      </c>
    </row>
    <row r="55">
      <c r="A55" s="4" t="str">
        <f>IFERROR(__xludf.DUMMYFUNCTION("""COMPUTED_VALUE"""),"CNTT2026-054")</f>
        <v>CNTT2026-054</v>
      </c>
      <c r="B55" s="4" t="str">
        <f>IFERROR(__xludf.DUMMYFUNCTION("""COMPUTED_VALUE"""),"Công nghệ thông tin")</f>
        <v>Công nghệ thông tin</v>
      </c>
      <c r="C55" s="4" t="str">
        <f>IFERROR(__xludf.DUMMYFUNCTION("""COMPUTED_VALUE"""),"Thiết kế chip dựa trên vi xử lý RISCV đa lõi tích hợp lõi mật mã hoá nhẹ ứng dụng bảo mật thiết bị IoT biên trên công nghệ CMOS 130nm")</f>
        <v>Thiết kế chip dựa trên vi xử lý RISCV đa lõi tích hợp lõi mật mã hoá nhẹ ứng dụng bảo mật thiết bị IoT biên trên công nghệ CMOS 130nm</v>
      </c>
      <c r="D55" s="4" t="str">
        <f>IFERROR(__xludf.DUMMYFUNCTION("""COMPUTED_VALUE"""),"Trần Võ Thiên Phúc; Trần Hưng Thời; Hồ Huy Thịnh; Phan Thành Nhân; Đàm Minh Quân")</f>
        <v>Trần Võ Thiên Phúc; Trần Hưng Thời; Hồ Huy Thịnh; Phan Thành Nhân; Đàm Minh Quân</v>
      </c>
      <c r="E55" s="4" t="str">
        <f>IFERROR(__xludf.DUMMYFUNCTION("""COMPUTED_VALUE"""),"Trường Đại học Khoa học Tự nhiên, ĐHQG-HCM")</f>
        <v>Trường Đại học Khoa học Tự nhiên, ĐHQG-HCM</v>
      </c>
      <c r="F55" s="4" t="str">
        <f>IFERROR(__xludf.DUMMYFUNCTION("""COMPUTED_VALUE"""),"CNTT2026-054.png")</f>
        <v>CNTT2026-054.png</v>
      </c>
    </row>
    <row r="56">
      <c r="A56" s="4" t="str">
        <f>IFERROR(__xludf.DUMMYFUNCTION("""COMPUTED_VALUE"""),"CNTT2026-055")</f>
        <v>CNTT2026-055</v>
      </c>
      <c r="B56" s="4" t="str">
        <f>IFERROR(__xludf.DUMMYFUNCTION("""COMPUTED_VALUE"""),"Công nghệ thông tin")</f>
        <v>Công nghệ thông tin</v>
      </c>
      <c r="C56" s="4" t="str">
        <f>IFERROR(__xludf.DUMMYFUNCTION("""COMPUTED_VALUE"""),"Tối ưu quỹ đạo UAV dựa trên học tăng cường sâu cho mạng IOV HAP - OIRS / FSO với thu hoạch năng lượng kết hợp FSO/mặt trời")</f>
        <v>Tối ưu quỹ đạo UAV dựa trên học tăng cường sâu cho mạng IOV HAP - OIRS / FSO với thu hoạch năng lượng kết hợp FSO/mặt trời</v>
      </c>
      <c r="D56" s="4" t="str">
        <f>IFERROR(__xludf.DUMMYFUNCTION("""COMPUTED_VALUE"""),"Trịnh Hoàng Hảo; Đỗ Hà Linh; Phạm Bằng Trang")</f>
        <v>Trịnh Hoàng Hảo; Đỗ Hà Linh; Phạm Bằng Trang</v>
      </c>
      <c r="E56" s="4" t="str">
        <f>IFERROR(__xludf.DUMMYFUNCTION("""COMPUTED_VALUE"""),"Học viện Công nghệ Bưu chính Viễn thông")</f>
        <v>Học viện Công nghệ Bưu chính Viễn thông</v>
      </c>
      <c r="F56" s="4" t="str">
        <f>IFERROR(__xludf.DUMMYFUNCTION("""COMPUTED_VALUE"""),"CNTT2026-055.png")</f>
        <v>CNTT2026-055.png</v>
      </c>
    </row>
    <row r="57">
      <c r="A57" s="4" t="str">
        <f>IFERROR(__xludf.DUMMYFUNCTION("""COMPUTED_VALUE"""),"CNTT2026-056")</f>
        <v>CNTT2026-056</v>
      </c>
      <c r="B57" s="4" t="str">
        <f>IFERROR(__xludf.DUMMYFUNCTION("""COMPUTED_VALUE"""),"Công nghệ thông tin")</f>
        <v>Công nghệ thông tin</v>
      </c>
      <c r="C57" s="4" t="str">
        <f>IFERROR(__xludf.DUMMYFUNCTION("""COMPUTED_VALUE"""),"Thiết kế lõi vi mạch Aegis-6G-UAV")</f>
        <v>Thiết kế lõi vi mạch Aegis-6G-UAV</v>
      </c>
      <c r="D57" s="4" t="str">
        <f>IFERROR(__xludf.DUMMYFUNCTION("""COMPUTED_VALUE"""),"Nguyễn Trần Thanh Sơn; Đỗ Minh Quân; Nguyễn Hữu Bắc")</f>
        <v>Nguyễn Trần Thanh Sơn; Đỗ Minh Quân; Nguyễn Hữu Bắc</v>
      </c>
      <c r="E57" s="4" t="str">
        <f>IFERROR(__xludf.DUMMYFUNCTION("""COMPUTED_VALUE"""),"Học viện Công nghệ Bưu chính Viễn thông")</f>
        <v>Học viện Công nghệ Bưu chính Viễn thông</v>
      </c>
      <c r="F57" s="4" t="str">
        <f>IFERROR(__xludf.DUMMYFUNCTION("""COMPUTED_VALUE"""),"CNTT2026-056.png")</f>
        <v>CNTT2026-056.png</v>
      </c>
    </row>
    <row r="58">
      <c r="A58" s="4" t="str">
        <f>IFERROR(__xludf.DUMMYFUNCTION("""COMPUTED_VALUE"""),"CNTT2026-057")</f>
        <v>CNTT2026-057</v>
      </c>
      <c r="B58" s="4" t="str">
        <f>IFERROR(__xludf.DUMMYFUNCTION("""COMPUTED_VALUE"""),"Công nghệ thông tin")</f>
        <v>Công nghệ thông tin</v>
      </c>
      <c r="C58" s="4" t="str">
        <f>IFERROR(__xludf.DUMMYFUNCTION("""COMPUTED_VALUE"""),"Hệ thống tai nghe dẫn truyền xương tích hợp IoT và AI hỗ trợ người khiếm thị nhận biết xe điện")</f>
        <v>Hệ thống tai nghe dẫn truyền xương tích hợp IoT và AI hỗ trợ người khiếm thị nhận biết xe điện</v>
      </c>
      <c r="D58" s="4" t="str">
        <f>IFERROR(__xludf.DUMMYFUNCTION("""COMPUTED_VALUE"""),"Huỳnh Gia Bảo; Võ Thành Tài")</f>
        <v>Huỳnh Gia Bảo; Võ Thành Tài</v>
      </c>
      <c r="E58" s="4" t="str">
        <f>IFERROR(__xludf.DUMMYFUNCTION("""COMPUTED_VALUE"""),"Trường Đại học Giao thông vận tải TP. Hồ Chí Minh")</f>
        <v>Trường Đại học Giao thông vận tải TP. Hồ Chí Minh</v>
      </c>
      <c r="F58" s="4" t="str">
        <f>IFERROR(__xludf.DUMMYFUNCTION("""COMPUTED_VALUE"""),"CNTT2026-057.png")</f>
        <v>CNTT2026-057.png</v>
      </c>
    </row>
    <row r="59">
      <c r="A59" s="4" t="str">
        <f>IFERROR(__xludf.DUMMYFUNCTION("""COMPUTED_VALUE"""),"CNTT2026-058")</f>
        <v>CNTT2026-058</v>
      </c>
      <c r="B59" s="4" t="str">
        <f>IFERROR(__xludf.DUMMYFUNCTION("""COMPUTED_VALUE"""),"Công nghệ thông tin")</f>
        <v>Công nghệ thông tin</v>
      </c>
      <c r="C59" s="4" t="str">
        <f>IFERROR(__xludf.DUMMYFUNCTION("""COMPUTED_VALUE"""),"Ứng dụng công nghệ truyền thông tích hợp cảm biến (ISAC) cho hệ thống lai ghép FSO/RF trong mạng Internet phương tiện (IoV) sử dụng tín hiệu tán xạ ngược")</f>
        <v>Ứng dụng công nghệ truyền thông tích hợp cảm biến (ISAC) cho hệ thống lai ghép FSO/RF trong mạng Internet phương tiện (IoV) sử dụng tín hiệu tán xạ ngược</v>
      </c>
      <c r="D59" s="4" t="str">
        <f>IFERROR(__xludf.DUMMYFUNCTION("""COMPUTED_VALUE"""),"Nguyễn Trung Dũng; Phạm Bằng Trang; Đỗ Hà Linh")</f>
        <v>Nguyễn Trung Dũng; Phạm Bằng Trang; Đỗ Hà Linh</v>
      </c>
      <c r="E59" s="4" t="str">
        <f>IFERROR(__xludf.DUMMYFUNCTION("""COMPUTED_VALUE"""),"Học viện Công nghệ Bưu chính Viễn thông")</f>
        <v>Học viện Công nghệ Bưu chính Viễn thông</v>
      </c>
      <c r="F59" s="4" t="str">
        <f>IFERROR(__xludf.DUMMYFUNCTION("""COMPUTED_VALUE"""),"CNTT2026-058.png")</f>
        <v>CNTT2026-058.png</v>
      </c>
    </row>
    <row r="60">
      <c r="A60" s="4" t="str">
        <f>IFERROR(__xludf.DUMMYFUNCTION("""COMPUTED_VALUE"""),"CNTT2026-059")</f>
        <v>CNTT2026-059</v>
      </c>
      <c r="B60" s="4" t="str">
        <f>IFERROR(__xludf.DUMMYFUNCTION("""COMPUTED_VALUE"""),"Công nghệ thông tin")</f>
        <v>Công nghệ thông tin</v>
      </c>
      <c r="C60" s="4" t="str">
        <f>IFERROR(__xludf.DUMMYFUNCTION("""COMPUTED_VALUE"""),"Tối ưu khoảng cách phần tử OIRS bằng DRL cho hệ thống FSO trong mạng truyền thông phi mặt đất")</f>
        <v>Tối ưu khoảng cách phần tử OIRS bằng DRL cho hệ thống FSO trong mạng truyền thông phi mặt đất</v>
      </c>
      <c r="D60" s="4" t="str">
        <f>IFERROR(__xludf.DUMMYFUNCTION("""COMPUTED_VALUE"""),"Trần Hữu Bảo Anh; Nguyễn Thạc Anh; Lê Hoàng Nam Khánh")</f>
        <v>Trần Hữu Bảo Anh; Nguyễn Thạc Anh; Lê Hoàng Nam Khánh</v>
      </c>
      <c r="E60" s="4" t="str">
        <f>IFERROR(__xludf.DUMMYFUNCTION("""COMPUTED_VALUE"""),"Học viện Công nghệ Bưu chính Viễn thông")</f>
        <v>Học viện Công nghệ Bưu chính Viễn thông</v>
      </c>
      <c r="F60" s="4" t="str">
        <f>IFERROR(__xludf.DUMMYFUNCTION("""COMPUTED_VALUE"""),"CNTT2026-059.png")</f>
        <v>CNTT2026-059.png</v>
      </c>
    </row>
    <row r="61">
      <c r="A61" s="4" t="str">
        <f>IFERROR(__xludf.DUMMYFUNCTION("""COMPUTED_VALUE"""),"CNTT2026-060")</f>
        <v>CNTT2026-060</v>
      </c>
      <c r="B61" s="4" t="str">
        <f>IFERROR(__xludf.DUMMYFUNCTION("""COMPUTED_VALUE"""),"Công nghệ thông tin")</f>
        <v>Công nghệ thông tin</v>
      </c>
      <c r="C61" s="4" t="str">
        <f>IFERROR(__xludf.DUMMYFUNCTION("""COMPUTED_VALUE"""),"Nghiên cứu và phát triển anten phân cực tròn hiệu năng cao cho các ứng dụng băng rộng")</f>
        <v>Nghiên cứu và phát triển anten phân cực tròn hiệu năng cao cho các ứng dụng băng rộng</v>
      </c>
      <c r="D61" s="4" t="str">
        <f>IFERROR(__xludf.DUMMYFUNCTION("""COMPUTED_VALUE"""),"Phạm Anh Tài; Hồ Đăng Khoa")</f>
        <v>Phạm Anh Tài; Hồ Đăng Khoa</v>
      </c>
      <c r="E61" s="4" t="str">
        <f>IFERROR(__xludf.DUMMYFUNCTION("""COMPUTED_VALUE"""),"Học viện Công nghệ Bưu chính Viễn thông")</f>
        <v>Học viện Công nghệ Bưu chính Viễn thông</v>
      </c>
      <c r="F61" s="4" t="str">
        <f>IFERROR(__xludf.DUMMYFUNCTION("""COMPUTED_VALUE"""),"CNTT2026-060.png")</f>
        <v>CNTT2026-060.png</v>
      </c>
    </row>
    <row r="62">
      <c r="A62" s="4" t="str">
        <f>IFERROR(__xludf.DUMMYFUNCTION("""COMPUTED_VALUE"""),"CNTT2026-061")</f>
        <v>CNTT2026-061</v>
      </c>
      <c r="B62" s="4" t="str">
        <f>IFERROR(__xludf.DUMMYFUNCTION("""COMPUTED_VALUE"""),"Công nghệ thông tin")</f>
        <v>Công nghệ thông tin</v>
      </c>
      <c r="C62" s="4" t="str">
        <f>IFERROR(__xludf.DUMMYFUNCTION("""COMPUTED_VALUE"""),"NGHIÊN CỨU, THIẾT KẾ VÀ TÍCH HỢP HỆ THỐNG SOC TĂNG TỐC VÀ GIÁM SÁT QUỸ ĐẠO AN TOÀN THỜI GIAN THỰC TRÊN FPGA CHO XE TỰ HÀNH (VLA-Traj &lt;-&gt; TSM)")</f>
        <v>NGHIÊN CỨU, THIẾT KẾ VÀ TÍCH HỢP HỆ THỐNG SOC TĂNG TỐC VÀ GIÁM SÁT QUỸ ĐẠO AN TOÀN THỜI GIAN THỰC TRÊN FPGA CHO XE TỰ HÀNH (VLA-Traj &lt;-&gt; TSM)</v>
      </c>
      <c r="D62" s="4" t="str">
        <f>IFERROR(__xludf.DUMMYFUNCTION("""COMPUTED_VALUE"""),"Ngô Đức Anh")</f>
        <v>Ngô Đức Anh</v>
      </c>
      <c r="E62" s="4" t="str">
        <f>IFERROR(__xludf.DUMMYFUNCTION("""COMPUTED_VALUE"""),"Trường Đại học Bách Khoa, ĐHQG-HCM")</f>
        <v>Trường Đại học Bách Khoa, ĐHQG-HCM</v>
      </c>
      <c r="F62" s="4" t="str">
        <f>IFERROR(__xludf.DUMMYFUNCTION("""COMPUTED_VALUE"""),"CNTT2026-061.png")</f>
        <v>CNTT2026-061.png</v>
      </c>
    </row>
    <row r="63">
      <c r="A63" s="4" t="str">
        <f>IFERROR(__xludf.DUMMYFUNCTION("""COMPUTED_VALUE"""),"CNTT2026-062")</f>
        <v>CNTT2026-062</v>
      </c>
      <c r="B63" s="4" t="str">
        <f>IFERROR(__xludf.DUMMYFUNCTION("""COMPUTED_VALUE"""),"Công nghệ thông tin")</f>
        <v>Công nghệ thông tin</v>
      </c>
      <c r="C63" s="4" t="str">
        <f>IFERROR(__xludf.DUMMYFUNCTION("""COMPUTED_VALUE"""),"NGHIÊN CỨU PHÁT TRIỂN ANTEN ĐỘ LỢI CAO BĂNG TẦN N78 CHO TRẠM GỐC CỠ NHỎ 5G/5G-ADVANCED")</f>
        <v>NGHIÊN CỨU PHÁT TRIỂN ANTEN ĐỘ LỢI CAO BĂNG TẦN N78 CHO TRẠM GỐC CỠ NHỎ 5G/5G-ADVANCED</v>
      </c>
      <c r="D63" s="4" t="str">
        <f>IFERROR(__xludf.DUMMYFUNCTION("""COMPUTED_VALUE"""),"Trần Lê Phúc Khang; Phạm Hoàng Huy")</f>
        <v>Trần Lê Phúc Khang; Phạm Hoàng Huy</v>
      </c>
      <c r="E63" s="4" t="str">
        <f>IFERROR(__xludf.DUMMYFUNCTION("""COMPUTED_VALUE"""),"Trường Đại học Bách Khoa, ĐHQG-HCM")</f>
        <v>Trường Đại học Bách Khoa, ĐHQG-HCM</v>
      </c>
      <c r="F63" s="4" t="str">
        <f>IFERROR(__xludf.DUMMYFUNCTION("""COMPUTED_VALUE"""),"CNTT2026-062.png")</f>
        <v>CNTT2026-062.png</v>
      </c>
    </row>
    <row r="64">
      <c r="A64" s="4" t="str">
        <f>IFERROR(__xludf.DUMMYFUNCTION("""COMPUTED_VALUE"""),"CNTT2026-063")</f>
        <v>CNTT2026-063</v>
      </c>
      <c r="B64" s="4" t="str">
        <f>IFERROR(__xludf.DUMMYFUNCTION("""COMPUTED_VALUE"""),"Công nghệ thông tin")</f>
        <v>Công nghệ thông tin</v>
      </c>
      <c r="C64" s="4" t="str">
        <f>IFERROR(__xludf.DUMMYFUNCTION("""COMPUTED_VALUE"""),"Nghiên cứu giải pháp AIot cho phát hiện hư hỏng mặt đường thời gian thực dựa trên hợp nhất dữ liệu đa cảm biến trên phần cứng nhúng hạn chế tài nguyên")</f>
        <v>Nghiên cứu giải pháp AIot cho phát hiện hư hỏng mặt đường thời gian thực dựa trên hợp nhất dữ liệu đa cảm biến trên phần cứng nhúng hạn chế tài nguyên</v>
      </c>
      <c r="D64" s="4" t="str">
        <f>IFERROR(__xludf.DUMMYFUNCTION("""COMPUTED_VALUE"""),"Võ Lê Huy; Trần Phúc Lâm; Nguyễn Ngọc Tới; Trần Thái Thanh Tố")</f>
        <v>Võ Lê Huy; Trần Phúc Lâm; Nguyễn Ngọc Tới; Trần Thái Thanh Tố</v>
      </c>
      <c r="E64" s="4" t="str">
        <f>IFERROR(__xludf.DUMMYFUNCTION("""COMPUTED_VALUE"""),"Trường Đại học Quy Nhơn")</f>
        <v>Trường Đại học Quy Nhơn</v>
      </c>
      <c r="F64" s="4" t="str">
        <f>IFERROR(__xludf.DUMMYFUNCTION("""COMPUTED_VALUE"""),"CNTT2026-063.png")</f>
        <v>CNTT2026-063.png</v>
      </c>
    </row>
    <row r="65">
      <c r="A65" s="4" t="str">
        <f>IFERROR(__xludf.DUMMYFUNCTION("""COMPUTED_VALUE"""),"CNTT2026-064")</f>
        <v>CNTT2026-064</v>
      </c>
      <c r="B65" s="4" t="str">
        <f>IFERROR(__xludf.DUMMYFUNCTION("""COMPUTED_VALUE"""),"Công nghệ thông tin")</f>
        <v>Công nghệ thông tin</v>
      </c>
      <c r="C65" s="4" t="str">
        <f>IFERROR(__xludf.DUMMYFUNCTION("""COMPUTED_VALUE"""),"Phân tích dữ liệu sức khỏe, phát hiện bất thường và xây dựng hệ thống cảnh báo y tế thông minh")</f>
        <v>Phân tích dữ liệu sức khỏe, phát hiện bất thường và xây dựng hệ thống cảnh báo y tế thông minh</v>
      </c>
      <c r="D65" s="4" t="str">
        <f>IFERROR(__xludf.DUMMYFUNCTION("""COMPUTED_VALUE"""),"Huỳnh Thảo Vy; Châu Hồng Ngọc")</f>
        <v>Huỳnh Thảo Vy; Châu Hồng Ngọc</v>
      </c>
      <c r="E65" s="4" t="str">
        <f>IFERROR(__xludf.DUMMYFUNCTION("""COMPUTED_VALUE"""),"Trường Đại học Nguyễn Tất Thành")</f>
        <v>Trường Đại học Nguyễn Tất Thành</v>
      </c>
      <c r="F65" s="4" t="str">
        <f>IFERROR(__xludf.DUMMYFUNCTION("""COMPUTED_VALUE"""),"CNTT2026-064.png")</f>
        <v>CNTT2026-064.png</v>
      </c>
    </row>
    <row r="66">
      <c r="A66" s="4" t="str">
        <f>IFERROR(__xludf.DUMMYFUNCTION("""COMPUTED_VALUE"""),"CNTT2026-065")</f>
        <v>CNTT2026-065</v>
      </c>
      <c r="B66" s="4" t="str">
        <f>IFERROR(__xludf.DUMMYFUNCTION("""COMPUTED_VALUE"""),"Công nghệ thông tin")</f>
        <v>Công nghệ thông tin</v>
      </c>
      <c r="C66" s="4" t="str">
        <f>IFERROR(__xludf.DUMMYFUNCTION("""COMPUTED_VALUE"""),"HỆ THỐNG KIỂM SOÁT TÀI CHÍNH THÔNG MINH DỰA TRÊN NỀN TẢNG WEBSITE")</f>
        <v>HỆ THỐNG KIỂM SOÁT TÀI CHÍNH THÔNG MINH DỰA TRÊN NỀN TẢNG WEBSITE</v>
      </c>
      <c r="D66" s="4" t="str">
        <f>IFERROR(__xludf.DUMMYFUNCTION("""COMPUTED_VALUE"""),"Nguyễn Hoàng Nhật; Nguyễn Trọng Hiếu; Nguyễn Minh Hào")</f>
        <v>Nguyễn Hoàng Nhật; Nguyễn Trọng Hiếu; Nguyễn Minh Hào</v>
      </c>
      <c r="E66" s="4" t="str">
        <f>IFERROR(__xludf.DUMMYFUNCTION("""COMPUTED_VALUE"""),"Trường Đại học Nguyễn Tất Thành")</f>
        <v>Trường Đại học Nguyễn Tất Thành</v>
      </c>
      <c r="F66" s="4" t="str">
        <f>IFERROR(__xludf.DUMMYFUNCTION("""COMPUTED_VALUE"""),"CNTT2026-065.png")</f>
        <v>CNTT2026-065.png</v>
      </c>
    </row>
    <row r="67">
      <c r="A67" s="4" t="str">
        <f>IFERROR(__xludf.DUMMYFUNCTION("""COMPUTED_VALUE"""),"CNTT2026-066")</f>
        <v>CNTT2026-066</v>
      </c>
      <c r="B67" s="4" t="str">
        <f>IFERROR(__xludf.DUMMYFUNCTION("""COMPUTED_VALUE"""),"Công nghệ thông tin")</f>
        <v>Công nghệ thông tin</v>
      </c>
      <c r="C67" s="4" t="str">
        <f>IFERROR(__xludf.DUMMYFUNCTION("""COMPUTED_VALUE"""),"XÂY DỰNG HỆ THỐNG GỢI Ý LỘ TRÌNH DU LỊCH THÔNG MINH CHO DU KHÁCH TẠI ĐÀ LẠT")</f>
        <v>XÂY DỰNG HỆ THỐNG GỢI Ý LỘ TRÌNH DU LỊCH THÔNG MINH CHO DU KHÁCH TẠI ĐÀ LẠT</v>
      </c>
      <c r="D67" s="4" t="str">
        <f>IFERROR(__xludf.DUMMYFUNCTION("""COMPUTED_VALUE"""),"Nguyễn Thị Thư Tín; Lương Vũ Kim Thu; Lê Nguyễn Duy Minh")</f>
        <v>Nguyễn Thị Thư Tín; Lương Vũ Kim Thu; Lê Nguyễn Duy Minh</v>
      </c>
      <c r="E67" s="4" t="str">
        <f>IFERROR(__xludf.DUMMYFUNCTION("""COMPUTED_VALUE"""),"Trường Đại học Nguyễn Tất Thành")</f>
        <v>Trường Đại học Nguyễn Tất Thành</v>
      </c>
      <c r="F67" s="4" t="str">
        <f>IFERROR(__xludf.DUMMYFUNCTION("""COMPUTED_VALUE"""),"CNTT2026-066.png")</f>
        <v>CNTT2026-066.png</v>
      </c>
    </row>
    <row r="68">
      <c r="A68" s="4" t="str">
        <f>IFERROR(__xludf.DUMMYFUNCTION("""COMPUTED_VALUE"""),"CNTT2026-067")</f>
        <v>CNTT2026-067</v>
      </c>
      <c r="B68" s="4" t="str">
        <f>IFERROR(__xludf.DUMMYFUNCTION("""COMPUTED_VALUE"""),"Công nghệ thông tin")</f>
        <v>Công nghệ thông tin</v>
      </c>
      <c r="C68" s="4" t="str">
        <f>IFERROR(__xludf.DUMMYFUNCTION("""COMPUTED_VALUE"""),"Tối ưu hoá đánh giá tính cách thông qua thuật toán rừng ngẫu nhiên và loại bỏ đặc trưng đệ quy: một phiên bản mbti rút gọn cho bối cảnh Việt Nam")</f>
        <v>Tối ưu hoá đánh giá tính cách thông qua thuật toán rừng ngẫu nhiên và loại bỏ đặc trưng đệ quy: một phiên bản mbti rút gọn cho bối cảnh Việt Nam</v>
      </c>
      <c r="D68" s="4" t="str">
        <f>IFERROR(__xludf.DUMMYFUNCTION("""COMPUTED_VALUE"""),"Nguyễn Tấn Hải; Khổng Đỗ Thanh Huyền")</f>
        <v>Nguyễn Tấn Hải; Khổng Đỗ Thanh Huyền</v>
      </c>
      <c r="E68" s="4" t="str">
        <f>IFERROR(__xludf.DUMMYFUNCTION("""COMPUTED_VALUE"""),"Trường Đại học Sư phạm Hà Nội")</f>
        <v>Trường Đại học Sư phạm Hà Nội</v>
      </c>
      <c r="F68" s="4" t="str">
        <f>IFERROR(__xludf.DUMMYFUNCTION("""COMPUTED_VALUE"""),"CNTT2026-067.png")</f>
        <v>CNTT2026-067.png</v>
      </c>
    </row>
    <row r="69">
      <c r="A69" s="4" t="str">
        <f>IFERROR(__xludf.DUMMYFUNCTION("""COMPUTED_VALUE"""),"CNTT2026-068")</f>
        <v>CNTT2026-068</v>
      </c>
      <c r="B69" s="4" t="str">
        <f>IFERROR(__xludf.DUMMYFUNCTION("""COMPUTED_VALUE"""),"Công nghệ thông tin")</f>
        <v>Công nghệ thông tin</v>
      </c>
      <c r="C69" s="4" t="str">
        <f>IFERROR(__xludf.DUMMYFUNCTION("""COMPUTED_VALUE"""),"3Br-MGD: Dự đoán độc tính trong bài toán học ít mẫu bằng bộ mã hóa sâu ba nhánh và khung học siêu dữ liệu")</f>
        <v>3Br-MGD: Dự đoán độc tính trong bài toán học ít mẫu bằng bộ mã hóa sâu ba nhánh và khung học siêu dữ liệu</v>
      </c>
      <c r="D69" s="4" t="str">
        <f>IFERROR(__xludf.DUMMYFUNCTION("""COMPUTED_VALUE"""),"Nguyễn Thị Phương Thảo")</f>
        <v>Nguyễn Thị Phương Thảo</v>
      </c>
      <c r="E69" s="4" t="str">
        <f>IFERROR(__xludf.DUMMYFUNCTION("""COMPUTED_VALUE"""),"Trường Đại học Công nghiệp TP. Hồ Chí Minh")</f>
        <v>Trường Đại học Công nghiệp TP. Hồ Chí Minh</v>
      </c>
      <c r="F69" s="4" t="str">
        <f>IFERROR(__xludf.DUMMYFUNCTION("""COMPUTED_VALUE"""),"CNTT2026-068.png")</f>
        <v>CNTT2026-068.png</v>
      </c>
    </row>
    <row r="70">
      <c r="A70" s="4" t="str">
        <f>IFERROR(__xludf.DUMMYFUNCTION("""COMPUTED_VALUE"""),"CNTT2026-069")</f>
        <v>CNTT2026-069</v>
      </c>
      <c r="B70" s="4" t="str">
        <f>IFERROR(__xludf.DUMMYFUNCTION("""COMPUTED_VALUE"""),"Công nghệ thông tin")</f>
        <v>Công nghệ thông tin</v>
      </c>
      <c r="C70" s="4" t="str">
        <f>IFERROR(__xludf.DUMMYFUNCTION("""COMPUTED_VALUE"""),"Stacked Hybrid Ensemble Framework for Uncertainty-Aware Demand Forecasting and Inventory Optimization of Perishable Goods")</f>
        <v>Stacked Hybrid Ensemble Framework for Uncertainty-Aware Demand Forecasting and Inventory Optimization of Perishable Goods</v>
      </c>
      <c r="D70" s="4" t="str">
        <f>IFERROR(__xludf.DUMMYFUNCTION("""COMPUTED_VALUE"""),"Đàm Trung Kiên; Cao Thị Thu Trang; Phạm Như Đạt; Trần Thị Yến")</f>
        <v>Đàm Trung Kiên; Cao Thị Thu Trang; Phạm Như Đạt; Trần Thị Yến</v>
      </c>
      <c r="E70" s="4" t="str">
        <f>IFERROR(__xludf.DUMMYFUNCTION("""COMPUTED_VALUE"""),"Trường Quốc tế, ĐHQG Hà Nội")</f>
        <v>Trường Quốc tế, ĐHQG Hà Nội</v>
      </c>
      <c r="F70" s="4" t="str">
        <f>IFERROR(__xludf.DUMMYFUNCTION("""COMPUTED_VALUE"""),"CNTT2026-069.png")</f>
        <v>CNTT2026-069.png</v>
      </c>
    </row>
    <row r="71">
      <c r="A71" s="4" t="str">
        <f>IFERROR(__xludf.DUMMYFUNCTION("""COMPUTED_VALUE"""),"CNTT2026-070")</f>
        <v>CNTT2026-070</v>
      </c>
      <c r="B71" s="4" t="str">
        <f>IFERROR(__xludf.DUMMYFUNCTION("""COMPUTED_VALUE"""),"Công nghệ thông tin")</f>
        <v>Công nghệ thông tin</v>
      </c>
      <c r="C71" s="4" t="str">
        <f>IFERROR(__xludf.DUMMYFUNCTION("""COMPUTED_VALUE"""),"Vision-Language Modeling for Vietnamese Multimodal Fake News Classification.")</f>
        <v>Vision-Language Modeling for Vietnamese Multimodal Fake News Classification.</v>
      </c>
      <c r="D71" s="4" t="str">
        <f>IFERROR(__xludf.DUMMYFUNCTION("""COMPUTED_VALUE"""),"Nguyễn Thành Đạt; Hoàng Hạnh Nguyên; Đỗ Bích Loan; Nguyễn Đào Bảo Ngọc")</f>
        <v>Nguyễn Thành Đạt; Hoàng Hạnh Nguyên; Đỗ Bích Loan; Nguyễn Đào Bảo Ngọc</v>
      </c>
      <c r="E71" s="4" t="str">
        <f>IFERROR(__xludf.DUMMYFUNCTION("""COMPUTED_VALUE"""),"Trường Quốc tế, ĐHQG Hà Nội")</f>
        <v>Trường Quốc tế, ĐHQG Hà Nội</v>
      </c>
      <c r="F71" s="4" t="str">
        <f>IFERROR(__xludf.DUMMYFUNCTION("""COMPUTED_VALUE"""),"CNTT2026-070.png")</f>
        <v>CNTT2026-070.png</v>
      </c>
    </row>
    <row r="72">
      <c r="A72" s="4" t="str">
        <f>IFERROR(__xludf.DUMMYFUNCTION("""COMPUTED_VALUE"""),"CNTT2026-071")</f>
        <v>CNTT2026-071</v>
      </c>
      <c r="B72" s="4" t="str">
        <f>IFERROR(__xludf.DUMMYFUNCTION("""COMPUTED_VALUE"""),"Công nghệ thông tin")</f>
        <v>Công nghệ thông tin</v>
      </c>
      <c r="C72" s="4" t="str">
        <f>IFERROR(__xludf.DUMMYFUNCTION("""COMPUTED_VALUE"""),"A Concept Drift-Aware Hybrid Active Learning Framework for Network Intrusion Detection")</f>
        <v>A Concept Drift-Aware Hybrid Active Learning Framework for Network Intrusion Detection</v>
      </c>
      <c r="D72" s="4" t="str">
        <f>IFERROR(__xludf.DUMMYFUNCTION("""COMPUTED_VALUE"""),"Nguyễn Phước Anh Dũng")</f>
        <v>Nguyễn Phước Anh Dũng</v>
      </c>
      <c r="E72" s="4" t="str">
        <f>IFERROR(__xludf.DUMMYFUNCTION("""COMPUTED_VALUE"""),"Trường Đại học Công nghệ TP. Hồ Chí Minh")</f>
        <v>Trường Đại học Công nghệ TP. Hồ Chí Minh</v>
      </c>
      <c r="F72" s="4" t="str">
        <f>IFERROR(__xludf.DUMMYFUNCTION("""COMPUTED_VALUE"""),"CNTT2026-071.png")</f>
        <v>CNTT2026-071.png</v>
      </c>
    </row>
    <row r="73">
      <c r="A73" s="4" t="str">
        <f>IFERROR(__xludf.DUMMYFUNCTION("""COMPUTED_VALUE"""),"CNTT2026-072")</f>
        <v>CNTT2026-072</v>
      </c>
      <c r="B73" s="4" t="str">
        <f>IFERROR(__xludf.DUMMYFUNCTION("""COMPUTED_VALUE"""),"Công nghệ thông tin")</f>
        <v>Công nghệ thông tin</v>
      </c>
      <c r="C73" s="4" t="str">
        <f>IFERROR(__xludf.DUMMYFUNCTION("""COMPUTED_VALUE"""),"Hộ thống IoT giám sát và điều khiển cảnh báo khí độc trong nhà")</f>
        <v>Hộ thống IoT giám sát và điều khiển cảnh báo khí độc trong nhà</v>
      </c>
      <c r="D73" s="4" t="str">
        <f>IFERROR(__xludf.DUMMYFUNCTION("""COMPUTED_VALUE"""),"Nguyễn Hữu Gia Bảo")</f>
        <v>Nguyễn Hữu Gia Bảo</v>
      </c>
      <c r="E73" s="4" t="str">
        <f>IFERROR(__xludf.DUMMYFUNCTION("""COMPUTED_VALUE"""),"Trường Đại học Thăng Long")</f>
        <v>Trường Đại học Thăng Long</v>
      </c>
      <c r="F73" s="4" t="str">
        <f>IFERROR(__xludf.DUMMYFUNCTION("""COMPUTED_VALUE"""),"CNTT2026-072.png")</f>
        <v>CNTT2026-072.png</v>
      </c>
    </row>
    <row r="74">
      <c r="A74" s="4" t="str">
        <f>IFERROR(__xludf.DUMMYFUNCTION("""COMPUTED_VALUE"""),"CNTT2026-073")</f>
        <v>CNTT2026-073</v>
      </c>
      <c r="B74" s="4" t="str">
        <f>IFERROR(__xludf.DUMMYFUNCTION("""COMPUTED_VALUE"""),"Công nghệ thông tin")</f>
        <v>Công nghệ thông tin</v>
      </c>
      <c r="C74" s="4" t="str">
        <f>IFERROR(__xludf.DUMMYFUNCTION("""COMPUTED_VALUE"""),"ContextGuard-Robot: Ràng buộc quyết định với ngữ cảnh tại thời gian chạy và bảo đảm tính toàn vẹn tại thời điểm cam kết thực thi trong phân công robot (ContextGuard-Robot: Runtime Decision-Context Binding and Commit-Time Integrity Enforcement for Robot Di"&amp;"spatch)")</f>
        <v>ContextGuard-Robot: Ràng buộc quyết định với ngữ cảnh tại thời gian chạy và bảo đảm tính toàn vẹn tại thời điểm cam kết thực thi trong phân công robot (ContextGuard-Robot: Runtime Decision-Context Binding and Commit-Time Integrity Enforcement for Robot Dispatch)</v>
      </c>
      <c r="D74" s="4" t="str">
        <f>IFERROR(__xludf.DUMMYFUNCTION("""COMPUTED_VALUE"""),"Lê Ngọc Tân; Nguyễn Đức Long; Hoàng Phương Thảo; Võ Ngọc Minh Đạt")</f>
        <v>Lê Ngọc Tân; Nguyễn Đức Long; Hoàng Phương Thảo; Võ Ngọc Minh Đạt</v>
      </c>
      <c r="E74" s="4" t="str">
        <f>IFERROR(__xludf.DUMMYFUNCTION("""COMPUTED_VALUE"""),"Trường Đại học Công nghệ Đồng Nai")</f>
        <v>Trường Đại học Công nghệ Đồng Nai</v>
      </c>
      <c r="F74" s="4" t="str">
        <f>IFERROR(__xludf.DUMMYFUNCTION("""COMPUTED_VALUE"""),"CNTT2026-073.png")</f>
        <v>CNTT2026-073.png</v>
      </c>
    </row>
    <row r="75">
      <c r="A75" s="4" t="str">
        <f>IFERROR(__xludf.DUMMYFUNCTION("""COMPUTED_VALUE"""),"CNTT2026-074")</f>
        <v>CNTT2026-074</v>
      </c>
      <c r="B75" s="4" t="str">
        <f>IFERROR(__xludf.DUMMYFUNCTION("""COMPUTED_VALUE"""),"Công nghệ thông tin")</f>
        <v>Công nghệ thông tin</v>
      </c>
      <c r="C75" s="4" t="str">
        <f>IFERROR(__xludf.DUMMYFUNCTION("""COMPUTED_VALUE"""),"Tích hợp học máy giải thích được và luật kết hợp không dư thừa trong hệ thống dự đoán kết quả tốt nghiệp và khuyến nghị học tập cho sinh viên")</f>
        <v>Tích hợp học máy giải thích được và luật kết hợp không dư thừa trong hệ thống dự đoán kết quả tốt nghiệp và khuyến nghị học tập cho sinh viên</v>
      </c>
      <c r="D75" s="4" t="str">
        <f>IFERROR(__xludf.DUMMYFUNCTION("""COMPUTED_VALUE"""),"Lê Thị Kim Oanh; Huỳnh Thanh Quý; Lâm Phát Đạt; Nguyễn Huỳnh Đan Khánh; Huỳnh Nhật Minh Anh")</f>
        <v>Lê Thị Kim Oanh; Huỳnh Thanh Quý; Lâm Phát Đạt; Nguyễn Huỳnh Đan Khánh; Huỳnh Nhật Minh Anh</v>
      </c>
      <c r="E75" s="4" t="str">
        <f>IFERROR(__xludf.DUMMYFUNCTION("""COMPUTED_VALUE"""),"Trường Đại học Công nghiệp TP. Hồ Chí Minh")</f>
        <v>Trường Đại học Công nghiệp TP. Hồ Chí Minh</v>
      </c>
      <c r="F75" s="4" t="str">
        <f>IFERROR(__xludf.DUMMYFUNCTION("""COMPUTED_VALUE"""),"CNTT2026-074.png")</f>
        <v>CNTT2026-074.png</v>
      </c>
    </row>
    <row r="76">
      <c r="A76" s="4" t="str">
        <f>IFERROR(__xludf.DUMMYFUNCTION("""COMPUTED_VALUE"""),"CNTT2026-075")</f>
        <v>CNTT2026-075</v>
      </c>
      <c r="B76" s="4" t="str">
        <f>IFERROR(__xludf.DUMMYFUNCTION("""COMPUTED_VALUE"""),"Công nghệ thông tin")</f>
        <v>Công nghệ thông tin</v>
      </c>
      <c r="C76" s="4" t="str">
        <f>IFERROR(__xludf.DUMMYFUNCTION("""COMPUTED_VALUE"""),"Nghiên cứu và xây dựng hệ thống cảnh báo thông minh hỗ trợ an toàn lái xe dựa trên nhận diện hành vi tài xế")</f>
        <v>Nghiên cứu và xây dựng hệ thống cảnh báo thông minh hỗ trợ an toàn lái xe dựa trên nhận diện hành vi tài xế</v>
      </c>
      <c r="D76" s="4" t="str">
        <f>IFERROR(__xludf.DUMMYFUNCTION("""COMPUTED_VALUE"""),"Nguyễn Minh Đức; Nguyễn Quang Hà; Lê Thị Hương Ly")</f>
        <v>Nguyễn Minh Đức; Nguyễn Quang Hà; Lê Thị Hương Ly</v>
      </c>
      <c r="E76" s="4" t="str">
        <f>IFERROR(__xludf.DUMMYFUNCTION("""COMPUTED_VALUE"""),"Trường Đại học CMC")</f>
        <v>Trường Đại học CMC</v>
      </c>
      <c r="F76" s="4" t="str">
        <f>IFERROR(__xludf.DUMMYFUNCTION("""COMPUTED_VALUE"""),"CNTT2026-075.png")</f>
        <v>CNTT2026-075.png</v>
      </c>
    </row>
    <row r="77">
      <c r="A77" s="4" t="str">
        <f>IFERROR(__xludf.DUMMYFUNCTION("""COMPUTED_VALUE"""),"CNTT2026-076")</f>
        <v>CNTT2026-076</v>
      </c>
      <c r="B77" s="4" t="str">
        <f>IFERROR(__xludf.DUMMYFUNCTION("""COMPUTED_VALUE"""),"Công nghệ thông tin")</f>
        <v>Công nghệ thông tin</v>
      </c>
      <c r="C77" s="4" t="str">
        <f>IFERROR(__xludf.DUMMYFUNCTION("""COMPUTED_VALUE"""),"THÍCH NGHI TRONG THỜI GIAN KIỂM THỬ DỰA TRÊN MÔ HÌNH KHUẾCH TÁN VỚI CƠ CHẾ TỰ DẪN HƯỚNG")</f>
        <v>THÍCH NGHI TRONG THỜI GIAN KIỂM THỬ DỰA TRÊN MÔ HÌNH KHUẾCH TÁN VỚI CƠ CHẾ TỰ DẪN HƯỚNG</v>
      </c>
      <c r="D77" s="4" t="str">
        <f>IFERROR(__xludf.DUMMYFUNCTION("""COMPUTED_VALUE"""),"Bảo Quý Định Tân; Hà Xuân Thiện")</f>
        <v>Bảo Quý Định Tân; Hà Xuân Thiện</v>
      </c>
      <c r="E77" s="4" t="str">
        <f>IFERROR(__xludf.DUMMYFUNCTION("""COMPUTED_VALUE"""),"Trường Đại học Công nghệ Thông tin, ĐHQG-HCM")</f>
        <v>Trường Đại học Công nghệ Thông tin, ĐHQG-HCM</v>
      </c>
      <c r="F77" s="4" t="str">
        <f>IFERROR(__xludf.DUMMYFUNCTION("""COMPUTED_VALUE"""),"CNTT2026-076.png")</f>
        <v>CNTT2026-076.png</v>
      </c>
    </row>
    <row r="78">
      <c r="A78" s="4" t="str">
        <f>IFERROR(__xludf.DUMMYFUNCTION("""COMPUTED_VALUE"""),"CNTT2026-077")</f>
        <v>CNTT2026-077</v>
      </c>
      <c r="B78" s="4" t="str">
        <f>IFERROR(__xludf.DUMMYFUNCTION("""COMPUTED_VALUE"""),"Công nghệ thông tin")</f>
        <v>Công nghệ thông tin</v>
      </c>
      <c r="C78" s="4" t="str">
        <f>IFERROR(__xludf.DUMMYFUNCTION("""COMPUTED_VALUE"""),"ỨNG DỤNG PHƯƠNG PHÁP TRUY XUẤT KẾT HỢP TRONG HỆ THỐNG CHUYỂN ĐỔI VĂN BẢN TIẾNG VIỆT SANG VIDEO THỦ NGỮ")</f>
        <v>ỨNG DỤNG PHƯƠNG PHÁP TRUY XUẤT KẾT HỢP TRONG HỆ THỐNG CHUYỂN ĐỔI VĂN BẢN TIẾNG VIỆT SANG VIDEO THỦ NGỮ</v>
      </c>
      <c r="D78" s="4" t="str">
        <f>IFERROR(__xludf.DUMMYFUNCTION("""COMPUTED_VALUE"""),"Phan Thành Đạt")</f>
        <v>Phan Thành Đạt</v>
      </c>
      <c r="E78" s="4" t="str">
        <f>IFERROR(__xludf.DUMMYFUNCTION("""COMPUTED_VALUE"""),"Trường Đại học Công nghệ Thông tin, ĐHQG-HCM")</f>
        <v>Trường Đại học Công nghệ Thông tin, ĐHQG-HCM</v>
      </c>
      <c r="F78" s="4" t="str">
        <f>IFERROR(__xludf.DUMMYFUNCTION("""COMPUTED_VALUE"""),"CNTT2026-077.png")</f>
        <v>CNTT2026-077.png</v>
      </c>
    </row>
    <row r="79">
      <c r="A79" s="4" t="str">
        <f>IFERROR(__xludf.DUMMYFUNCTION("""COMPUTED_VALUE"""),"CNTT2026-078")</f>
        <v>CNTT2026-078</v>
      </c>
      <c r="B79" s="4" t="str">
        <f>IFERROR(__xludf.DUMMYFUNCTION("""COMPUTED_VALUE"""),"Công nghệ thông tin")</f>
        <v>Công nghệ thông tin</v>
      </c>
      <c r="C79" s="4" t="str">
        <f>IFERROR(__xludf.DUMMYFUNCTION("""COMPUTED_VALUE"""),"Nghiên cứu và ứng dụng mã hóa đồng cấu để bảo vệ dữ liệu vân tay trong hệ thống IoT")</f>
        <v>Nghiên cứu và ứng dụng mã hóa đồng cấu để bảo vệ dữ liệu vân tay trong hệ thống IoT</v>
      </c>
      <c r="D79" s="4" t="str">
        <f>IFERROR(__xludf.DUMMYFUNCTION("""COMPUTED_VALUE"""),"Ngô Hoàng Nhật Khang; Hồ Anh Tuấn")</f>
        <v>Ngô Hoàng Nhật Khang; Hồ Anh Tuấn</v>
      </c>
      <c r="E79" s="4" t="str">
        <f>IFERROR(__xludf.DUMMYFUNCTION("""COMPUTED_VALUE"""),"Viện Nghiên cứu và Đào tạo Việt - Anh, Đại học Đà Nẵng")</f>
        <v>Viện Nghiên cứu và Đào tạo Việt - Anh, Đại học Đà Nẵng</v>
      </c>
      <c r="F79" s="4" t="str">
        <f>IFERROR(__xludf.DUMMYFUNCTION("""COMPUTED_VALUE"""),"CNTT2026-078.png")</f>
        <v>CNTT2026-078.png</v>
      </c>
    </row>
    <row r="80">
      <c r="A80" s="4" t="str">
        <f>IFERROR(__xludf.DUMMYFUNCTION("""COMPUTED_VALUE"""),"CNTT2026-079")</f>
        <v>CNTT2026-079</v>
      </c>
      <c r="B80" s="4" t="str">
        <f>IFERROR(__xludf.DUMMYFUNCTION("""COMPUTED_VALUE"""),"Công nghệ thông tin")</f>
        <v>Công nghệ thông tin</v>
      </c>
      <c r="C80" s="4" t="str">
        <f>IFERROR(__xludf.DUMMYFUNCTION("""COMPUTED_VALUE"""),"Quantitative Assessment of Acupoint Localization Skill on the Learner’s Own Forearm Using a Single RGB Webcam")</f>
        <v>Quantitative Assessment of Acupoint Localization Skill on the Learner’s Own Forearm Using a Single RGB Webcam</v>
      </c>
      <c r="D80" s="4" t="str">
        <f>IFERROR(__xludf.DUMMYFUNCTION("""COMPUTED_VALUE"""),"Trần An Khoa; Nguyễn Tiến Đạt")</f>
        <v>Trần An Khoa; Nguyễn Tiến Đạt</v>
      </c>
      <c r="E80" s="4" t="str">
        <f>IFERROR(__xludf.DUMMYFUNCTION("""COMPUTED_VALUE"""),"Trường Đại học Quốc Tế, ĐHQG-HCM")</f>
        <v>Trường Đại học Quốc Tế, ĐHQG-HCM</v>
      </c>
      <c r="F80" s="4" t="str">
        <f>IFERROR(__xludf.DUMMYFUNCTION("""COMPUTED_VALUE"""),"CNTT2026-079.png")</f>
        <v>CNTT2026-079.png</v>
      </c>
    </row>
    <row r="81">
      <c r="A81" s="4" t="str">
        <f>IFERROR(__xludf.DUMMYFUNCTION("""COMPUTED_VALUE"""),"CNTT2026-080")</f>
        <v>CNTT2026-080</v>
      </c>
      <c r="B81" s="4" t="str">
        <f>IFERROR(__xludf.DUMMYFUNCTION("""COMPUTED_VALUE"""),"Công nghệ thông tin")</f>
        <v>Công nghệ thông tin</v>
      </c>
      <c r="C81" s="4" t="str">
        <f>IFERROR(__xludf.DUMMYFUNCTION("""COMPUTED_VALUE"""),"Kết hợp song tuyến CNN-Transformer cho phân đoạn ảnh vết nứt")</f>
        <v>Kết hợp song tuyến CNN-Transformer cho phân đoạn ảnh vết nứt</v>
      </c>
      <c r="D81" s="4" t="str">
        <f>IFERROR(__xludf.DUMMYFUNCTION("""COMPUTED_VALUE"""),"Bế Lã Anh Thư; Hồ Minh Đăng")</f>
        <v>Bế Lã Anh Thư; Hồ Minh Đăng</v>
      </c>
      <c r="E81" s="4" t="str">
        <f>IFERROR(__xludf.DUMMYFUNCTION("""COMPUTED_VALUE"""),"Trường Đại học Khoa học Tự nhiên, ĐHQG-HCM")</f>
        <v>Trường Đại học Khoa học Tự nhiên, ĐHQG-HCM</v>
      </c>
      <c r="F81" s="4" t="str">
        <f>IFERROR(__xludf.DUMMYFUNCTION("""COMPUTED_VALUE"""),"CNTT2026-080.png")</f>
        <v>CNTT2026-080.png</v>
      </c>
    </row>
    <row r="82">
      <c r="A82" s="4" t="str">
        <f>IFERROR(__xludf.DUMMYFUNCTION("""COMPUTED_VALUE"""),"CNTT2026-081")</f>
        <v>CNTT2026-081</v>
      </c>
      <c r="B82" s="4" t="str">
        <f>IFERROR(__xludf.DUMMYFUNCTION("""COMPUTED_VALUE"""),"Công nghệ thông tin")</f>
        <v>Công nghệ thông tin</v>
      </c>
      <c r="C82" s="4" t="str">
        <f>IFERROR(__xludf.DUMMYFUNCTION("""COMPUTED_VALUE"""),"Mô hình học sâu cảnh báo sớm bạo lực trong môi trường học đường")</f>
        <v>Mô hình học sâu cảnh báo sớm bạo lực trong môi trường học đường</v>
      </c>
      <c r="D82" s="4" t="str">
        <f>IFERROR(__xludf.DUMMYFUNCTION("""COMPUTED_VALUE"""),"Ngô Quang Khánh; Dương Thị Thu Diểm; Phùng Ngọc Nhân; Nguyễn Xuân Phát")</f>
        <v>Ngô Quang Khánh; Dương Thị Thu Diểm; Phùng Ngọc Nhân; Nguyễn Xuân Phát</v>
      </c>
      <c r="E82" s="4" t="str">
        <f>IFERROR(__xludf.DUMMYFUNCTION("""COMPUTED_VALUE"""),"Trường Đại học Sư phạm TP. Hồ Chí Minh")</f>
        <v>Trường Đại học Sư phạm TP. Hồ Chí Minh</v>
      </c>
      <c r="F82" s="4" t="str">
        <f>IFERROR(__xludf.DUMMYFUNCTION("""COMPUTED_VALUE"""),"CNTT2026-081.png")</f>
        <v>CNTT2026-081.png</v>
      </c>
    </row>
    <row r="83">
      <c r="A83" s="4" t="str">
        <f>IFERROR(__xludf.DUMMYFUNCTION("""COMPUTED_VALUE"""),"CNTT2026-082")</f>
        <v>CNTT2026-082</v>
      </c>
      <c r="B83" s="4" t="str">
        <f>IFERROR(__xludf.DUMMYFUNCTION("""COMPUTED_VALUE"""),"Công nghệ thông tin")</f>
        <v>Công nghệ thông tin</v>
      </c>
      <c r="C83" s="4" t="str">
        <f>IFERROR(__xludf.DUMMYFUNCTION("""COMPUTED_VALUE"""),"Nghiên cứu và phát triển hệ thống tự động phát hiện truy cập bất thường vào hệ thống Web/App.")</f>
        <v>Nghiên cứu và phát triển hệ thống tự động phát hiện truy cập bất thường vào hệ thống Web/App.</v>
      </c>
      <c r="D83" s="4" t="str">
        <f>IFERROR(__xludf.DUMMYFUNCTION("""COMPUTED_VALUE"""),"Đặng Tuấn Nam; Hoàng Tùng Giang; Bùi Thị Lệ; Trần Thị Thuỳ Linh; Hà Bạch Dương")</f>
        <v>Đặng Tuấn Nam; Hoàng Tùng Giang; Bùi Thị Lệ; Trần Thị Thuỳ Linh; Hà Bạch Dương</v>
      </c>
      <c r="E83" s="4" t="str">
        <f>IFERROR(__xludf.DUMMYFUNCTION("""COMPUTED_VALUE"""),"Học viện Ngân hàng")</f>
        <v>Học viện Ngân hàng</v>
      </c>
      <c r="F83" s="4" t="str">
        <f>IFERROR(__xludf.DUMMYFUNCTION("""COMPUTED_VALUE"""),"CNTT2026-082.png")</f>
        <v>CNTT2026-082.png</v>
      </c>
    </row>
    <row r="84">
      <c r="A84" s="4" t="str">
        <f>IFERROR(__xludf.DUMMYFUNCTION("""COMPUTED_VALUE"""),"CNTT2026-083")</f>
        <v>CNTT2026-083</v>
      </c>
      <c r="B84" s="4" t="str">
        <f>IFERROR(__xludf.DUMMYFUNCTION("""COMPUTED_VALUE"""),"Công nghệ thông tin")</f>
        <v>Công nghệ thông tin</v>
      </c>
      <c r="C84" s="4" t="str">
        <f>IFERROR(__xludf.DUMMYFUNCTION("""COMPUTED_VALUE"""),"KEODI - HỆ THỐNG GỢI Ý VÀ TÌM KIẾM ĐỊA ĐIỂM THEO NGỮ CẢNH VÀ HỖ TRỢ QUYẾT ĐỊNH NHÓM")</f>
        <v>KEODI - HỆ THỐNG GỢI Ý VÀ TÌM KIẾM ĐỊA ĐIỂM THEO NGỮ CẢNH VÀ HỖ TRỢ QUYẾT ĐỊNH NHÓM</v>
      </c>
      <c r="D84" s="4" t="str">
        <f>IFERROR(__xludf.DUMMYFUNCTION("""COMPUTED_VALUE"""),"Võ Hữu Khang; Võ Xuân Hạ")</f>
        <v>Võ Hữu Khang; Võ Xuân Hạ</v>
      </c>
      <c r="E84" s="4" t="str">
        <f>IFERROR(__xludf.DUMMYFUNCTION("""COMPUTED_VALUE"""),"Trường Đại học Bách Khoa, ĐHQG-HCM")</f>
        <v>Trường Đại học Bách Khoa, ĐHQG-HCM</v>
      </c>
      <c r="F84" s="4" t="str">
        <f>IFERROR(__xludf.DUMMYFUNCTION("""COMPUTED_VALUE"""),"CNTT2026-083.png")</f>
        <v>CNTT2026-083.png</v>
      </c>
    </row>
    <row r="85">
      <c r="A85" s="4" t="str">
        <f>IFERROR(__xludf.DUMMYFUNCTION("""COMPUTED_VALUE"""),"CNTT2026-084")</f>
        <v>CNTT2026-084</v>
      </c>
      <c r="B85" s="4" t="str">
        <f>IFERROR(__xludf.DUMMYFUNCTION("""COMPUTED_VALUE"""),"Công nghệ thông tin")</f>
        <v>Công nghệ thông tin</v>
      </c>
      <c r="C85" s="4" t="str">
        <f>IFERROR(__xludf.DUMMYFUNCTION("""COMPUTED_VALUE"""),"HỆ THỐNG TÍCH HỢP THỊ GIÁC MÁY TÍNH VÀ HỌC SÂU TRÊN ĐỒ THỊ CHO PHÂN LOẠI TẠI NGUỒN VÀ TỐI ƯU TUYẾN ĐƯỜNG THU GOM RÁC THẢI NHỰA TÁI CHẾ: NGHIÊN CỨU ĐIỂN HÌNH TẠI TP.HCM")</f>
        <v>HỆ THỐNG TÍCH HỢP THỊ GIÁC MÁY TÍNH VÀ HỌC SÂU TRÊN ĐỒ THỊ CHO PHÂN LOẠI TẠI NGUỒN VÀ TỐI ƯU TUYẾN ĐƯỜNG THU GOM RÁC THẢI NHỰA TÁI CHẾ: NGHIÊN CỨU ĐIỂN HÌNH TẠI TP.HCM</v>
      </c>
      <c r="D85" s="4" t="str">
        <f>IFERROR(__xludf.DUMMYFUNCTION("""COMPUTED_VALUE"""),"Trang Thiên Quý; Trương Nguyễn Minh Hiếu; Phạm Lê Thiên Kim; Nguyễn Hà Nhật Huy; Chu Hoàng Phúc")</f>
        <v>Trang Thiên Quý; Trương Nguyễn Minh Hiếu; Phạm Lê Thiên Kim; Nguyễn Hà Nhật Huy; Chu Hoàng Phúc</v>
      </c>
      <c r="E85" s="4" t="str">
        <f>IFERROR(__xludf.DUMMYFUNCTION("""COMPUTED_VALUE"""),"Trường Đại học Bách Khoa, ĐHQG-HCM")</f>
        <v>Trường Đại học Bách Khoa, ĐHQG-HCM</v>
      </c>
      <c r="F85" s="4" t="str">
        <f>IFERROR(__xludf.DUMMYFUNCTION("""COMPUTED_VALUE"""),"CNTT2026-084.png")</f>
        <v>CNTT2026-084.png</v>
      </c>
    </row>
    <row r="86">
      <c r="A86" s="4" t="str">
        <f>IFERROR(__xludf.DUMMYFUNCTION("""COMPUTED_VALUE"""),"CNTT2026-085")</f>
        <v>CNTT2026-085</v>
      </c>
      <c r="B86" s="4" t="str">
        <f>IFERROR(__xludf.DUMMYFUNCTION("""COMPUTED_VALUE"""),"Công nghệ thông tin")</f>
        <v>Công nghệ thông tin</v>
      </c>
      <c r="C86" s="4" t="str">
        <f>IFERROR(__xludf.DUMMYFUNCTION("""COMPUTED_VALUE"""),"EduMap: Bản đồ giáo dục số toàn quốc - kết hợp bản đồ địa lý, AI phân tích mật độ và chỉ đường thông minh")</f>
        <v>EduMap: Bản đồ giáo dục số toàn quốc - kết hợp bản đồ địa lý, AI phân tích mật độ và chỉ đường thông minh</v>
      </c>
      <c r="D86" s="4" t="str">
        <f>IFERROR(__xludf.DUMMYFUNCTION("""COMPUTED_VALUE"""),"Quách Khoa Đức; Lê Ngọc Tân; Nguyễn Trung Hơn; Nguyễn Tấn Tài; Phạm Đức Thiện")</f>
        <v>Quách Khoa Đức; Lê Ngọc Tân; Nguyễn Trung Hơn; Nguyễn Tấn Tài; Phạm Đức Thiện</v>
      </c>
      <c r="E86" s="4" t="str">
        <f>IFERROR(__xludf.DUMMYFUNCTION("""COMPUTED_VALUE"""),"Trường Đại học Công nghệ Đồng Nai")</f>
        <v>Trường Đại học Công nghệ Đồng Nai</v>
      </c>
      <c r="F86" s="4" t="str">
        <f>IFERROR(__xludf.DUMMYFUNCTION("""COMPUTED_VALUE"""),"CNTT2026-085.png")</f>
        <v>CNTT2026-085.png</v>
      </c>
    </row>
    <row r="87">
      <c r="A87" s="4" t="str">
        <f>IFERROR(__xludf.DUMMYFUNCTION("""COMPUTED_VALUE"""),"CNTT2026-086")</f>
        <v>CNTT2026-086</v>
      </c>
      <c r="B87" s="4" t="str">
        <f>IFERROR(__xludf.DUMMYFUNCTION("""COMPUTED_VALUE"""),"Công nghệ thông tin")</f>
        <v>Công nghệ thông tin</v>
      </c>
      <c r="C87" s="4" t="str">
        <f>IFERROR(__xludf.DUMMYFUNCTION("""COMPUTED_VALUE"""),"Blockchain AI Sentinel: Hệ thống phát hiện gian lận chuỗi khối đa tác nhân với ràng buộc ngữ cảnh thời gian thực")</f>
        <v>Blockchain AI Sentinel: Hệ thống phát hiện gian lận chuỗi khối đa tác nhân với ràng buộc ngữ cảnh thời gian thực</v>
      </c>
      <c r="D87" s="4" t="str">
        <f>IFERROR(__xludf.DUMMYFUNCTION("""COMPUTED_VALUE"""),"Lê Ngọc Tân; Quách Khoa Đức; Nguyễn Trung Hơn; Vũ Thị Thanh Hiền; Nguyễn Tấn Tài")</f>
        <v>Lê Ngọc Tân; Quách Khoa Đức; Nguyễn Trung Hơn; Vũ Thị Thanh Hiền; Nguyễn Tấn Tài</v>
      </c>
      <c r="E87" s="4" t="str">
        <f>IFERROR(__xludf.DUMMYFUNCTION("""COMPUTED_VALUE"""),"Trường Đại học Công nghệ Đồng Nai")</f>
        <v>Trường Đại học Công nghệ Đồng Nai</v>
      </c>
      <c r="F87" s="4" t="str">
        <f>IFERROR(__xludf.DUMMYFUNCTION("""COMPUTED_VALUE"""),"CNTT2026-086.png")</f>
        <v>CNTT2026-086.png</v>
      </c>
    </row>
    <row r="88">
      <c r="A88" s="4" t="str">
        <f>IFERROR(__xludf.DUMMYFUNCTION("""COMPUTED_VALUE"""),"CNTT2026-087")</f>
        <v>CNTT2026-087</v>
      </c>
      <c r="B88" s="4" t="str">
        <f>IFERROR(__xludf.DUMMYFUNCTION("""COMPUTED_VALUE"""),"Công nghệ thông tin")</f>
        <v>Công nghệ thông tin</v>
      </c>
      <c r="C88" s="4" t="str">
        <f>IFERROR(__xludf.DUMMYFUNCTION("""COMPUTED_VALUE"""),"MORPH-IDS: KHUNG HỌC TĂNG CƯỜNG ĐA TÁC TỬ DỰA TRÊN BỐI CẢNH CHO HỆ PHÒNG THỦ MỤC TIÊU ĐỘNG NHẬN BIẾT SỰ DỊCH CHUYỂN DỮ LIỆU TRONG PHÁT HIỆN XÂM NHẬP KHÁNG ĐỐI KHÁNG")</f>
        <v>MORPH-IDS: KHUNG HỌC TĂNG CƯỜNG ĐA TÁC TỬ DỰA TRÊN BỐI CẢNH CHO HỆ PHÒNG THỦ MỤC TIÊU ĐỘNG NHẬN BIẾT SỰ DỊCH CHUYỂN DỮ LIỆU TRONG PHÁT HIỆN XÂM NHẬP KHÁNG ĐỐI KHÁNG</v>
      </c>
      <c r="D88" s="4" t="str">
        <f>IFERROR(__xludf.DUMMYFUNCTION("""COMPUTED_VALUE"""),"HỒNG HUY HOÀNG; TRƯƠNG ĐỨC HÀO")</f>
        <v>HỒNG HUY HOÀNG; TRƯƠNG ĐỨC HÀO</v>
      </c>
      <c r="E88" s="4" t="str">
        <f>IFERROR(__xludf.DUMMYFUNCTION("""COMPUTED_VALUE"""),"Trường Đại học Công nghệ Thông tin, ĐHQG-HCM")</f>
        <v>Trường Đại học Công nghệ Thông tin, ĐHQG-HCM</v>
      </c>
      <c r="F88" s="4" t="str">
        <f>IFERROR(__xludf.DUMMYFUNCTION("""COMPUTED_VALUE"""),"CNTT2026-087.png")</f>
        <v>CNTT2026-087.png</v>
      </c>
    </row>
    <row r="89">
      <c r="A89" s="4" t="str">
        <f>IFERROR(__xludf.DUMMYFUNCTION("""COMPUTED_VALUE"""),"CNTT2026-088")</f>
        <v>CNTT2026-088</v>
      </c>
      <c r="B89" s="4" t="str">
        <f>IFERROR(__xludf.DUMMYFUNCTION("""COMPUTED_VALUE"""),"Công nghệ thông tin")</f>
        <v>Công nghệ thông tin</v>
      </c>
      <c r="C89" s="4" t="str">
        <f>IFERROR(__xludf.DUMMYFUNCTION("""COMPUTED_VALUE"""),"Giải pháp dịch vụ tên miền cấu hình động cho doanh nghiệp vừa và nhỏ")</f>
        <v>Giải pháp dịch vụ tên miền cấu hình động cho doanh nghiệp vừa và nhỏ</v>
      </c>
      <c r="D89" s="4" t="str">
        <f>IFERROR(__xludf.DUMMYFUNCTION("""COMPUTED_VALUE"""),"Nguyễn Đức Tin")</f>
        <v>Nguyễn Đức Tin</v>
      </c>
      <c r="E89" s="4" t="str">
        <f>IFERROR(__xludf.DUMMYFUNCTION("""COMPUTED_VALUE"""),"Trường Đại học Mở Hà Nội")</f>
        <v>Trường Đại học Mở Hà Nội</v>
      </c>
      <c r="F89" s="4" t="str">
        <f>IFERROR(__xludf.DUMMYFUNCTION("""COMPUTED_VALUE"""),"CNTT2026-088.png")</f>
        <v>CNTT2026-088.png</v>
      </c>
    </row>
    <row r="90">
      <c r="A90" s="4" t="str">
        <f>IFERROR(__xludf.DUMMYFUNCTION("""COMPUTED_VALUE"""),"CNTT2026-089")</f>
        <v>CNTT2026-089</v>
      </c>
      <c r="B90" s="4" t="str">
        <f>IFERROR(__xludf.DUMMYFUNCTION("""COMPUTED_VALUE"""),"Công nghệ thông tin")</f>
        <v>Công nghệ thông tin</v>
      </c>
      <c r="C90" s="4" t="str">
        <f>IFERROR(__xludf.DUMMYFUNCTION("""COMPUTED_VALUE"""),"XÂY DỰNG HỆ THỐNG PHÒNG CHỐNG LỪA ĐẢO TRỰC TUYẾN TÍCH HỢP WEBSITE, CHROME EXTENSION VÀ CHATBOT AI.")</f>
        <v>XÂY DỰNG HỆ THỐNG PHÒNG CHỐNG LỪA ĐẢO TRỰC TUYẾN TÍCH HỢP WEBSITE, CHROME EXTENSION VÀ CHATBOT AI.</v>
      </c>
      <c r="D90" s="4" t="str">
        <f>IFERROR(__xludf.DUMMYFUNCTION("""COMPUTED_VALUE"""),"Nguyễn Văn Trọng; Võ Văn Khải; Nguyễn Trọng Kiên")</f>
        <v>Nguyễn Văn Trọng; Võ Văn Khải; Nguyễn Trọng Kiên</v>
      </c>
      <c r="E90" s="4" t="str">
        <f>IFERROR(__xludf.DUMMYFUNCTION("""COMPUTED_VALUE"""),"Trường Đại học Nguyễn Tất Thành")</f>
        <v>Trường Đại học Nguyễn Tất Thành</v>
      </c>
      <c r="F90" s="4" t="str">
        <f>IFERROR(__xludf.DUMMYFUNCTION("""COMPUTED_VALUE"""),"CNTT2026-089.png")</f>
        <v>CNTT2026-089.png</v>
      </c>
    </row>
    <row r="91">
      <c r="A91" s="4" t="str">
        <f>IFERROR(__xludf.DUMMYFUNCTION("""COMPUTED_VALUE"""),"CNTT2026-090")</f>
        <v>CNTT2026-090</v>
      </c>
      <c r="B91" s="4" t="str">
        <f>IFERROR(__xludf.DUMMYFUNCTION("""COMPUTED_VALUE"""),"Công nghệ thông tin")</f>
        <v>Công nghệ thông tin</v>
      </c>
      <c r="C91" s="4" t="str">
        <f>IFERROR(__xludf.DUMMYFUNCTION("""COMPUTED_VALUE"""),"Research project title: machine learning for congestion prediction in centralized and distributed 5g data-center deployments")</f>
        <v>Research project title: machine learning for congestion prediction in centralized and distributed 5g data-center deployments</v>
      </c>
      <c r="D91" s="4" t="str">
        <f>IFERROR(__xludf.DUMMYFUNCTION("""COMPUTED_VALUE"""),"Huỳnh Trần Quang Khải; Phạm Thanh Danh; Nguyễn Đức Việt")</f>
        <v>Huỳnh Trần Quang Khải; Phạm Thanh Danh; Nguyễn Đức Việt</v>
      </c>
      <c r="E91" s="4" t="str">
        <f>IFERROR(__xludf.DUMMYFUNCTION("""COMPUTED_VALUE"""),"Trường Đại học Kinh tế - Tài chính TP. Hồ Chí Minh")</f>
        <v>Trường Đại học Kinh tế - Tài chính TP. Hồ Chí Minh</v>
      </c>
      <c r="F91" s="4" t="str">
        <f>IFERROR(__xludf.DUMMYFUNCTION("""COMPUTED_VALUE"""),"CNTT2026-090.png")</f>
        <v>CNTT2026-090.png</v>
      </c>
    </row>
    <row r="92">
      <c r="A92" s="4" t="str">
        <f>IFERROR(__xludf.DUMMYFUNCTION("""COMPUTED_VALUE"""),"CNTT2026-091")</f>
        <v>CNTT2026-091</v>
      </c>
      <c r="B92" s="4" t="str">
        <f>IFERROR(__xludf.DUMMYFUNCTION("""COMPUTED_VALUE"""),"Công nghệ thông tin")</f>
        <v>Công nghệ thông tin</v>
      </c>
      <c r="C92" s="4" t="str">
        <f>IFERROR(__xludf.DUMMYFUNCTION("""COMPUTED_VALUE"""),"Hệ sinh thái Nông nghiệp tuần hoàn khép kín và Truy xuất hành trình chuỗi cung ứng lạnh nông sản ứng dụng Mạng cảm biến Edge-AI (TinyML), Dự báo chuỗi thời gian ARIMA và Trợ lý ảo LLM")</f>
        <v>Hệ sinh thái Nông nghiệp tuần hoàn khép kín và Truy xuất hành trình chuỗi cung ứng lạnh nông sản ứng dụng Mạng cảm biến Edge-AI (TinyML), Dự báo chuỗi thời gian ARIMA và Trợ lý ảo LLM</v>
      </c>
      <c r="D92" s="4" t="str">
        <f>IFERROR(__xludf.DUMMYFUNCTION("""COMPUTED_VALUE"""),"Nguyễn Việt Hải; Nguyễn Quang Vũ; Nguyễn Ngọc Hân; Trần An Kỳ; Nguyễn Thành Phong")</f>
        <v>Nguyễn Việt Hải; Nguyễn Quang Vũ; Nguyễn Ngọc Hân; Trần An Kỳ; Nguyễn Thành Phong</v>
      </c>
      <c r="E92" s="4" t="str">
        <f>IFERROR(__xludf.DUMMYFUNCTION("""COMPUTED_VALUE"""),"Trường Đại học Văn Lang")</f>
        <v>Trường Đại học Văn Lang</v>
      </c>
      <c r="F92" s="4" t="str">
        <f>IFERROR(__xludf.DUMMYFUNCTION("""COMPUTED_VALUE"""),"CNTT2026-091.png")</f>
        <v>CNTT2026-091.png</v>
      </c>
    </row>
    <row r="93">
      <c r="A93" s="4" t="str">
        <f>IFERROR(__xludf.DUMMYFUNCTION("""COMPUTED_VALUE"""),"CNTT2026-092")</f>
        <v>CNTT2026-092</v>
      </c>
      <c r="B93" s="4" t="str">
        <f>IFERROR(__xludf.DUMMYFUNCTION("""COMPUTED_VALUE"""),"Công nghệ thông tin")</f>
        <v>Công nghệ thông tin</v>
      </c>
      <c r="C93" s="4" t="str">
        <f>IFERROR(__xludf.DUMMYFUNCTION("""COMPUTED_VALUE"""),"Nghiên cứu xây dựng hệ thống giám sát và cảnh báo thông tin tiêu cực trên không gian mạng bằng N8N")</f>
        <v>Nghiên cứu xây dựng hệ thống giám sát và cảnh báo thông tin tiêu cực trên không gian mạng bằng N8N</v>
      </c>
      <c r="D93" s="4" t="str">
        <f>IFERROR(__xludf.DUMMYFUNCTION("""COMPUTED_VALUE"""),"Nguyễn Trung Hậu; Châu Nhuận Phát")</f>
        <v>Nguyễn Trung Hậu; Châu Nhuận Phát</v>
      </c>
      <c r="E93" s="4" t="str">
        <f>IFERROR(__xludf.DUMMYFUNCTION("""COMPUTED_VALUE"""),"Trường Đại học Cửu Long")</f>
        <v>Trường Đại học Cửu Long</v>
      </c>
      <c r="F93" s="4" t="str">
        <f>IFERROR(__xludf.DUMMYFUNCTION("""COMPUTED_VALUE"""),"CNTT2026-092.png")</f>
        <v>CNTT2026-092.png</v>
      </c>
    </row>
    <row r="94">
      <c r="A94" s="4" t="str">
        <f>IFERROR(__xludf.DUMMYFUNCTION("""COMPUTED_VALUE"""),"CNTT2026-093")</f>
        <v>CNTT2026-093</v>
      </c>
      <c r="B94" s="4" t="str">
        <f>IFERROR(__xludf.DUMMYFUNCTION("""COMPUTED_VALUE"""),"Công nghệ thông tin")</f>
        <v>Công nghệ thông tin</v>
      </c>
      <c r="C94" s="4" t="str">
        <f>IFERROR(__xludf.DUMMYFUNCTION("""COMPUTED_VALUE"""),"Nghiên cứu ứng dụng kỹ thuật Phishing và các phương pháp giúp người dùng nhận biết, phòng tránh hành vi lừa đảo trực tuyến")</f>
        <v>Nghiên cứu ứng dụng kỹ thuật Phishing và các phương pháp giúp người dùng nhận biết, phòng tránh hành vi lừa đảo trực tuyến</v>
      </c>
      <c r="D94" s="4" t="str">
        <f>IFERROR(__xludf.DUMMYFUNCTION("""COMPUTED_VALUE"""),"Lâm Hoài Bảo; Nguyễn Văn Khánh")</f>
        <v>Lâm Hoài Bảo; Nguyễn Văn Khánh</v>
      </c>
      <c r="E94" s="4" t="str">
        <f>IFERROR(__xludf.DUMMYFUNCTION("""COMPUTED_VALUE"""),"Trường Đại học Cửu Long")</f>
        <v>Trường Đại học Cửu Long</v>
      </c>
      <c r="F94" s="4" t="str">
        <f>IFERROR(__xludf.DUMMYFUNCTION("""COMPUTED_VALUE"""),"CNTT2026-093.png")</f>
        <v>CNTT2026-093.png</v>
      </c>
    </row>
    <row r="95">
      <c r="A95" s="4" t="str">
        <f>IFERROR(__xludf.DUMMYFUNCTION("""COMPUTED_VALUE"""),"CNTT2026-094")</f>
        <v>CNTT2026-094</v>
      </c>
      <c r="B95" s="4" t="str">
        <f>IFERROR(__xludf.DUMMYFUNCTION("""COMPUTED_VALUE"""),"Công nghệ thông tin")</f>
        <v>Công nghệ thông tin</v>
      </c>
      <c r="C95" s="4" t="str">
        <f>IFERROR(__xludf.DUMMYFUNCTION("""COMPUTED_VALUE"""),"REDUCING FALSE POSITIVES IN DDOS USING TRAFFIC BEHAVIOR ANALYSIS")</f>
        <v>REDUCING FALSE POSITIVES IN DDOS USING TRAFFIC BEHAVIOR ANALYSIS</v>
      </c>
      <c r="D95" s="4" t="str">
        <f>IFERROR(__xludf.DUMMYFUNCTION("""COMPUTED_VALUE"""),"Nguyễn Ngọc Yến Thư; Cáp Phạm Thiên Hương; Bùi Trần Quỳnh Hương; Lầu Uyển Nhi")</f>
        <v>Nguyễn Ngọc Yến Thư; Cáp Phạm Thiên Hương; Bùi Trần Quỳnh Hương; Lầu Uyển Nhi</v>
      </c>
      <c r="E95" s="4" t="str">
        <f>IFERROR(__xludf.DUMMYFUNCTION("""COMPUTED_VALUE"""),"Đại học Kinh tế TP. Hồ Chí Minh")</f>
        <v>Đại học Kinh tế TP. Hồ Chí Minh</v>
      </c>
      <c r="F95" s="4" t="str">
        <f>IFERROR(__xludf.DUMMYFUNCTION("""COMPUTED_VALUE"""),"CNTT2026-094.png")</f>
        <v>CNTT2026-094.png</v>
      </c>
    </row>
    <row r="96">
      <c r="A96" s="4" t="str">
        <f>IFERROR(__xludf.DUMMYFUNCTION("""COMPUTED_VALUE"""),"CNTT2026-095")</f>
        <v>CNTT2026-095</v>
      </c>
      <c r="B96" s="4" t="str">
        <f>IFERROR(__xludf.DUMMYFUNCTION("""COMPUTED_VALUE"""),"Công nghệ thông tin")</f>
        <v>Công nghệ thông tin</v>
      </c>
      <c r="C96" s="4" t="str">
        <f>IFERROR(__xludf.DUMMYFUNCTION("""COMPUTED_VALUE"""),"ML-ASSISTED SERVICE PLACEMENT AND RESOURCE ALLOCATION IN DISTRIBUTED 5G DATA CENTERS")</f>
        <v>ML-ASSISTED SERVICE PLACEMENT AND RESOURCE ALLOCATION IN DISTRIBUTED 5G DATA CENTERS</v>
      </c>
      <c r="D96" s="4" t="str">
        <f>IFERROR(__xludf.DUMMYFUNCTION("""COMPUTED_VALUE"""),"Lê Thành Tài; Đặng Trường Thịnh; Phan Thị Ánh Tuyền")</f>
        <v>Lê Thành Tài; Đặng Trường Thịnh; Phan Thị Ánh Tuyền</v>
      </c>
      <c r="E96" s="4" t="str">
        <f>IFERROR(__xludf.DUMMYFUNCTION("""COMPUTED_VALUE"""),"Trường Cao đẳng Công nghệ Thông tin TP. Hồ Chí Minh")</f>
        <v>Trường Cao đẳng Công nghệ Thông tin TP. Hồ Chí Minh</v>
      </c>
      <c r="F96" s="4" t="str">
        <f>IFERROR(__xludf.DUMMYFUNCTION("""COMPUTED_VALUE"""),"CNTT2026-095.png")</f>
        <v>CNTT2026-095.png</v>
      </c>
    </row>
    <row r="97">
      <c r="A97" s="4" t="str">
        <f>IFERROR(__xludf.DUMMYFUNCTION("""COMPUTED_VALUE"""),"CNTT2026-096")</f>
        <v>CNTT2026-096</v>
      </c>
      <c r="B97" s="4" t="str">
        <f>IFERROR(__xludf.DUMMYFUNCTION("""COMPUTED_VALUE"""),"Công nghệ thông tin")</f>
        <v>Công nghệ thông tin</v>
      </c>
      <c r="C97" s="4" t="str">
        <f>IFERROR(__xludf.DUMMYFUNCTION("""COMPUTED_VALUE"""),"Machine Learning for IPv6 Covert-Channel Detection in 5G-Oriented Data Centers")</f>
        <v>Machine Learning for IPv6 Covert-Channel Detection in 5G-Oriented Data Centers</v>
      </c>
      <c r="D97" s="4" t="str">
        <f>IFERROR(__xludf.DUMMYFUNCTION("""COMPUTED_VALUE"""),"Lê Duy Khánh; Lê Thanh Hậu; Tô Thanh Tân; Đỗ Manh Quang")</f>
        <v>Lê Duy Khánh; Lê Thanh Hậu; Tô Thanh Tân; Đỗ Manh Quang</v>
      </c>
      <c r="E97" s="4" t="str">
        <f>IFERROR(__xludf.DUMMYFUNCTION("""COMPUTED_VALUE"""),"Trường Cao đẳng Công nghệ Thông tin TP. Hồ Chí Minh")</f>
        <v>Trường Cao đẳng Công nghệ Thông tin TP. Hồ Chí Minh</v>
      </c>
      <c r="F97" s="4" t="str">
        <f>IFERROR(__xludf.DUMMYFUNCTION("""COMPUTED_VALUE"""),"CNTT2026-096.png")</f>
        <v>CNTT2026-096.png</v>
      </c>
    </row>
    <row r="98">
      <c r="A98" s="4" t="str">
        <f>IFERROR(__xludf.DUMMYFUNCTION("""COMPUTED_VALUE"""),"CNTT2026-097")</f>
        <v>CNTT2026-097</v>
      </c>
      <c r="B98" s="4" t="str">
        <f>IFERROR(__xludf.DUMMYFUNCTION("""COMPUTED_VALUE"""),"Công nghệ thông tin")</f>
        <v>Công nghệ thông tin</v>
      </c>
      <c r="C98" s="4" t="str">
        <f>IFERROR(__xludf.DUMMYFUNCTION("""COMPUTED_VALUE"""),"Integer values of generating functions for a type of second order linear recurrence sequences")</f>
        <v>Integer values of generating functions for a type of second order linear recurrence sequences</v>
      </c>
      <c r="D98" s="4" t="str">
        <f>IFERROR(__xludf.DUMMYFUNCTION("""COMPUTED_VALUE"""),"Nguyễn Duy Nguyên")</f>
        <v>Nguyễn Duy Nguyên</v>
      </c>
      <c r="E98" s="4" t="str">
        <f>IFERROR(__xludf.DUMMYFUNCTION("""COMPUTED_VALUE"""),"Trường Đại học Sư phạm Hà Nội")</f>
        <v>Trường Đại học Sư phạm Hà Nội</v>
      </c>
      <c r="F98" s="4" t="str">
        <f>IFERROR(__xludf.DUMMYFUNCTION("""COMPUTED_VALUE"""),"CNTT2026-097.png")</f>
        <v>CNTT2026-097.png</v>
      </c>
    </row>
    <row r="99">
      <c r="A99" s="4" t="str">
        <f>IFERROR(__xludf.DUMMYFUNCTION("""COMPUTED_VALUE"""),"CNTT2026-098")</f>
        <v>CNTT2026-098</v>
      </c>
      <c r="B99" s="4" t="str">
        <f>IFERROR(__xludf.DUMMYFUNCTION("""COMPUTED_VALUE"""),"Công nghệ thông tin")</f>
        <v>Công nghệ thông tin</v>
      </c>
      <c r="C99" s="4" t="str">
        <f>IFERROR(__xludf.DUMMYFUNCTION("""COMPUTED_VALUE"""),"Nguyên lý ánh xạ co Banach và các mở rộng của nó trong các không gian metric suy rộng")</f>
        <v>Nguyên lý ánh xạ co Banach và các mở rộng của nó trong các không gian metric suy rộng</v>
      </c>
      <c r="D99" s="4" t="str">
        <f>IFERROR(__xludf.DUMMYFUNCTION("""COMPUTED_VALUE"""),"Nguyễn Sỹ Thắng; Ông Hoàng Anh Kiệt")</f>
        <v>Nguyễn Sỹ Thắng; Ông Hoàng Anh Kiệt</v>
      </c>
      <c r="E99" s="4" t="str">
        <f>IFERROR(__xludf.DUMMYFUNCTION("""COMPUTED_VALUE"""),"Trường Đại học Sư phạm, Đại học Đà Nẵng")</f>
        <v>Trường Đại học Sư phạm, Đại học Đà Nẵng</v>
      </c>
      <c r="F99" s="4" t="str">
        <f>IFERROR(__xludf.DUMMYFUNCTION("""COMPUTED_VALUE"""),"CNTT2026-098.png")</f>
        <v>CNTT2026-098.png</v>
      </c>
    </row>
    <row r="100">
      <c r="A100" s="4" t="str">
        <f>IFERROR(__xludf.DUMMYFUNCTION("""COMPUTED_VALUE"""),"CNTT2026-099")</f>
        <v>CNTT2026-099</v>
      </c>
      <c r="B100" s="4" t="str">
        <f>IFERROR(__xludf.DUMMYFUNCTION("""COMPUTED_VALUE"""),"Công nghệ thông tin")</f>
        <v>Công nghệ thông tin</v>
      </c>
      <c r="C100" s="4" t="str">
        <f>IFERROR(__xludf.DUMMYFUNCTION("""COMPUTED_VALUE"""),"Tính chất bóng tiệm cận và tính ổn định tôpô của hệ động lực tuyến tính")</f>
        <v>Tính chất bóng tiệm cận và tính ổn định tôpô của hệ động lực tuyến tính</v>
      </c>
      <c r="D100" s="4" t="str">
        <f>IFERROR(__xludf.DUMMYFUNCTION("""COMPUTED_VALUE"""),"Lê Việt Hà; Vũ Khánh Linh")</f>
        <v>Lê Việt Hà; Vũ Khánh Linh</v>
      </c>
      <c r="E100" s="4" t="str">
        <f>IFERROR(__xludf.DUMMYFUNCTION("""COMPUTED_VALUE"""),"Trường Đại học Sư phạm, Đại học Đà Nẵng")</f>
        <v>Trường Đại học Sư phạm, Đại học Đà Nẵng</v>
      </c>
      <c r="F100" s="4" t="str">
        <f>IFERROR(__xludf.DUMMYFUNCTION("""COMPUTED_VALUE"""),"CNTT2026-099.png")</f>
        <v>CNTT2026-099.png</v>
      </c>
    </row>
    <row r="101">
      <c r="A101" s="4" t="str">
        <f>IFERROR(__xludf.DUMMYFUNCTION("""COMPUTED_VALUE"""),"CNTT2026-100")</f>
        <v>CNTT2026-100</v>
      </c>
      <c r="B101" s="4" t="str">
        <f>IFERROR(__xludf.DUMMYFUNCTION("""COMPUTED_VALUE"""),"Công nghệ thông tin")</f>
        <v>Công nghệ thông tin</v>
      </c>
      <c r="C101" s="4" t="str">
        <f>IFERROR(__xludf.DUMMYFUNCTION("""COMPUTED_VALUE"""),"Về biến ngẫu nhiên phụ thuộc âm và ứng dụng")</f>
        <v>Về biến ngẫu nhiên phụ thuộc âm và ứng dụng</v>
      </c>
      <c r="D101" s="4" t="str">
        <f>IFERROR(__xludf.DUMMYFUNCTION("""COMPUTED_VALUE"""),"Nguyễn Bảo Nhi; Hồ Huỳnh Nguyên Bảo")</f>
        <v>Nguyễn Bảo Nhi; Hồ Huỳnh Nguyên Bảo</v>
      </c>
      <c r="E101" s="4" t="str">
        <f>IFERROR(__xludf.DUMMYFUNCTION("""COMPUTED_VALUE"""),"Trường Đại học Sư phạm, Đại học Đà Nẵng")</f>
        <v>Trường Đại học Sư phạm, Đại học Đà Nẵng</v>
      </c>
      <c r="F101" s="4" t="str">
        <f>IFERROR(__xludf.DUMMYFUNCTION("""COMPUTED_VALUE"""),"CNTT2026-100.png")</f>
        <v>CNTT2026-100.png</v>
      </c>
    </row>
    <row r="102">
      <c r="A102" s="4" t="str">
        <f>IFERROR(__xludf.DUMMYFUNCTION("""COMPUTED_VALUE"""),"CNTT2026-101")</f>
        <v>CNTT2026-101</v>
      </c>
      <c r="B102" s="4" t="str">
        <f>IFERROR(__xludf.DUMMYFUNCTION("""COMPUTED_VALUE"""),"Công nghệ thông tin")</f>
        <v>Công nghệ thông tin</v>
      </c>
      <c r="C102" s="4" t="str">
        <f>IFERROR(__xludf.DUMMYFUNCTION("""COMPUTED_VALUE"""),"Cấu trúc đại số và khoảng cách Hamming của mã hằng tuần hoàn trên trường hữu hạn")</f>
        <v>Cấu trúc đại số và khoảng cách Hamming của mã hằng tuần hoàn trên trường hữu hạn</v>
      </c>
      <c r="D102" s="4" t="str">
        <f>IFERROR(__xludf.DUMMYFUNCTION("""COMPUTED_VALUE"""),"Trần Phương Thảo Uyên; Huỳnh Nhã Kỳ; Lê Thành Tài; Trần Hoàng Hoài Thương")</f>
        <v>Trần Phương Thảo Uyên; Huỳnh Nhã Kỳ; Lê Thành Tài; Trần Hoàng Hoài Thương</v>
      </c>
      <c r="E102" s="4" t="str">
        <f>IFERROR(__xludf.DUMMYFUNCTION("""COMPUTED_VALUE"""),"Trường Đại học Sư phạm TP. Hồ Chí Minh")</f>
        <v>Trường Đại học Sư phạm TP. Hồ Chí Minh</v>
      </c>
      <c r="F102" s="4" t="str">
        <f>IFERROR(__xludf.DUMMYFUNCTION("""COMPUTED_VALUE"""),"CNTT2026-101.png")</f>
        <v>CNTT2026-101.png</v>
      </c>
    </row>
    <row r="103">
      <c r="A103" s="4" t="str">
        <f>IFERROR(__xludf.DUMMYFUNCTION("""COMPUTED_VALUE"""),"CNTT2026-102")</f>
        <v>CNTT2026-102</v>
      </c>
      <c r="B103" s="4" t="str">
        <f>IFERROR(__xludf.DUMMYFUNCTION("""COMPUTED_VALUE"""),"Công nghệ thông tin")</f>
        <v>Công nghệ thông tin</v>
      </c>
      <c r="C103" s="4" t="str">
        <f>IFERROR(__xludf.DUMMYFUNCTION("""COMPUTED_VALUE"""),"Nghiên cứu phân đoạn vùng tán lá cà chua trên ảnh nhiệt bằng mô hình YOLOv8n-seg.")</f>
        <v>Nghiên cứu phân đoạn vùng tán lá cà chua trên ảnh nhiệt bằng mô hình YOLOv8n-seg.</v>
      </c>
      <c r="D103" s="4" t="str">
        <f>IFERROR(__xludf.DUMMYFUNCTION("""COMPUTED_VALUE"""),"Phạm Thùy Dung; Kiều Thu Hà; Nguyễn Ngọc Như Quỳnh; Nguyễn Thùy Trang; Phạm Thị Thu Trang")</f>
        <v>Phạm Thùy Dung; Kiều Thu Hà; Nguyễn Ngọc Như Quỳnh; Nguyễn Thùy Trang; Phạm Thị Thu Trang</v>
      </c>
      <c r="E103" s="4" t="str">
        <f>IFERROR(__xludf.DUMMYFUNCTION("""COMPUTED_VALUE"""),"Trường Đại học Sư phạm Hà Nội 2")</f>
        <v>Trường Đại học Sư phạm Hà Nội 2</v>
      </c>
      <c r="F103" s="4" t="str">
        <f>IFERROR(__xludf.DUMMYFUNCTION("""COMPUTED_VALUE"""),"CNTT2026-102.png")</f>
        <v>CNTT2026-102.png</v>
      </c>
    </row>
    <row r="104">
      <c r="A104" s="4" t="str">
        <f>IFERROR(__xludf.DUMMYFUNCTION("""COMPUTED_VALUE"""),"CNTT2026-103")</f>
        <v>CNTT2026-103</v>
      </c>
      <c r="B104" s="4" t="str">
        <f>IFERROR(__xludf.DUMMYFUNCTION("""COMPUTED_VALUE"""),"Công nghệ thông tin")</f>
        <v>Công nghệ thông tin</v>
      </c>
      <c r="C104" s="4" t="str">
        <f>IFERROR(__xludf.DUMMYFUNCTION("""COMPUTED_VALUE"""),"Xây dựng hệ thống hỏi đáp pháp lý đa phương thức tiếng Việt (LegalQA)")</f>
        <v>Xây dựng hệ thống hỏi đáp pháp lý đa phương thức tiếng Việt (LegalQA)</v>
      </c>
      <c r="D104" s="4" t="str">
        <f>IFERROR(__xludf.DUMMYFUNCTION("""COMPUTED_VALUE"""),"Nguyễn Quang Hà; Lê Thị Hương Ly")</f>
        <v>Nguyễn Quang Hà; Lê Thị Hương Ly</v>
      </c>
      <c r="E104" s="4" t="str">
        <f>IFERROR(__xludf.DUMMYFUNCTION("""COMPUTED_VALUE"""),"Trường Đại học CMC")</f>
        <v>Trường Đại học CMC</v>
      </c>
      <c r="F104" s="4" t="str">
        <f>IFERROR(__xludf.DUMMYFUNCTION("""COMPUTED_VALUE"""),"CNTT2026-103.png")</f>
        <v>CNTT2026-103.png</v>
      </c>
    </row>
    <row r="105">
      <c r="A105" s="4" t="str">
        <f>IFERROR(__xludf.DUMMYFUNCTION("""COMPUTED_VALUE"""),"CNTT2026-104")</f>
        <v>CNTT2026-104</v>
      </c>
      <c r="B105" s="4" t="str">
        <f>IFERROR(__xludf.DUMMYFUNCTION("""COMPUTED_VALUE"""),"Công nghệ thông tin")</f>
        <v>Công nghệ thông tin</v>
      </c>
      <c r="C105" s="4" t="str">
        <f>IFERROR(__xludf.DUMMYFUNCTION("""COMPUTED_VALUE"""),"Nghiên cứu phát triển phương pháp phân cụm bán giám sát dựa trên mật độ")</f>
        <v>Nghiên cứu phát triển phương pháp phân cụm bán giám sát dựa trên mật độ</v>
      </c>
      <c r="D105" s="4" t="str">
        <f>IFERROR(__xludf.DUMMYFUNCTION("""COMPUTED_VALUE"""),"Trần Viết Thụ")</f>
        <v>Trần Viết Thụ</v>
      </c>
      <c r="E105" s="4" t="str">
        <f>IFERROR(__xludf.DUMMYFUNCTION("""COMPUTED_VALUE"""),"Trường Đại học CMC")</f>
        <v>Trường Đại học CMC</v>
      </c>
      <c r="F105" s="4" t="str">
        <f>IFERROR(__xludf.DUMMYFUNCTION("""COMPUTED_VALUE"""),"CNTT2026-104.png")</f>
        <v>CNTT2026-104.png</v>
      </c>
    </row>
    <row r="106">
      <c r="A106" s="4" t="str">
        <f>IFERROR(__xludf.DUMMYFUNCTION("""COMPUTED_VALUE"""),"CNTT2026-105")</f>
        <v>CNTT2026-105</v>
      </c>
      <c r="B106" s="4" t="str">
        <f>IFERROR(__xludf.DUMMYFUNCTION("""COMPUTED_VALUE"""),"Công nghệ thông tin")</f>
        <v>Công nghệ thông tin</v>
      </c>
      <c r="C106" s="4" t="str">
        <f>IFERROR(__xludf.DUMMYFUNCTION("""COMPUTED_VALUE"""),"KIẾN TRÚC HYBIRD AI CÓ KHẢ NĂNG GIẢI THÍCH NHẰM ĐẢM BẢO TÍNH LIÊM CHÍNH TRONG HỌC")</f>
        <v>KIẾN TRÚC HYBIRD AI CÓ KHẢ NĂNG GIẢI THÍCH NHẰM ĐẢM BẢO TÍNH LIÊM CHÍNH TRONG HỌC</v>
      </c>
      <c r="D106" s="4" t="str">
        <f>IFERROR(__xludf.DUMMYFUNCTION("""COMPUTED_VALUE"""),"Đặng Vỹ Hào; Trịnh Hải Đăng; Nguyễn Tấn Thuận; Nguyễn Tấn Yên")</f>
        <v>Đặng Vỹ Hào; Trịnh Hải Đăng; Nguyễn Tấn Thuận; Nguyễn Tấn Yên</v>
      </c>
      <c r="E106" s="4" t="str">
        <f>IFERROR(__xludf.DUMMYFUNCTION("""COMPUTED_VALUE"""),"Trường Đại học Nguyễn Tất Thành")</f>
        <v>Trường Đại học Nguyễn Tất Thành</v>
      </c>
      <c r="F106" s="4" t="str">
        <f>IFERROR(__xludf.DUMMYFUNCTION("""COMPUTED_VALUE"""),"CNTT2026-105.png")</f>
        <v>CNTT2026-105.png</v>
      </c>
    </row>
    <row r="107">
      <c r="A107" s="4" t="str">
        <f>IFERROR(__xludf.DUMMYFUNCTION("""COMPUTED_VALUE"""),"CNTT2026-106")</f>
        <v>CNTT2026-106</v>
      </c>
      <c r="B107" s="4" t="str">
        <f>IFERROR(__xludf.DUMMYFUNCTION("""COMPUTED_VALUE"""),"Công nghệ thông tin")</f>
        <v>Công nghệ thông tin</v>
      </c>
      <c r="C107" s="4" t="str">
        <f>IFERROR(__xludf.DUMMYFUNCTION("""COMPUTED_VALUE"""),"Nghiên cứu và xây dựng hệ thống giám sát, phát hiện nguy cơ rò rỉ dữ liệu thời gian thực cho doanh nghiệp ứng dụng Trí tuệ nhân tạo.")</f>
        <v>Nghiên cứu và xây dựng hệ thống giám sát, phát hiện nguy cơ rò rỉ dữ liệu thời gian thực cho doanh nghiệp ứng dụng Trí tuệ nhân tạo.</v>
      </c>
      <c r="D107" s="4" t="str">
        <f>IFERROR(__xludf.DUMMYFUNCTION("""COMPUTED_VALUE"""),"Nguyễn Trần Gia Bảo; Nguyễn Thế An; Nguyễn Ngọc Hiền")</f>
        <v>Nguyễn Trần Gia Bảo; Nguyễn Thế An; Nguyễn Ngọc Hiền</v>
      </c>
      <c r="E107" s="4" t="str">
        <f>IFERROR(__xludf.DUMMYFUNCTION("""COMPUTED_VALUE"""),"Trường Đại học Nguyễn Tất Thành")</f>
        <v>Trường Đại học Nguyễn Tất Thành</v>
      </c>
      <c r="F107" s="4" t="str">
        <f>IFERROR(__xludf.DUMMYFUNCTION("""COMPUTED_VALUE"""),"CNTT2026-106.png")</f>
        <v>CNTT2026-106.png</v>
      </c>
    </row>
    <row r="108">
      <c r="A108" s="4" t="str">
        <f>IFERROR(__xludf.DUMMYFUNCTION("""COMPUTED_VALUE"""),"CNTT2026-107")</f>
        <v>CNTT2026-107</v>
      </c>
      <c r="B108" s="4" t="str">
        <f>IFERROR(__xludf.DUMMYFUNCTION("""COMPUTED_VALUE"""),"Công nghệ thông tin")</f>
        <v>Công nghệ thông tin</v>
      </c>
      <c r="C108" s="4" t="str">
        <f>IFERROR(__xludf.DUMMYFUNCTION("""COMPUTED_VALUE"""),"NỀN TẢNG DỰ BÁO Ô NHIỄM KHÔNG KHÍ &amp; KHUYẾN NGHỊ SỨC KHỎE ĐÔ THỊ")</f>
        <v>NỀN TẢNG DỰ BÁO Ô NHIỄM KHÔNG KHÍ &amp; KHUYẾN NGHỊ SỨC KHỎE ĐÔ THỊ</v>
      </c>
      <c r="D108" s="4" t="str">
        <f>IFERROR(__xludf.DUMMYFUNCTION("""COMPUTED_VALUE"""),"Đặng Quốc Huy; Lê Trần Nhật Huy")</f>
        <v>Đặng Quốc Huy; Lê Trần Nhật Huy</v>
      </c>
      <c r="E108" s="4" t="str">
        <f>IFERROR(__xludf.DUMMYFUNCTION("""COMPUTED_VALUE"""),"Trường Đại học Nguyễn Tất Thành")</f>
        <v>Trường Đại học Nguyễn Tất Thành</v>
      </c>
      <c r="F108" s="4" t="str">
        <f>IFERROR(__xludf.DUMMYFUNCTION("""COMPUTED_VALUE"""),"CNTT2026-107.png")</f>
        <v>CNTT2026-107.png</v>
      </c>
    </row>
    <row r="109">
      <c r="A109" s="4" t="str">
        <f>IFERROR(__xludf.DUMMYFUNCTION("""COMPUTED_VALUE"""),"CNTT2026-108")</f>
        <v>CNTT2026-108</v>
      </c>
      <c r="B109" s="4" t="str">
        <f>IFERROR(__xludf.DUMMYFUNCTION("""COMPUTED_VALUE"""),"Công nghệ thông tin")</f>
        <v>Công nghệ thông tin</v>
      </c>
      <c r="C109" s="4" t="str">
        <f>IFERROR(__xludf.DUMMYFUNCTION("""COMPUTED_VALUE"""),"Intelligent Telemedicine Systems for Contactless Heart Rate Estimation using Deep Learning-based rPPG")</f>
        <v>Intelligent Telemedicine Systems for Contactless Heart Rate Estimation using Deep Learning-based rPPG</v>
      </c>
      <c r="D109" s="4" t="str">
        <f>IFERROR(__xludf.DUMMYFUNCTION("""COMPUTED_VALUE"""),"Đỗ Đức Thịnh; Nguyễn Đức Mạnh")</f>
        <v>Đỗ Đức Thịnh; Nguyễn Đức Mạnh</v>
      </c>
      <c r="E109" s="4" t="str">
        <f>IFERROR(__xludf.DUMMYFUNCTION("""COMPUTED_VALUE"""),"Trường Đại học Giao thông Vận tải")</f>
        <v>Trường Đại học Giao thông Vận tải</v>
      </c>
      <c r="F109" s="4" t="str">
        <f>IFERROR(__xludf.DUMMYFUNCTION("""COMPUTED_VALUE"""),"CNTT2026-108.png")</f>
        <v>CNTT2026-108.png</v>
      </c>
    </row>
    <row r="110">
      <c r="A110" s="4" t="str">
        <f>IFERROR(__xludf.DUMMYFUNCTION("""COMPUTED_VALUE"""),"CNTT2026-109")</f>
        <v>CNTT2026-109</v>
      </c>
      <c r="B110" s="4" t="str">
        <f>IFERROR(__xludf.DUMMYFUNCTION("""COMPUTED_VALUE"""),"Công nghệ thông tin")</f>
        <v>Công nghệ thông tin</v>
      </c>
      <c r="C110" s="4" t="str">
        <f>IFERROR(__xludf.DUMMYFUNCTION("""COMPUTED_VALUE"""),"Ứng dụng học sâu trong đánh giá thiệt hại do lũ lụt sử dụng ảnh UAV")</f>
        <v>Ứng dụng học sâu trong đánh giá thiệt hại do lũ lụt sử dụng ảnh UAV</v>
      </c>
      <c r="D110" s="4" t="str">
        <f>IFERROR(__xludf.DUMMYFUNCTION("""COMPUTED_VALUE"""),"Đỗ Văn Tiến; Bùi Tuấn Anh; Trương Văn Hoàng; Nguyễn Đức Vũ; Nguyễn Vũ Lâm")</f>
        <v>Đỗ Văn Tiến; Bùi Tuấn Anh; Trương Văn Hoàng; Nguyễn Đức Vũ; Nguyễn Vũ Lâm</v>
      </c>
      <c r="E110" s="4" t="str">
        <f>IFERROR(__xludf.DUMMYFUNCTION("""COMPUTED_VALUE"""),"Trường Đại học Giao thông Vận tải")</f>
        <v>Trường Đại học Giao thông Vận tải</v>
      </c>
      <c r="F110" s="4" t="str">
        <f>IFERROR(__xludf.DUMMYFUNCTION("""COMPUTED_VALUE"""),"CNTT2026-109.png")</f>
        <v>CNTT2026-109.png</v>
      </c>
    </row>
    <row r="111">
      <c r="A111" s="4" t="str">
        <f>IFERROR(__xludf.DUMMYFUNCTION("""COMPUTED_VALUE"""),"CNTT2026-110")</f>
        <v>CNTT2026-110</v>
      </c>
      <c r="B111" s="4" t="str">
        <f>IFERROR(__xludf.DUMMYFUNCTION("""COMPUTED_VALUE"""),"Công nghệ thông tin")</f>
        <v>Công nghệ thông tin</v>
      </c>
      <c r="C111" s="4" t="str">
        <f>IFERROR(__xludf.DUMMYFUNCTION("""COMPUTED_VALUE"""),"An example of researching models of metabolic disorders by diet in experimental mice")</f>
        <v>An example of researching models of metabolic disorders by diet in experimental mice</v>
      </c>
      <c r="D111" s="4" t="str">
        <f>IFERROR(__xludf.DUMMYFUNCTION("""COMPUTED_VALUE"""),"Nguyễn Quốc Đại; Lê Minh Sơn; Thân Quang Huy; Phùng Ngọc Hiệp")</f>
        <v>Nguyễn Quốc Đại; Lê Minh Sơn; Thân Quang Huy; Phùng Ngọc Hiệp</v>
      </c>
      <c r="E111" s="4" t="str">
        <f>IFERROR(__xludf.DUMMYFUNCTION("""COMPUTED_VALUE"""),"Trường Quốc tế, ĐHQG Hà Nội")</f>
        <v>Trường Quốc tế, ĐHQG Hà Nội</v>
      </c>
      <c r="F111" s="4" t="str">
        <f>IFERROR(__xludf.DUMMYFUNCTION("""COMPUTED_VALUE"""),"CNTT2026-110.png")</f>
        <v>CNTT2026-110.png</v>
      </c>
    </row>
    <row r="112">
      <c r="A112" s="4" t="str">
        <f>IFERROR(__xludf.DUMMYFUNCTION("""COMPUTED_VALUE"""),"CNTT2026-111")</f>
        <v>CNTT2026-111</v>
      </c>
      <c r="B112" s="4" t="str">
        <f>IFERROR(__xludf.DUMMYFUNCTION("""COMPUTED_VALUE"""),"Công nghệ thông tin")</f>
        <v>Công nghệ thông tin</v>
      </c>
      <c r="C112" s="4" t="str">
        <f>IFERROR(__xludf.DUMMYFUNCTION("""COMPUTED_VALUE"""),"Mạng nơ-ron đồ thị không gian-thời gian thích nghi với chưng cất tri thức đa thành phố cho hệ thống giao thông thông minh tại Việt Nam")</f>
        <v>Mạng nơ-ron đồ thị không gian-thời gian thích nghi với chưng cất tri thức đa thành phố cho hệ thống giao thông thông minh tại Việt Nam</v>
      </c>
      <c r="D112" s="4" t="str">
        <f>IFERROR(__xludf.DUMMYFUNCTION("""COMPUTED_VALUE"""),"Nguyễn Hải Yến; Lê Đức Hùng; Vũ Hữu Trí; Vũ Bình Dương; Phạm Đồng Khánh")</f>
        <v>Nguyễn Hải Yến; Lê Đức Hùng; Vũ Hữu Trí; Vũ Bình Dương; Phạm Đồng Khánh</v>
      </c>
      <c r="E112" s="4" t="str">
        <f>IFERROR(__xludf.DUMMYFUNCTION("""COMPUTED_VALUE"""),"Trường Quốc tế, ĐHQG Hà Nội")</f>
        <v>Trường Quốc tế, ĐHQG Hà Nội</v>
      </c>
      <c r="F112" s="4" t="str">
        <f>IFERROR(__xludf.DUMMYFUNCTION("""COMPUTED_VALUE"""),"CNTT2026-111.png")</f>
        <v>CNTT2026-111.png</v>
      </c>
    </row>
    <row r="113">
      <c r="A113" s="4" t="str">
        <f>IFERROR(__xludf.DUMMYFUNCTION("""COMPUTED_VALUE"""),"CNTT2026-112")</f>
        <v>CNTT2026-112</v>
      </c>
      <c r="B113" s="4" t="str">
        <f>IFERROR(__xludf.DUMMYFUNCTION("""COMPUTED_VALUE"""),"Công nghệ thông tin")</f>
        <v>Công nghệ thông tin</v>
      </c>
      <c r="C113" s="4" t="str">
        <f>IFERROR(__xludf.DUMMYFUNCTION("""COMPUTED_VALUE"""),"Phát triển mô hình học sâu ba giai đoạn tích hợp tiếp cận chưng cất tri thức và AI giải thích được cho bài toán phân loại mặt cắt siêu âm tim thai trong giai đoạn tam cá nguyệt thứ nhất")</f>
        <v>Phát triển mô hình học sâu ba giai đoạn tích hợp tiếp cận chưng cất tri thức và AI giải thích được cho bài toán phân loại mặt cắt siêu âm tim thai trong giai đoạn tam cá nguyệt thứ nhất</v>
      </c>
      <c r="D113" s="4" t="str">
        <f>IFERROR(__xludf.DUMMYFUNCTION("""COMPUTED_VALUE"""),"Huỳnh Minh Quyền; Bạch Huỳnh Như Thuỷ")</f>
        <v>Huỳnh Minh Quyền; Bạch Huỳnh Như Thuỷ</v>
      </c>
      <c r="E113" s="4" t="str">
        <f>IFERROR(__xludf.DUMMYFUNCTION("""COMPUTED_VALUE"""),"Trường Đại học Công nghệ TP. Hồ Chí Minh")</f>
        <v>Trường Đại học Công nghệ TP. Hồ Chí Minh</v>
      </c>
      <c r="F113" s="4" t="str">
        <f>IFERROR(__xludf.DUMMYFUNCTION("""COMPUTED_VALUE"""),"CNTT2026-112.png")</f>
        <v>CNTT2026-112.png</v>
      </c>
    </row>
    <row r="114">
      <c r="A114" s="4" t="str">
        <f>IFERROR(__xludf.DUMMYFUNCTION("""COMPUTED_VALUE"""),"CNTT2026-113")</f>
        <v>CNTT2026-113</v>
      </c>
      <c r="B114" s="4" t="str">
        <f>IFERROR(__xludf.DUMMYFUNCTION("""COMPUTED_VALUE"""),"Công nghệ thông tin")</f>
        <v>Công nghệ thông tin</v>
      </c>
      <c r="C114" s="4" t="str">
        <f>IFERROR(__xludf.DUMMYFUNCTION("""COMPUTED_VALUE"""),"Nghiên cứu khả năng tổng quát hóa của mô hình trí tuệ nhân tạo trong phân loại bệnh võng mạc tiểu đường từ ảnh đáy mắt.")</f>
        <v>Nghiên cứu khả năng tổng quát hóa của mô hình trí tuệ nhân tạo trong phân loại bệnh võng mạc tiểu đường từ ảnh đáy mắt.</v>
      </c>
      <c r="D114" s="4" t="str">
        <f>IFERROR(__xludf.DUMMYFUNCTION("""COMPUTED_VALUE"""),"Nguyễn Thành Danh; Nguyễn Duy Phúc; Huỳnh Trọng Nghĩa; Phạm Hoàng Nhật Thành; Trần Phạm Kim Quyên")</f>
        <v>Nguyễn Thành Danh; Nguyễn Duy Phúc; Huỳnh Trọng Nghĩa; Phạm Hoàng Nhật Thành; Trần Phạm Kim Quyên</v>
      </c>
      <c r="E114" s="4" t="str">
        <f>IFERROR(__xludf.DUMMYFUNCTION("""COMPUTED_VALUE"""),"Trường Đại học Quốc tế Sài Gòn")</f>
        <v>Trường Đại học Quốc tế Sài Gòn</v>
      </c>
      <c r="F114" s="4" t="str">
        <f>IFERROR(__xludf.DUMMYFUNCTION("""COMPUTED_VALUE"""),"CNTT2026-113.png")</f>
        <v>CNTT2026-113.png</v>
      </c>
    </row>
    <row r="115">
      <c r="A115" s="4" t="str">
        <f>IFERROR(__xludf.DUMMYFUNCTION("""COMPUTED_VALUE"""),"CNTT2026-114")</f>
        <v>CNTT2026-114</v>
      </c>
      <c r="B115" s="4" t="str">
        <f>IFERROR(__xludf.DUMMYFUNCTION("""COMPUTED_VALUE"""),"Công nghệ thông tin")</f>
        <v>Công nghệ thông tin</v>
      </c>
      <c r="C115" s="4" t="str">
        <f>IFERROR(__xludf.DUMMYFUNCTION("""COMPUTED_VALUE"""),"Nghiên cứu các mô hình học sâu hỗ trợ chẩn đoán một số bệnh dựa trên hình ảnh y tế")</f>
        <v>Nghiên cứu các mô hình học sâu hỗ trợ chẩn đoán một số bệnh dựa trên hình ảnh y tế</v>
      </c>
      <c r="D115" s="4" t="str">
        <f>IFERROR(__xludf.DUMMYFUNCTION("""COMPUTED_VALUE"""),"Nguyễn Thanh Minh Tâm")</f>
        <v>Nguyễn Thanh Minh Tâm</v>
      </c>
      <c r="E115" s="4" t="str">
        <f>IFERROR(__xludf.DUMMYFUNCTION("""COMPUTED_VALUE"""),"Trường Đại học Thăng Long")</f>
        <v>Trường Đại học Thăng Long</v>
      </c>
      <c r="F115" s="4" t="str">
        <f>IFERROR(__xludf.DUMMYFUNCTION("""COMPUTED_VALUE"""),"CNTT2026-114.png")</f>
        <v>CNTT2026-114.png</v>
      </c>
    </row>
    <row r="116">
      <c r="A116" s="4" t="str">
        <f>IFERROR(__xludf.DUMMYFUNCTION("""COMPUTED_VALUE"""),"CNTT2026-115")</f>
        <v>CNTT2026-115</v>
      </c>
      <c r="B116" s="4" t="str">
        <f>IFERROR(__xludf.DUMMYFUNCTION("""COMPUTED_VALUE"""),"Công nghệ thông tin")</f>
        <v>Công nghệ thông tin</v>
      </c>
      <c r="C116" s="4" t="str">
        <f>IFERROR(__xludf.DUMMYFUNCTION("""COMPUTED_VALUE"""),"ỨNG DỤNG HỌC MÁY DỰ ĐOÁN TRẦM CẢM Ở LỨA TUỔI THANH THIẾU NIÊN")</f>
        <v>ỨNG DỤNG HỌC MÁY DỰ ĐOÁN TRẦM CẢM Ở LỨA TUỔI THANH THIẾU NIÊN</v>
      </c>
      <c r="D116" s="4" t="str">
        <f>IFERROR(__xludf.DUMMYFUNCTION("""COMPUTED_VALUE"""),"Quảng Minh Phương; Lê Vũ Đăng Khoa; Nguyễn Dạ Giao Đăng; Hà Hồng Phượng")</f>
        <v>Quảng Minh Phương; Lê Vũ Đăng Khoa; Nguyễn Dạ Giao Đăng; Hà Hồng Phượng</v>
      </c>
      <c r="E116" s="4" t="str">
        <f>IFERROR(__xludf.DUMMYFUNCTION("""COMPUTED_VALUE"""),"Trường Đại học Kinh tế - Tài chính TP. Hồ Chí Minh")</f>
        <v>Trường Đại học Kinh tế - Tài chính TP. Hồ Chí Minh</v>
      </c>
      <c r="F116" s="4" t="str">
        <f>IFERROR(__xludf.DUMMYFUNCTION("""COMPUTED_VALUE"""),"CNTT2026-115.png")</f>
        <v>CNTT2026-115.png</v>
      </c>
    </row>
    <row r="117">
      <c r="A117" s="4" t="str">
        <f>IFERROR(__xludf.DUMMYFUNCTION("""COMPUTED_VALUE"""),"CNTT2026-116")</f>
        <v>CNTT2026-116</v>
      </c>
      <c r="B117" s="4" t="str">
        <f>IFERROR(__xludf.DUMMYFUNCTION("""COMPUTED_VALUE"""),"Công nghệ thông tin")</f>
        <v>Công nghệ thông tin</v>
      </c>
      <c r="C117" s="4" t="str">
        <f>IFERROR(__xludf.DUMMYFUNCTION("""COMPUTED_VALUE"""),"Phát triển hệ thống đối chiếu điểm tự động dựa trên nghiên cứu và tối ưu hóa mô hình học sâu cho bài toán nhận dạng chữ số viết tay.")</f>
        <v>Phát triển hệ thống đối chiếu điểm tự động dựa trên nghiên cứu và tối ưu hóa mô hình học sâu cho bài toán nhận dạng chữ số viết tay.</v>
      </c>
      <c r="D117" s="4" t="str">
        <f>IFERROR(__xludf.DUMMYFUNCTION("""COMPUTED_VALUE"""),"Trần Công Thành; Tạ Hồ Thanh Khương; Hoàng Trà My")</f>
        <v>Trần Công Thành; Tạ Hồ Thanh Khương; Hoàng Trà My</v>
      </c>
      <c r="E117" s="4" t="str">
        <f>IFERROR(__xludf.DUMMYFUNCTION("""COMPUTED_VALUE"""),"Trường Đại học Sư phạm, Đại học Đà Nẵng")</f>
        <v>Trường Đại học Sư phạm, Đại học Đà Nẵng</v>
      </c>
      <c r="F117" s="4" t="str">
        <f>IFERROR(__xludf.DUMMYFUNCTION("""COMPUTED_VALUE"""),"CNTT2026-116.png")</f>
        <v>CNTT2026-116.png</v>
      </c>
    </row>
    <row r="118">
      <c r="A118" s="4" t="str">
        <f>IFERROR(__xludf.DUMMYFUNCTION("""COMPUTED_VALUE"""),"CNTT2026-117")</f>
        <v>CNTT2026-117</v>
      </c>
      <c r="B118" s="4" t="str">
        <f>IFERROR(__xludf.DUMMYFUNCTION("""COMPUTED_VALUE"""),"Công nghệ thông tin")</f>
        <v>Công nghệ thông tin</v>
      </c>
      <c r="C118" s="4" t="str">
        <f>IFERROR(__xludf.DUMMYFUNCTION("""COMPUTED_VALUE"""),"Tác động của quảng cáo dán nhãn AI đến ý định quảng bá thương hiệu: Nghiên cứu thực nghiệm tích hợp toàn diện mô hình lý thuyết PKM")</f>
        <v>Tác động của quảng cáo dán nhãn AI đến ý định quảng bá thương hiệu: Nghiên cứu thực nghiệm tích hợp toàn diện mô hình lý thuyết PKM</v>
      </c>
      <c r="D118" s="4" t="str">
        <f>IFERROR(__xludf.DUMMYFUNCTION("""COMPUTED_VALUE"""),"Tô Uyển Thanh")</f>
        <v>Tô Uyển Thanh</v>
      </c>
      <c r="E118" s="4" t="str">
        <f>IFERROR(__xludf.DUMMYFUNCTION("""COMPUTED_VALUE"""),"Trường Đại học Văn Lang")</f>
        <v>Trường Đại học Văn Lang</v>
      </c>
      <c r="F118" s="4" t="str">
        <f>IFERROR(__xludf.DUMMYFUNCTION("""COMPUTED_VALUE"""),"CNTT2026-117.png")</f>
        <v>CNTT2026-117.png</v>
      </c>
    </row>
    <row r="119">
      <c r="A119" s="4" t="str">
        <f>IFERROR(__xludf.DUMMYFUNCTION("""COMPUTED_VALUE"""),"CNTT2026-118")</f>
        <v>CNTT2026-118</v>
      </c>
      <c r="B119" s="4" t="str">
        <f>IFERROR(__xludf.DUMMYFUNCTION("""COMPUTED_VALUE"""),"Công nghệ thông tin")</f>
        <v>Công nghệ thông tin</v>
      </c>
      <c r="C119" s="4" t="str">
        <f>IFERROR(__xludf.DUMMYFUNCTION("""COMPUTED_VALUE"""),"Điều gì khiến người nghe chấp nhận và gắn kết với âm nhạc do AI tạo ra?")</f>
        <v>Điều gì khiến người nghe chấp nhận và gắn kết với âm nhạc do AI tạo ra?</v>
      </c>
      <c r="D119" s="4" t="str">
        <f>IFERROR(__xludf.DUMMYFUNCTION("""COMPUTED_VALUE"""),"Nguyễn Thị Phương Thảo; Phạm Lê Gia Hân")</f>
        <v>Nguyễn Thị Phương Thảo; Phạm Lê Gia Hân</v>
      </c>
      <c r="E119" s="4" t="str">
        <f>IFERROR(__xludf.DUMMYFUNCTION("""COMPUTED_VALUE"""),"Trường Đại học Văn Lang")</f>
        <v>Trường Đại học Văn Lang</v>
      </c>
      <c r="F119" s="4" t="str">
        <f>IFERROR(__xludf.DUMMYFUNCTION("""COMPUTED_VALUE"""),"CNTT2026-118.png")</f>
        <v>CNTT2026-118.png</v>
      </c>
    </row>
    <row r="120">
      <c r="A120" s="4" t="str">
        <f>IFERROR(__xludf.DUMMYFUNCTION("""COMPUTED_VALUE"""),"CNTT2026-119")</f>
        <v>CNTT2026-119</v>
      </c>
      <c r="B120" s="4" t="str">
        <f>IFERROR(__xludf.DUMMYFUNCTION("""COMPUTED_VALUE"""),"Công nghệ thông tin")</f>
        <v>Công nghệ thông tin</v>
      </c>
      <c r="C120" s="4" t="str">
        <f>IFERROR(__xludf.DUMMYFUNCTION("""COMPUTED_VALUE"""),"Phát triển kiến trúc học sâu lai cho phân đoạn khối u não trên ảnh MRI đa phương thức với bộ dữ liệu Brats")</f>
        <v>Phát triển kiến trúc học sâu lai cho phân đoạn khối u não trên ảnh MRI đa phương thức với bộ dữ liệu Brats</v>
      </c>
      <c r="D120" s="4" t="str">
        <f>IFERROR(__xludf.DUMMYFUNCTION("""COMPUTED_VALUE"""),"Trương Việt Vũ; Nguyễn Phúc Nguyên; Đặng Thị Thu Hằng")</f>
        <v>Trương Việt Vũ; Nguyễn Phúc Nguyên; Đặng Thị Thu Hằng</v>
      </c>
      <c r="E120" s="4" t="str">
        <f>IFERROR(__xludf.DUMMYFUNCTION("""COMPUTED_VALUE"""),"Trường Đại học Văn Lang")</f>
        <v>Trường Đại học Văn Lang</v>
      </c>
      <c r="F120" s="4" t="str">
        <f>IFERROR(__xludf.DUMMYFUNCTION("""COMPUTED_VALUE"""),"CNTT2026-119.png")</f>
        <v>CNTT2026-119.png</v>
      </c>
    </row>
    <row r="121">
      <c r="A121" s="4" t="str">
        <f>IFERROR(__xludf.DUMMYFUNCTION("""COMPUTED_VALUE"""),"CNTT2026-120")</f>
        <v>CNTT2026-120</v>
      </c>
      <c r="B121" s="4" t="str">
        <f>IFERROR(__xludf.DUMMYFUNCTION("""COMPUTED_VALUE"""),"Công nghệ thông tin")</f>
        <v>Công nghệ thông tin</v>
      </c>
      <c r="C121" s="4" t="str">
        <f>IFERROR(__xludf.DUMMYFUNCTION("""COMPUTED_VALUE"""),"XÂY DỰNG ỨNG DỤNG TỰ HỌC PHỤC VỤ CHO VIỆC ĐÀO TẠO NHÂN VIÊN ĐIỀU HÀNH MÁY BAY THÔNG QUA HỆ THỐNG NHẬN DIỆN CỬ CHỈ BẰNG AI")</f>
        <v>XÂY DỰNG ỨNG DỤNG TỰ HỌC PHỤC VỤ CHO VIỆC ĐÀO TẠO NHÂN VIÊN ĐIỀU HÀNH MÁY BAY THÔNG QUA HỆ THỐNG NHẬN DIỆN CỬ CHỈ BẰNG AI</v>
      </c>
      <c r="D121" s="4" t="str">
        <f>IFERROR(__xludf.DUMMYFUNCTION("""COMPUTED_VALUE"""),"Vũ Thái Bình Dương; Cao Bảo Phúc; Võ Hoàng Nhật Trường")</f>
        <v>Vũ Thái Bình Dương; Cao Bảo Phúc; Võ Hoàng Nhật Trường</v>
      </c>
      <c r="E121" s="4" t="str">
        <f>IFERROR(__xludf.DUMMYFUNCTION("""COMPUTED_VALUE"""),"Học viện Hàng không Việt Nam")</f>
        <v>Học viện Hàng không Việt Nam</v>
      </c>
      <c r="F121" s="4" t="str">
        <f>IFERROR(__xludf.DUMMYFUNCTION("""COMPUTED_VALUE"""),"CNTT2026-120.png")</f>
        <v>CNTT2026-120.png</v>
      </c>
    </row>
    <row r="122">
      <c r="A122" s="4" t="str">
        <f>IFERROR(__xludf.DUMMYFUNCTION("""COMPUTED_VALUE"""),"CNTT2026-121")</f>
        <v>CNTT2026-121</v>
      </c>
      <c r="B122" s="4" t="str">
        <f>IFERROR(__xludf.DUMMYFUNCTION("""COMPUTED_VALUE"""),"Công nghệ thông tin")</f>
        <v>Công nghệ thông tin</v>
      </c>
      <c r="C122" s="4" t="str">
        <f>IFERROR(__xludf.DUMMYFUNCTION("""COMPUTED_VALUE"""),"ON THE ROBUSTNESS OF LANGUAGE MODEL-BASED RANSOMWARE DETECTORS FOR API SEQUENCE ANALYSIS UNDER SEMANTIC-PRESERVING MUTATIONS")</f>
        <v>ON THE ROBUSTNESS OF LANGUAGE MODEL-BASED RANSOMWARE DETECTORS FOR API SEQUENCE ANALYSIS UNDER SEMANTIC-PRESERVING MUTATIONS</v>
      </c>
      <c r="D122" s="4" t="str">
        <f>IFERROR(__xludf.DUMMYFUNCTION("""COMPUTED_VALUE"""),"Võ Đình Kiên; Trần Hồng Lĩnh; Phạm Tấn Lợi")</f>
        <v>Võ Đình Kiên; Trần Hồng Lĩnh; Phạm Tấn Lợi</v>
      </c>
      <c r="E122" s="4" t="str">
        <f>IFERROR(__xludf.DUMMYFUNCTION("""COMPUTED_VALUE"""),"Trường Đại học Công nghệ Thông tin, ĐHQG-HCM")</f>
        <v>Trường Đại học Công nghệ Thông tin, ĐHQG-HCM</v>
      </c>
      <c r="F122" s="4" t="str">
        <f>IFERROR(__xludf.DUMMYFUNCTION("""COMPUTED_VALUE"""),"CNTT2026-121.png")</f>
        <v>CNTT2026-121.png</v>
      </c>
    </row>
    <row r="123">
      <c r="A123" s="4" t="str">
        <f>IFERROR(__xludf.DUMMYFUNCTION("""COMPUTED_VALUE"""),"CNTT2026-122")</f>
        <v>CNTT2026-122</v>
      </c>
      <c r="B123" s="4" t="str">
        <f>IFERROR(__xludf.DUMMYFUNCTION("""COMPUTED_VALUE"""),"Công nghệ thông tin")</f>
        <v>Công nghệ thông tin</v>
      </c>
      <c r="C123" s="4" t="str">
        <f>IFERROR(__xludf.DUMMYFUNCTION("""COMPUTED_VALUE"""),"NHẬN DIỆN DẤU HIỆU LỪA ĐẢO TRONG HỘI THOẠI TIẾNG VIỆT BẰNG PHÂN TÍCH HÀNH ĐỘNG VÀ HỌC TỪ CÁC CẶP DỮ LIỆU BIẾN ĐỔI TỐI THIỂU")</f>
        <v>NHẬN DIỆN DẤU HIỆU LỪA ĐẢO TRONG HỘI THOẠI TIẾNG VIỆT BẰNG PHÂN TÍCH HÀNH ĐỘNG VÀ HỌC TỪ CÁC CẶP DỮ LIỆU BIẾN ĐỔI TỐI THIỂU</v>
      </c>
      <c r="D123" s="4" t="str">
        <f>IFERROR(__xludf.DUMMYFUNCTION("""COMPUTED_VALUE"""),"Phan Tuấn Anh; Nguyễn Tuấn Phát; Đào Mạnh Quân")</f>
        <v>Phan Tuấn Anh; Nguyễn Tuấn Phát; Đào Mạnh Quân</v>
      </c>
      <c r="E123" s="4" t="str">
        <f>IFERROR(__xludf.DUMMYFUNCTION("""COMPUTED_VALUE"""),"Trường Đại học Công nghệ Thông tin, ĐHQG-HCM")</f>
        <v>Trường Đại học Công nghệ Thông tin, ĐHQG-HCM</v>
      </c>
      <c r="F123" s="4" t="str">
        <f>IFERROR(__xludf.DUMMYFUNCTION("""COMPUTED_VALUE"""),"CNTT2026-122.png")</f>
        <v>CNTT2026-122.png</v>
      </c>
    </row>
    <row r="124">
      <c r="A124" s="4" t="str">
        <f>IFERROR(__xludf.DUMMYFUNCTION("""COMPUTED_VALUE"""),"CNTT2026-123")</f>
        <v>CNTT2026-123</v>
      </c>
      <c r="B124" s="4" t="str">
        <f>IFERROR(__xludf.DUMMYFUNCTION("""COMPUTED_VALUE"""),"Công nghệ thông tin")</f>
        <v>Công nghệ thông tin</v>
      </c>
      <c r="C124" s="4" t="str">
        <f>IFERROR(__xludf.DUMMYFUNCTION("""COMPUTED_VALUE"""),"TÍCH HỢP, PHÁT TRIỂN AI TRONG PHÂN TÍCH VÀ HỖ TRỢ CHẨN ĐOÁN Y KHOA BẰNG HÌNH ẢNH")</f>
        <v>TÍCH HỢP, PHÁT TRIỂN AI TRONG PHÂN TÍCH VÀ HỖ TRỢ CHẨN ĐOÁN Y KHOA BẰNG HÌNH ẢNH</v>
      </c>
      <c r="D124" s="4" t="str">
        <f>IFERROR(__xludf.DUMMYFUNCTION("""COMPUTED_VALUE"""),"Nguyễn Nguyên Khang; Trần Minh Quân")</f>
        <v>Nguyễn Nguyên Khang; Trần Minh Quân</v>
      </c>
      <c r="E124" s="4" t="str">
        <f>IFERROR(__xludf.DUMMYFUNCTION("""COMPUTED_VALUE"""),"Trường Đại học Công nghệ Thông tin, ĐHQG-HCM")</f>
        <v>Trường Đại học Công nghệ Thông tin, ĐHQG-HCM</v>
      </c>
      <c r="F124" s="4" t="str">
        <f>IFERROR(__xludf.DUMMYFUNCTION("""COMPUTED_VALUE"""),"CNTT2026-123.png")</f>
        <v>CNTT2026-123.png</v>
      </c>
    </row>
    <row r="125">
      <c r="A125" s="4" t="str">
        <f>IFERROR(__xludf.DUMMYFUNCTION("""COMPUTED_VALUE"""),"CNTT2026-124")</f>
        <v>CNTT2026-124</v>
      </c>
      <c r="B125" s="4" t="str">
        <f>IFERROR(__xludf.DUMMYFUNCTION("""COMPUTED_VALUE"""),"Công nghệ thông tin")</f>
        <v>Công nghệ thông tin</v>
      </c>
      <c r="C125" s="4" t="str">
        <f>IFERROR(__xludf.DUMMYFUNCTION("""COMPUTED_VALUE"""),"TÁI ĐỊNH DANH NGƯỜI TỪ GÓC NHÌN TRÊN CAO BẰNG TĂNG CƯỜNG DỮ LIỆU DỰA TRÊN THÔNG TIN PHÂN ĐOẠN")</f>
        <v>TÁI ĐỊNH DANH NGƯỜI TỪ GÓC NHÌN TRÊN CAO BẰNG TĂNG CƯỜNG DỮ LIỆU DỰA TRÊN THÔNG TIN PHÂN ĐOẠN</v>
      </c>
      <c r="D125" s="4" t="str">
        <f>IFERROR(__xludf.DUMMYFUNCTION("""COMPUTED_VALUE"""),"Phạm Duy Hiển")</f>
        <v>Phạm Duy Hiển</v>
      </c>
      <c r="E125" s="4" t="str">
        <f>IFERROR(__xludf.DUMMYFUNCTION("""COMPUTED_VALUE"""),"Trường Đại học Công nghệ Thông tin, ĐHQG-HCM")</f>
        <v>Trường Đại học Công nghệ Thông tin, ĐHQG-HCM</v>
      </c>
      <c r="F125" s="4" t="str">
        <f>IFERROR(__xludf.DUMMYFUNCTION("""COMPUTED_VALUE"""),"CNTT2026-124.png")</f>
        <v>CNTT2026-124.png</v>
      </c>
    </row>
    <row r="126">
      <c r="A126" s="4" t="str">
        <f>IFERROR(__xludf.DUMMYFUNCTION("""COMPUTED_VALUE"""),"CNTT2026-125")</f>
        <v>CNTT2026-125</v>
      </c>
      <c r="B126" s="4" t="str">
        <f>IFERROR(__xludf.DUMMYFUNCTION("""COMPUTED_VALUE"""),"Công nghệ thông tin")</f>
        <v>Công nghệ thông tin</v>
      </c>
      <c r="C126" s="4" t="str">
        <f>IFERROR(__xludf.DUMMYFUNCTION("""COMPUTED_VALUE"""),"ĐÁNH GIÁ TÁC ĐỘNG CỦA VĂN BẢN BỔ TRỢ VÀ GIẢM THIỂU THIÊN LỆCH GÂY HẠI TRONG CÁC MÔ HÌNH THỊ GIÁC - NGÔN NGỮ")</f>
        <v>ĐÁNH GIÁ TÁC ĐỘNG CỦA VĂN BẢN BỔ TRỢ VÀ GIẢM THIỂU THIÊN LỆCH GÂY HẠI TRONG CÁC MÔ HÌNH THỊ GIÁC - NGÔN NGỮ</v>
      </c>
      <c r="D126" s="4" t="str">
        <f>IFERROR(__xludf.DUMMYFUNCTION("""COMPUTED_VALUE"""),"Trần Văn Hoàng; Lê Thị Thanh Tâm")</f>
        <v>Trần Văn Hoàng; Lê Thị Thanh Tâm</v>
      </c>
      <c r="E126" s="4" t="str">
        <f>IFERROR(__xludf.DUMMYFUNCTION("""COMPUTED_VALUE"""),"Trường Đại học Công nghệ Thông tin, ĐHQG-HCM")</f>
        <v>Trường Đại học Công nghệ Thông tin, ĐHQG-HCM</v>
      </c>
      <c r="F126" s="4" t="str">
        <f>IFERROR(__xludf.DUMMYFUNCTION("""COMPUTED_VALUE"""),"CNTT2026-125.png")</f>
        <v>CNTT2026-125.png</v>
      </c>
    </row>
    <row r="127">
      <c r="A127" s="4" t="str">
        <f>IFERROR(__xludf.DUMMYFUNCTION("""COMPUTED_VALUE"""),"CNTT2026-126")</f>
        <v>CNTT2026-126</v>
      </c>
      <c r="B127" s="4" t="str">
        <f>IFERROR(__xludf.DUMMYFUNCTION("""COMPUTED_VALUE"""),"Công nghệ thông tin")</f>
        <v>Công nghệ thông tin</v>
      </c>
      <c r="C127" s="4" t="str">
        <f>IFERROR(__xludf.DUMMYFUNCTION("""COMPUTED_VALUE"""),"Explainable AI for Vietnamese Student Feedback Evaluating Intervention-Dependent Fidelity")</f>
        <v>Explainable AI for Vietnamese Student Feedback Evaluating Intervention-Dependent Fidelity</v>
      </c>
      <c r="D127" s="4" t="str">
        <f>IFERROR(__xludf.DUMMYFUNCTION("""COMPUTED_VALUE"""),"Lương Đức Hùng; Nguyễn Mạnh Quyền; Vũ Công Bội")</f>
        <v>Lương Đức Hùng; Nguyễn Mạnh Quyền; Vũ Công Bội</v>
      </c>
      <c r="E127" s="4" t="str">
        <f>IFERROR(__xludf.DUMMYFUNCTION("""COMPUTED_VALUE"""),"Trường Đại học FPT")</f>
        <v>Trường Đại học FPT</v>
      </c>
      <c r="F127" s="4" t="str">
        <f>IFERROR(__xludf.DUMMYFUNCTION("""COMPUTED_VALUE"""),"CNTT2026-126.png")</f>
        <v>CNTT2026-126.png</v>
      </c>
    </row>
    <row r="128">
      <c r="A128" s="4" t="str">
        <f>IFERROR(__xludf.DUMMYFUNCTION("""COMPUTED_VALUE"""),"CNTT2026-127")</f>
        <v>CNTT2026-127</v>
      </c>
      <c r="B128" s="4" t="str">
        <f>IFERROR(__xludf.DUMMYFUNCTION("""COMPUTED_VALUE"""),"Công nghệ thông tin")</f>
        <v>Công nghệ thông tin</v>
      </c>
      <c r="C128" s="4" t="str">
        <f>IFERROR(__xludf.DUMMYFUNCTION("""COMPUTED_VALUE"""),"Xây dựng giải pháp phòng thủ chủ động dựa trên cơ chế thêm nhiễu để chống lại các mô hình face-swapping")</f>
        <v>Xây dựng giải pháp phòng thủ chủ động dựa trên cơ chế thêm nhiễu để chống lại các mô hình face-swapping</v>
      </c>
      <c r="D128" s="4" t="str">
        <f>IFERROR(__xludf.DUMMYFUNCTION("""COMPUTED_VALUE"""),"Nguyễn Bảo Huy; Bùi Nguyễn Quỳnh Như; Ngô Ý Nhi; Phan Tuấn Khang; Trần Đức Anh")</f>
        <v>Nguyễn Bảo Huy; Bùi Nguyễn Quỳnh Như; Ngô Ý Nhi; Phan Tuấn Khang; Trần Đức Anh</v>
      </c>
      <c r="E128" s="4" t="str">
        <f>IFERROR(__xludf.DUMMYFUNCTION("""COMPUTED_VALUE"""),"Trường Đại học Sư phạm TP. Hồ Chí Minh")</f>
        <v>Trường Đại học Sư phạm TP. Hồ Chí Minh</v>
      </c>
      <c r="F128" s="4" t="str">
        <f>IFERROR(__xludf.DUMMYFUNCTION("""COMPUTED_VALUE"""),"CNTT2026-127.png")</f>
        <v>CNTT2026-127.png</v>
      </c>
    </row>
    <row r="129">
      <c r="A129" s="4" t="str">
        <f>IFERROR(__xludf.DUMMYFUNCTION("""COMPUTED_VALUE"""),"CNTT2026-128")</f>
        <v>CNTT2026-128</v>
      </c>
      <c r="B129" s="4" t="str">
        <f>IFERROR(__xludf.DUMMYFUNCTION("""COMPUTED_VALUE"""),"Công nghệ thông tin")</f>
        <v>Công nghệ thông tin</v>
      </c>
      <c r="C129" s="4" t="str">
        <f>IFERROR(__xludf.DUMMYFUNCTION("""COMPUTED_VALUE"""),"CHUẨN ĐOÁN ĐA BỆNH LÝ VÕNG MẠC TIỂU ĐƯỜNG DỰA TRÊN HỌC SÂU TỔNG QUÁT VÀ TRANSFORMER ATTENTION")</f>
        <v>CHUẨN ĐOÁN ĐA BỆNH LÝ VÕNG MẠC TIỂU ĐƯỜNG DỰA TRÊN HỌC SÂU TỔNG QUÁT VÀ TRANSFORMER ATTENTION</v>
      </c>
      <c r="D129" s="4" t="str">
        <f>IFERROR(__xludf.DUMMYFUNCTION("""COMPUTED_VALUE"""),"Nguyễn Thái Bảo")</f>
        <v>Nguyễn Thái Bảo</v>
      </c>
      <c r="E129" s="4" t="str">
        <f>IFERROR(__xludf.DUMMYFUNCTION("""COMPUTED_VALUE"""),"Trường Đại học Mở TP. Hồ Chí Minh")</f>
        <v>Trường Đại học Mở TP. Hồ Chí Minh</v>
      </c>
      <c r="F129" s="4" t="str">
        <f>IFERROR(__xludf.DUMMYFUNCTION("""COMPUTED_VALUE"""),"CNTT2026-128.png")</f>
        <v>CNTT2026-128.png</v>
      </c>
    </row>
    <row r="130">
      <c r="A130" s="4" t="str">
        <f>IFERROR(__xludf.DUMMYFUNCTION("""COMPUTED_VALUE"""),"CNTT2026-129")</f>
        <v>CNTT2026-129</v>
      </c>
      <c r="B130" s="4" t="str">
        <f>IFERROR(__xludf.DUMMYFUNCTION("""COMPUTED_VALUE"""),"Công nghệ thông tin")</f>
        <v>Công nghệ thông tin</v>
      </c>
      <c r="C130" s="4" t="str">
        <f>IFERROR(__xludf.DUMMYFUNCTION("""COMPUTED_VALUE"""),"Phân đoạn hình ảnh y tế sử dụng học sâu (Medical Image Segmentation using Deep Learning)")</f>
        <v>Phân đoạn hình ảnh y tế sử dụng học sâu (Medical Image Segmentation using Deep Learning)</v>
      </c>
      <c r="D130" s="4" t="str">
        <f>IFERROR(__xludf.DUMMYFUNCTION("""COMPUTED_VALUE"""),"Ngô Đông Nguyên")</f>
        <v>Ngô Đông Nguyên</v>
      </c>
      <c r="E130" s="4" t="str">
        <f>IFERROR(__xludf.DUMMYFUNCTION("""COMPUTED_VALUE"""),"Trường Đại học Mở TP. Hồ Chí Minh")</f>
        <v>Trường Đại học Mở TP. Hồ Chí Minh</v>
      </c>
      <c r="F130" s="4" t="str">
        <f>IFERROR(__xludf.DUMMYFUNCTION("""COMPUTED_VALUE"""),"CNTT2026-129.png")</f>
        <v>CNTT2026-129.png</v>
      </c>
    </row>
    <row r="131">
      <c r="A131" s="4" t="str">
        <f>IFERROR(__xludf.DUMMYFUNCTION("""COMPUTED_VALUE"""),"CNTT2026-130")</f>
        <v>CNTT2026-130</v>
      </c>
      <c r="B131" s="4" t="str">
        <f>IFERROR(__xludf.DUMMYFUNCTION("""COMPUTED_VALUE"""),"Công nghệ thông tin")</f>
        <v>Công nghệ thông tin</v>
      </c>
      <c r="C131" s="4" t="str">
        <f>IFERROR(__xludf.DUMMYFUNCTION("""COMPUTED_VALUE"""),"Xây dựng cố vấn học tập ảo bằng AI Agent hỗ trợ tư vấn học vụ cho sinh viên khối ngành Kỹ thuật trường Đại học Cửu Long")</f>
        <v>Xây dựng cố vấn học tập ảo bằng AI Agent hỗ trợ tư vấn học vụ cho sinh viên khối ngành Kỹ thuật trường Đại học Cửu Long</v>
      </c>
      <c r="D131" s="4" t="str">
        <f>IFERROR(__xludf.DUMMYFUNCTION("""COMPUTED_VALUE"""),"Nguyễn Minh Chung")</f>
        <v>Nguyễn Minh Chung</v>
      </c>
      <c r="E131" s="4" t="str">
        <f>IFERROR(__xludf.DUMMYFUNCTION("""COMPUTED_VALUE"""),"Trường Đại học Cửu Long")</f>
        <v>Trường Đại học Cửu Long</v>
      </c>
      <c r="F131" s="4" t="str">
        <f>IFERROR(__xludf.DUMMYFUNCTION("""COMPUTED_VALUE"""),"CNTT2026-130.png")</f>
        <v>CNTT2026-130.png</v>
      </c>
    </row>
    <row r="132">
      <c r="A132" s="4" t="str">
        <f>IFERROR(__xludf.DUMMYFUNCTION("""COMPUTED_VALUE"""),"CNTT2026-131")</f>
        <v>CNTT2026-131</v>
      </c>
      <c r="B132" s="4" t="str">
        <f>IFERROR(__xludf.DUMMYFUNCTION("""COMPUTED_VALUE"""),"Công nghệ thông tin")</f>
        <v>Công nghệ thông tin</v>
      </c>
      <c r="C132" s="4" t="str">
        <f>IFERROR(__xludf.DUMMYFUNCTION("""COMPUTED_VALUE"""),"Nghiên cứu tích hợp ROS, Navigation Stack và module AI cho hệ thống robot chữa cháy tự hành nhận diện và ứng phó hỏa hoạn")</f>
        <v>Nghiên cứu tích hợp ROS, Navigation Stack và module AI cho hệ thống robot chữa cháy tự hành nhận diện và ứng phó hỏa hoạn</v>
      </c>
      <c r="D132" s="4" t="str">
        <f>IFERROR(__xludf.DUMMYFUNCTION("""COMPUTED_VALUE"""),"Đào Tiến Đạt; Đặng Phan Duy; Lê Trần Minh Khôi; Ngô Thành Khôi; Phạm Lê Anh Khoa")</f>
        <v>Đào Tiến Đạt; Đặng Phan Duy; Lê Trần Minh Khôi; Ngô Thành Khôi; Phạm Lê Anh Khoa</v>
      </c>
      <c r="E132" s="4" t="str">
        <f>IFERROR(__xludf.DUMMYFUNCTION("""COMPUTED_VALUE"""),"Phân hiệu Trường Đại học Giao thông vận tải tại TP. Hồ Chí Minh")</f>
        <v>Phân hiệu Trường Đại học Giao thông vận tải tại TP. Hồ Chí Minh</v>
      </c>
      <c r="F132" s="4" t="str">
        <f>IFERROR(__xludf.DUMMYFUNCTION("""COMPUTED_VALUE"""),"CNTT2026-131.png")</f>
        <v>CNTT2026-131.png</v>
      </c>
    </row>
    <row r="133">
      <c r="A133" s="4" t="str">
        <f>IFERROR(__xludf.DUMMYFUNCTION("""COMPUTED_VALUE"""),"CNTT2026-132")</f>
        <v>CNTT2026-132</v>
      </c>
      <c r="B133" s="4" t="str">
        <f>IFERROR(__xludf.DUMMYFUNCTION("""COMPUTED_VALUE"""),"Công nghệ thông tin")</f>
        <v>Công nghệ thông tin</v>
      </c>
      <c r="C133" s="4" t="str">
        <f>IFERROR(__xludf.DUMMYFUNCTION("""COMPUTED_VALUE"""),"CÁC HỆ THỐNG NHẬN DIỆN BIỂN SỐ XE MỜ CÓ THẬT SỰ CẦN PHƯƠNG PHÁP SIÊU PHÂN GIẢI")</f>
        <v>CÁC HỆ THỐNG NHẬN DIỆN BIỂN SỐ XE MỜ CÓ THẬT SỰ CẦN PHƯƠNG PHÁP SIÊU PHÂN GIẢI</v>
      </c>
      <c r="D133" s="4" t="str">
        <f>IFERROR(__xludf.DUMMYFUNCTION("""COMPUTED_VALUE"""),"Phùng Minh Chí; Đặng Ngọc Trường Chinh")</f>
        <v>Phùng Minh Chí; Đặng Ngọc Trường Chinh</v>
      </c>
      <c r="E133" s="4" t="str">
        <f>IFERROR(__xludf.DUMMYFUNCTION("""COMPUTED_VALUE"""),"Trường Đại học Công nghệ Thông tin, ĐHQG-HCM")</f>
        <v>Trường Đại học Công nghệ Thông tin, ĐHQG-HCM</v>
      </c>
      <c r="F133" s="4" t="str">
        <f>IFERROR(__xludf.DUMMYFUNCTION("""COMPUTED_VALUE"""),"CNTT2026-132.png")</f>
        <v>CNTT2026-132.png</v>
      </c>
    </row>
    <row r="134">
      <c r="A134" s="4" t="str">
        <f>IFERROR(__xludf.DUMMYFUNCTION("""COMPUTED_VALUE"""),"CNTT2026-133")</f>
        <v>CNTT2026-133</v>
      </c>
      <c r="B134" s="4" t="str">
        <f>IFERROR(__xludf.DUMMYFUNCTION("""COMPUTED_VALUE"""),"Công nghệ thông tin")</f>
        <v>Công nghệ thông tin</v>
      </c>
      <c r="C134" s="4" t="str">
        <f>IFERROR(__xludf.DUMMYFUNCTION("""COMPUTED_VALUE"""),"Nghiên cứu kết hợp mô hình hybrid whisper với ViT5 để chuyển đổi giọng nói tiếng việt thành văn bản và phát triển chatbot hỗ trợ học tập dành cho sinh viên")</f>
        <v>Nghiên cứu kết hợp mô hình hybrid whisper với ViT5 để chuyển đổi giọng nói tiếng việt thành văn bản và phát triển chatbot hỗ trợ học tập dành cho sinh viên</v>
      </c>
      <c r="D134" s="4" t="str">
        <f>IFERROR(__xludf.DUMMYFUNCTION("""COMPUTED_VALUE"""),"Phạm Thị Ngọc Oanh; Võ Hồng Thiên; Trần Nhất Long; Trần Đình Võ; Nguyễn Huy Khang")</f>
        <v>Phạm Thị Ngọc Oanh; Võ Hồng Thiên; Trần Nhất Long; Trần Đình Võ; Nguyễn Huy Khang</v>
      </c>
      <c r="E134" s="4" t="str">
        <f>IFERROR(__xludf.DUMMYFUNCTION("""COMPUTED_VALUE"""),"Phân hiệu Trường Đại học Giao thông vận tải tại TP. Hồ Chí Minh")</f>
        <v>Phân hiệu Trường Đại học Giao thông vận tải tại TP. Hồ Chí Minh</v>
      </c>
      <c r="F134" s="4" t="str">
        <f>IFERROR(__xludf.DUMMYFUNCTION("""COMPUTED_VALUE"""),"CNTT2026-133.png")</f>
        <v>CNTT2026-133.png</v>
      </c>
    </row>
    <row r="135">
      <c r="A135" s="4" t="str">
        <f>IFERROR(__xludf.DUMMYFUNCTION("""COMPUTED_VALUE"""),"CNTT2026-134")</f>
        <v>CNTT2026-134</v>
      </c>
      <c r="B135" s="4" t="str">
        <f>IFERROR(__xludf.DUMMYFUNCTION("""COMPUTED_VALUE"""),"Công nghệ thông tin")</f>
        <v>Công nghệ thông tin</v>
      </c>
      <c r="C135" s="4" t="str">
        <f>IFERROR(__xludf.DUMMYFUNCTION("""COMPUTED_VALUE"""),"Rethinking Over-generalization in Reconstruction-based Multi-class Anomaly Detection for Industrial Inspection")</f>
        <v>Rethinking Over-generalization in Reconstruction-based Multi-class Anomaly Detection for Industrial Inspection</v>
      </c>
      <c r="D135" s="4" t="str">
        <f>IFERROR(__xludf.DUMMYFUNCTION("""COMPUTED_VALUE"""),"Nguyễn Minh Trí")</f>
        <v>Nguyễn Minh Trí</v>
      </c>
      <c r="E135" s="4" t="str">
        <f>IFERROR(__xludf.DUMMYFUNCTION("""COMPUTED_VALUE"""),"Trường Đại học FPT")</f>
        <v>Trường Đại học FPT</v>
      </c>
      <c r="F135" s="4" t="str">
        <f>IFERROR(__xludf.DUMMYFUNCTION("""COMPUTED_VALUE"""),"CNTT2026-134.png")</f>
        <v>CNTT2026-134.png</v>
      </c>
    </row>
    <row r="136">
      <c r="A136" s="4" t="str">
        <f>IFERROR(__xludf.DUMMYFUNCTION("""COMPUTED_VALUE"""),"CNTT2026-135")</f>
        <v>CNTT2026-135</v>
      </c>
      <c r="B136" s="4" t="str">
        <f>IFERROR(__xludf.DUMMYFUNCTION("""COMPUTED_VALUE"""),"Công nghệ thông tin")</f>
        <v>Công nghệ thông tin</v>
      </c>
      <c r="C136" s="4" t="str">
        <f>IFERROR(__xludf.DUMMYFUNCTION("""COMPUTED_VALUE"""),"Nghiên cứu xây dựng trạm đo đánh giá mức độ ô nhiễm mùi hôi tại phòng khám thú Y bằng công nghệ IoT")</f>
        <v>Nghiên cứu xây dựng trạm đo đánh giá mức độ ô nhiễm mùi hôi tại phòng khám thú Y bằng công nghệ IoT</v>
      </c>
      <c r="D136" s="4" t="str">
        <f>IFERROR(__xludf.DUMMYFUNCTION("""COMPUTED_VALUE"""),"Lương Ngọc Thiện; Doãn Thị Thu Hà; Nguyễn Viết Hiếu; Vũ Thùy Linh; Trần Bảo Văn")</f>
        <v>Lương Ngọc Thiện; Doãn Thị Thu Hà; Nguyễn Viết Hiếu; Vũ Thùy Linh; Trần Bảo Văn</v>
      </c>
      <c r="E136" s="4" t="str">
        <f>IFERROR(__xludf.DUMMYFUNCTION("""COMPUTED_VALUE"""),"Học viện Nông nghiệp Việt Nam")</f>
        <v>Học viện Nông nghiệp Việt Nam</v>
      </c>
      <c r="F136" s="4" t="str">
        <f>IFERROR(__xludf.DUMMYFUNCTION("""COMPUTED_VALUE"""),"CNTT2026-135.png")</f>
        <v>CNTT2026-135.png</v>
      </c>
    </row>
    <row r="137">
      <c r="A137" s="4" t="str">
        <f>IFERROR(__xludf.DUMMYFUNCTION("""COMPUTED_VALUE"""),"CNTT2026-136")</f>
        <v>CNTT2026-136</v>
      </c>
      <c r="B137" s="4" t="str">
        <f>IFERROR(__xludf.DUMMYFUNCTION("""COMPUTED_VALUE"""),"Công nghệ thông tin")</f>
        <v>Công nghệ thông tin</v>
      </c>
      <c r="C137" s="4" t="str">
        <f>IFERROR(__xludf.DUMMYFUNCTION("""COMPUTED_VALUE"""),"Nhận dạng và phân loại đám cháy thời gian thực bằng máy học")</f>
        <v>Nhận dạng và phân loại đám cháy thời gian thực bằng máy học</v>
      </c>
      <c r="D137" s="4" t="str">
        <f>IFERROR(__xludf.DUMMYFUNCTION("""COMPUTED_VALUE"""),"Trần Phạm Thái Toàn; Nguyễn Phi Nhân; Nguyễn Anh Kiệt")</f>
        <v>Trần Phạm Thái Toàn; Nguyễn Phi Nhân; Nguyễn Anh Kiệt</v>
      </c>
      <c r="E137" s="4" t="str">
        <f>IFERROR(__xludf.DUMMYFUNCTION("""COMPUTED_VALUE"""),"Đại học Cần Thơ")</f>
        <v>Đại học Cần Thơ</v>
      </c>
      <c r="F137" s="4" t="str">
        <f>IFERROR(__xludf.DUMMYFUNCTION("""COMPUTED_VALUE"""),"CNTT2026-136.png")</f>
        <v>CNTT2026-136.png</v>
      </c>
    </row>
    <row r="138">
      <c r="A138" s="4" t="str">
        <f>IFERROR(__xludf.DUMMYFUNCTION("""COMPUTED_VALUE"""),"CNTT2026-137")</f>
        <v>CNTT2026-137</v>
      </c>
      <c r="B138" s="4" t="str">
        <f>IFERROR(__xludf.DUMMYFUNCTION("""COMPUTED_VALUE"""),"Công nghệ thông tin")</f>
        <v>Công nghệ thông tin</v>
      </c>
      <c r="C138" s="4" t="str">
        <f>IFERROR(__xludf.DUMMYFUNCTION("""COMPUTED_VALUE"""),"Độ chụm và độ đúng tương đối của máy quét ngoài mặt 3D trong khảo sát hình thái khuôn mặt")</f>
        <v>Độ chụm và độ đúng tương đối của máy quét ngoài mặt 3D trong khảo sát hình thái khuôn mặt</v>
      </c>
      <c r="D138" s="4" t="str">
        <f>IFERROR(__xludf.DUMMYFUNCTION("""COMPUTED_VALUE"""),"Lê Nguyễn Ngọc Hân; Nguyễn Trí Dũng")</f>
        <v>Lê Nguyễn Ngọc Hân; Nguyễn Trí Dũng</v>
      </c>
      <c r="E138" s="4" t="str">
        <f>IFERROR(__xludf.DUMMYFUNCTION("""COMPUTED_VALUE"""),"Đại học Y Dược TP. Hồ Chí Minh")</f>
        <v>Đại học Y Dược TP. Hồ Chí Minh</v>
      </c>
      <c r="F138" s="4" t="str">
        <f>IFERROR(__xludf.DUMMYFUNCTION("""COMPUTED_VALUE"""),"CNTT2026-137.png")</f>
        <v>CNTT2026-137.png</v>
      </c>
    </row>
    <row r="139">
      <c r="A139" s="4" t="str">
        <f>IFERROR(__xludf.DUMMYFUNCTION("""COMPUTED_VALUE"""),"CNTT2026-138")</f>
        <v>CNTT2026-138</v>
      </c>
      <c r="B139" s="4" t="str">
        <f>IFERROR(__xludf.DUMMYFUNCTION("""COMPUTED_VALUE"""),"Công nghệ thông tin")</f>
        <v>Công nghệ thông tin</v>
      </c>
      <c r="C139" s="4" t="str">
        <f>IFERROR(__xludf.DUMMYFUNCTION("""COMPUTED_VALUE"""),"Nghiên cứu đề xuất mô hình học sâu nhằm nâng cao độ tin cậy trong dự báo chuỗi thời gian dài hạn")</f>
        <v>Nghiên cứu đề xuất mô hình học sâu nhằm nâng cao độ tin cậy trong dự báo chuỗi thời gian dài hạn</v>
      </c>
      <c r="D139" s="4" t="str">
        <f>IFERROR(__xludf.DUMMYFUNCTION("""COMPUTED_VALUE"""),"Võ Đình Phú")</f>
        <v>Võ Đình Phú</v>
      </c>
      <c r="E139" s="4" t="str">
        <f>IFERROR(__xludf.DUMMYFUNCTION("""COMPUTED_VALUE"""),"Trường Đại học Công nghệ Thông tin và Truyền thông Việt - Hàn, Đại học Đà Nẵng")</f>
        <v>Trường Đại học Công nghệ Thông tin và Truyền thông Việt - Hàn, Đại học Đà Nẵng</v>
      </c>
      <c r="F139" s="4" t="str">
        <f>IFERROR(__xludf.DUMMYFUNCTION("""COMPUTED_VALUE"""),"CNTT2026-138.png")</f>
        <v>CNTT2026-138.png</v>
      </c>
    </row>
    <row r="140">
      <c r="A140" s="4" t="str">
        <f>IFERROR(__xludf.DUMMYFUNCTION("""COMPUTED_VALUE"""),"CNTT2026-139")</f>
        <v>CNTT2026-139</v>
      </c>
      <c r="B140" s="4" t="str">
        <f>IFERROR(__xludf.DUMMYFUNCTION("""COMPUTED_VALUE"""),"Công nghệ thông tin")</f>
        <v>Công nghệ thông tin</v>
      </c>
      <c r="C140" s="4" t="str">
        <f>IFERROR(__xludf.DUMMYFUNCTION("""COMPUTED_VALUE"""),"Xây dựng hệ thống hỏi đáp tự động về quy trình học vụ cho sinh viên Trường Đại học Nha Trang dựa trên ontology và mô hình ngôn ngữ")</f>
        <v>Xây dựng hệ thống hỏi đáp tự động về quy trình học vụ cho sinh viên Trường Đại học Nha Trang dựa trên ontology và mô hình ngôn ngữ</v>
      </c>
      <c r="D140" s="4" t="str">
        <f>IFERROR(__xludf.DUMMYFUNCTION("""COMPUTED_VALUE"""),"Nguyễn Gia Khánh; Vi Phúc Thịnh; Lê Văn Hoà")</f>
        <v>Nguyễn Gia Khánh; Vi Phúc Thịnh; Lê Văn Hoà</v>
      </c>
      <c r="E140" s="4" t="str">
        <f>IFERROR(__xludf.DUMMYFUNCTION("""COMPUTED_VALUE"""),"Trường Đại học Nha Trang")</f>
        <v>Trường Đại học Nha Trang</v>
      </c>
      <c r="F140" s="4" t="str">
        <f>IFERROR(__xludf.DUMMYFUNCTION("""COMPUTED_VALUE"""),"CNTT2026-139.png")</f>
        <v>CNTT2026-139.png</v>
      </c>
    </row>
    <row r="141">
      <c r="A141" s="4" t="str">
        <f>IFERROR(__xludf.DUMMYFUNCTION("""COMPUTED_VALUE"""),"CNTT2026-140")</f>
        <v>CNTT2026-140</v>
      </c>
      <c r="B141" s="4" t="str">
        <f>IFERROR(__xludf.DUMMYFUNCTION("""COMPUTED_VALUE"""),"Công nghệ thông tin")</f>
        <v>Công nghệ thông tin</v>
      </c>
      <c r="C141" s="4" t="str">
        <f>IFERROR(__xludf.DUMMYFUNCTION("""COMPUTED_VALUE"""),"Hệ thống hỗ trợ xây dựng kế hoạch học tập cá nhân hóa dựa trên ontology chương trình đào tạo và hồ sơ sinh viên")</f>
        <v>Hệ thống hỗ trợ xây dựng kế hoạch học tập cá nhân hóa dựa trên ontology chương trình đào tạo và hồ sơ sinh viên</v>
      </c>
      <c r="D141" s="4" t="str">
        <f>IFERROR(__xludf.DUMMYFUNCTION("""COMPUTED_VALUE"""),"Đào Duy Tấn; Lê Kim Linh; Nguyễn Đức Mạnh")</f>
        <v>Đào Duy Tấn; Lê Kim Linh; Nguyễn Đức Mạnh</v>
      </c>
      <c r="E141" s="4" t="str">
        <f>IFERROR(__xludf.DUMMYFUNCTION("""COMPUTED_VALUE"""),"Trường Đại học Nha Trang")</f>
        <v>Trường Đại học Nha Trang</v>
      </c>
      <c r="F141" s="4" t="str">
        <f>IFERROR(__xludf.DUMMYFUNCTION("""COMPUTED_VALUE"""),"CNTT2026-140.png")</f>
        <v>CNTT2026-140.png</v>
      </c>
    </row>
    <row r="142">
      <c r="A142" s="4" t="str">
        <f>IFERROR(__xludf.DUMMYFUNCTION("""COMPUTED_VALUE"""),"CNTT2026-141")</f>
        <v>CNTT2026-141</v>
      </c>
      <c r="B142" s="4" t="str">
        <f>IFERROR(__xludf.DUMMYFUNCTION("""COMPUTED_VALUE"""),"Công nghệ thông tin")</f>
        <v>Công nghệ thông tin</v>
      </c>
      <c r="C142" s="4" t="str">
        <f>IFERROR(__xludf.DUMMYFUNCTION("""COMPUTED_VALUE"""),"Tổng quan vai trò của Trí tuệ nhân tạo trong chụp Cắt lớp vi tính nhằm nâng cao Chất lượng hình ảnh và Tối ưu hóa liều bức xạ")</f>
        <v>Tổng quan vai trò của Trí tuệ nhân tạo trong chụp Cắt lớp vi tính nhằm nâng cao Chất lượng hình ảnh và Tối ưu hóa liều bức xạ</v>
      </c>
      <c r="D142" s="4" t="str">
        <f>IFERROR(__xludf.DUMMYFUNCTION("""COMPUTED_VALUE"""),"Trương Minh Mẫn; Phan Thị Phượng Khánh; Trần Trang Ánh Ngọc; Cao Thiên Tuệ; Trương Ngọc Xuân Mai")</f>
        <v>Trương Minh Mẫn; Phan Thị Phượng Khánh; Trần Trang Ánh Ngọc; Cao Thiên Tuệ; Trương Ngọc Xuân Mai</v>
      </c>
      <c r="E142" s="4" t="str">
        <f>IFERROR(__xludf.DUMMYFUNCTION("""COMPUTED_VALUE"""),"Đại học Y Dược TP. Hồ Chí Minh")</f>
        <v>Đại học Y Dược TP. Hồ Chí Minh</v>
      </c>
      <c r="F142" s="4" t="str">
        <f>IFERROR(__xludf.DUMMYFUNCTION("""COMPUTED_VALUE"""),"CNTT2026-141.png")</f>
        <v>CNTT2026-141.png</v>
      </c>
    </row>
    <row r="143">
      <c r="A143" s="4" t="str">
        <f>IFERROR(__xludf.DUMMYFUNCTION("""COMPUTED_VALUE"""),"CNTT2026-142")</f>
        <v>CNTT2026-142</v>
      </c>
      <c r="B143" s="4" t="str">
        <f>IFERROR(__xludf.DUMMYFUNCTION("""COMPUTED_VALUE"""),"Công nghệ thông tin")</f>
        <v>Công nghệ thông tin</v>
      </c>
      <c r="C143" s="4" t="str">
        <f>IFERROR(__xludf.DUMMYFUNCTION("""COMPUTED_VALUE"""),"Ứng dụng trí tuệ nhân tạo trên thiết bị di động để đánh giá tự động bài tập Y học cổ truyền ""Xuống tấn lắc thân"" theo tiêu chuẩn chuyên gia")</f>
        <v>Ứng dụng trí tuệ nhân tạo trên thiết bị di động để đánh giá tự động bài tập Y học cổ truyền "Xuống tấn lắc thân" theo tiêu chuẩn chuyên gia</v>
      </c>
      <c r="D143" s="4" t="str">
        <f>IFERROR(__xludf.DUMMYFUNCTION("""COMPUTED_VALUE"""),"Tô Bá Đông Hải; Ngô Nam Công; Nguyễn Văn Cường; Phạm Lê Nam Phương; Nguyễn Quốc Kiên Thành")</f>
        <v>Tô Bá Đông Hải; Ngô Nam Công; Nguyễn Văn Cường; Phạm Lê Nam Phương; Nguyễn Quốc Kiên Thành</v>
      </c>
      <c r="E143" s="4" t="str">
        <f>IFERROR(__xludf.DUMMYFUNCTION("""COMPUTED_VALUE"""),"Đại học Y Dược TP. Hồ Chí Minh")</f>
        <v>Đại học Y Dược TP. Hồ Chí Minh</v>
      </c>
      <c r="F143" s="4" t="str">
        <f>IFERROR(__xludf.DUMMYFUNCTION("""COMPUTED_VALUE"""),"CNTT2026-142.png")</f>
        <v>CNTT2026-142.png</v>
      </c>
    </row>
    <row r="144">
      <c r="A144" s="4" t="str">
        <f>IFERROR(__xludf.DUMMYFUNCTION("""COMPUTED_VALUE"""),"CNTT2026-143")</f>
        <v>CNTT2026-143</v>
      </c>
      <c r="B144" s="4" t="str">
        <f>IFERROR(__xludf.DUMMYFUNCTION("""COMPUTED_VALUE"""),"Công nghệ thông tin")</f>
        <v>Công nghệ thông tin</v>
      </c>
      <c r="C144" s="4" t="str">
        <f>IFERROR(__xludf.DUMMYFUNCTION("""COMPUTED_VALUE"""),"Đánh giá biên độ vận động khớp vai và nhiệt độ tại huyệt sử dụng hệ thống quang trắc tích hợp AI (ROMIX) và thiết bị đo nhiệt độ đo liên tục được chuẩn hóa (ATHERM) trên nhóm tình nguyện viên có thể chất Dương hư khi tập bài tập Dưỡng sinh Xuống Tấn Lắc T"&amp;"hân trong Y học cổ truyền.")</f>
        <v>Đánh giá biên độ vận động khớp vai và nhiệt độ tại huyệt sử dụng hệ thống quang trắc tích hợp AI (ROMIX) và thiết bị đo nhiệt độ đo liên tục được chuẩn hóa (ATHERM) trên nhóm tình nguyện viên có thể chất Dương hư khi tập bài tập Dưỡng sinh Xuống Tấn Lắc Thân trong Y học cổ truyền.</v>
      </c>
      <c r="D144" s="4" t="str">
        <f>IFERROR(__xludf.DUMMYFUNCTION("""COMPUTED_VALUE"""),"Đàm Khang Chánh; Lê Phan Thế Vinh; Lê Thanh Ngân; Nguyễn Quang Đại; Nguyễn Văn Cường")</f>
        <v>Đàm Khang Chánh; Lê Phan Thế Vinh; Lê Thanh Ngân; Nguyễn Quang Đại; Nguyễn Văn Cường</v>
      </c>
      <c r="E144" s="4" t="str">
        <f>IFERROR(__xludf.DUMMYFUNCTION("""COMPUTED_VALUE"""),"Đại học Y Dược TP. Hồ Chí Minh")</f>
        <v>Đại học Y Dược TP. Hồ Chí Minh</v>
      </c>
      <c r="F144" s="4" t="str">
        <f>IFERROR(__xludf.DUMMYFUNCTION("""COMPUTED_VALUE"""),"CNTT2026-143.png")</f>
        <v>CNTT2026-143.png</v>
      </c>
    </row>
    <row r="145">
      <c r="A145" s="4" t="str">
        <f>IFERROR(__xludf.DUMMYFUNCTION("""COMPUTED_VALUE"""),"CNTT2026-144")</f>
        <v>CNTT2026-144</v>
      </c>
      <c r="B145" s="4" t="str">
        <f>IFERROR(__xludf.DUMMYFUNCTION("""COMPUTED_VALUE"""),"Công nghệ thông tin")</f>
        <v>Công nghệ thông tin</v>
      </c>
      <c r="C145" s="4" t="str">
        <f>IFERROR(__xludf.DUMMYFUNCTION("""COMPUTED_VALUE"""),"Phát triển mô hình thử nghiệm giám sát tập luyện phục hồi chức năng từ xa dựa trên Trí tuệ nhân tạo (AI) và Thị giác máy tính (Computer Vision) tại bệnh viện đa khoa Phạm Ngọc Thạch - Trường Đại học Y tế công cộng (2025-2026).")</f>
        <v>Phát triển mô hình thử nghiệm giám sát tập luyện phục hồi chức năng từ xa dựa trên Trí tuệ nhân tạo (AI) và Thị giác máy tính (Computer Vision) tại bệnh viện đa khoa Phạm Ngọc Thạch - Trường Đại học Y tế công cộng (2025-2026).</v>
      </c>
      <c r="D145" s="4" t="str">
        <f>IFERROR(__xludf.DUMMYFUNCTION("""COMPUTED_VALUE"""),"Nguyễn Thị Thu Hương; Đinh Lê Quỳnh Phương; Kim Mạnh Hưng; Nguyễn Thị Thanh Nga; Nguyễn Thị Thơm")</f>
        <v>Nguyễn Thị Thu Hương; Đinh Lê Quỳnh Phương; Kim Mạnh Hưng; Nguyễn Thị Thanh Nga; Nguyễn Thị Thơm</v>
      </c>
      <c r="E145" s="4" t="str">
        <f>IFERROR(__xludf.DUMMYFUNCTION("""COMPUTED_VALUE"""),"Trường Đại học Y tế Công cộng")</f>
        <v>Trường Đại học Y tế Công cộng</v>
      </c>
      <c r="F145" s="4" t="str">
        <f>IFERROR(__xludf.DUMMYFUNCTION("""COMPUTED_VALUE"""),"CNTT2026-144.png")</f>
        <v>CNTT2026-144.png</v>
      </c>
    </row>
    <row r="146">
      <c r="A146" s="4" t="str">
        <f>IFERROR(__xludf.DUMMYFUNCTION("""COMPUTED_VALUE"""),"CNTT2026-145")</f>
        <v>CNTT2026-145</v>
      </c>
      <c r="B146" s="4" t="str">
        <f>IFERROR(__xludf.DUMMYFUNCTION("""COMPUTED_VALUE"""),"Công nghệ thông tin")</f>
        <v>Công nghệ thông tin</v>
      </c>
      <c r="C146" s="4" t="str">
        <f>IFERROR(__xludf.DUMMYFUNCTION("""COMPUTED_VALUE"""),"Xây dựng phần mềm người bệnh ảo trong tư vấn sử dụng thuốc")</f>
        <v>Xây dựng phần mềm người bệnh ảo trong tư vấn sử dụng thuốc</v>
      </c>
      <c r="D146" s="4" t="str">
        <f>IFERROR(__xludf.DUMMYFUNCTION("""COMPUTED_VALUE"""),"Nguyễn Lê Minh Trực; Hà Thục Khánh Linh")</f>
        <v>Nguyễn Lê Minh Trực; Hà Thục Khánh Linh</v>
      </c>
      <c r="E146" s="4" t="str">
        <f>IFERROR(__xludf.DUMMYFUNCTION("""COMPUTED_VALUE"""),"Đại học Y Dược TP. Hồ Chí Minh")</f>
        <v>Đại học Y Dược TP. Hồ Chí Minh</v>
      </c>
      <c r="F146" s="4" t="str">
        <f>IFERROR(__xludf.DUMMYFUNCTION("""COMPUTED_VALUE"""),"CNTT2026-145.png")</f>
        <v>CNTT2026-145.png</v>
      </c>
    </row>
    <row r="147">
      <c r="A147" s="4" t="str">
        <f>IFERROR(__xludf.DUMMYFUNCTION("""COMPUTED_VALUE"""),"CNTT2026-146")</f>
        <v>CNTT2026-146</v>
      </c>
      <c r="B147" s="4" t="str">
        <f>IFERROR(__xludf.DUMMYFUNCTION("""COMPUTED_VALUE"""),"Công nghệ thông tin")</f>
        <v>Công nghệ thông tin</v>
      </c>
      <c r="C147" s="4" t="str">
        <f>IFERROR(__xludf.DUMMYFUNCTION("""COMPUTED_VALUE"""),"Xây dựng bộ dữ liệu VIRES-HOTELABSA cho bài toán phân tích cảm xúc theo khía cạnh")</f>
        <v>Xây dựng bộ dữ liệu VIRES-HOTELABSA cho bài toán phân tích cảm xúc theo khía cạnh</v>
      </c>
      <c r="D147" s="4" t="str">
        <f>IFERROR(__xludf.DUMMYFUNCTION("""COMPUTED_VALUE"""),"Nguyễn Hữu Thắng; Đoàn Tấn Minh Tân")</f>
        <v>Nguyễn Hữu Thắng; Đoàn Tấn Minh Tân</v>
      </c>
      <c r="E147" s="4" t="str">
        <f>IFERROR(__xludf.DUMMYFUNCTION("""COMPUTED_VALUE"""),"Trường Đại học Công Thương TP. Hồ Chí Minh")</f>
        <v>Trường Đại học Công Thương TP. Hồ Chí Minh</v>
      </c>
      <c r="F147" s="4" t="str">
        <f>IFERROR(__xludf.DUMMYFUNCTION("""COMPUTED_VALUE"""),"CNTT2026-146.png")</f>
        <v>CNTT2026-146.png</v>
      </c>
    </row>
    <row r="148">
      <c r="A148" s="4" t="str">
        <f>IFERROR(__xludf.DUMMYFUNCTION("""COMPUTED_VALUE"""),"CNTT2026-147")</f>
        <v>CNTT2026-147</v>
      </c>
      <c r="B148" s="4" t="str">
        <f>IFERROR(__xludf.DUMMYFUNCTION("""COMPUTED_VALUE"""),"Công nghệ thông tin")</f>
        <v>Công nghệ thông tin</v>
      </c>
      <c r="C148" s="4" t="str">
        <f>IFERROR(__xludf.DUMMYFUNCTION("""COMPUTED_VALUE"""),"Flow is All You Need for WiFi: Rectifying 3D Human Poses without Complex Architectures")</f>
        <v>Flow is All You Need for WiFi: Rectifying 3D Human Poses without Complex Architectures</v>
      </c>
      <c r="D148" s="4" t="str">
        <f>IFERROR(__xludf.DUMMYFUNCTION("""COMPUTED_VALUE"""),"Nguyễn Vĩnh Nghi; Nguyễn Ngô Nhật Nam; Lê Ngọc Anh Thư")</f>
        <v>Nguyễn Vĩnh Nghi; Nguyễn Ngô Nhật Nam; Lê Ngọc Anh Thư</v>
      </c>
      <c r="E148" s="4" t="str">
        <f>IFERROR(__xludf.DUMMYFUNCTION("""COMPUTED_VALUE"""),"Trường Đại học FPT")</f>
        <v>Trường Đại học FPT</v>
      </c>
      <c r="F148" s="4" t="str">
        <f>IFERROR(__xludf.DUMMYFUNCTION("""COMPUTED_VALUE"""),"CNTT2026-147.png")</f>
        <v>CNTT2026-147.png</v>
      </c>
    </row>
    <row r="149">
      <c r="A149" s="4" t="str">
        <f>IFERROR(__xludf.DUMMYFUNCTION("""COMPUTED_VALUE"""),"CNTT2026-148")</f>
        <v>CNTT2026-148</v>
      </c>
      <c r="B149" s="4" t="str">
        <f>IFERROR(__xludf.DUMMYFUNCTION("""COMPUTED_VALUE"""),"Công nghệ thông tin")</f>
        <v>Công nghệ thông tin</v>
      </c>
      <c r="C149" s="4" t="str">
        <f>IFERROR(__xludf.DUMMYFUNCTION("""COMPUTED_VALUE"""),"Nghiên cứu mô hình học sâu dựa trên dữ liệu ước lượng tư thế người để đánh giá hành vi và hỗ trợ sàng lọc sớm rối loạn phổ tự kỉ ở trẻ em")</f>
        <v>Nghiên cứu mô hình học sâu dựa trên dữ liệu ước lượng tư thế người để đánh giá hành vi và hỗ trợ sàng lọc sớm rối loạn phổ tự kỉ ở trẻ em</v>
      </c>
      <c r="D149" s="4" t="str">
        <f>IFERROR(__xludf.DUMMYFUNCTION("""COMPUTED_VALUE"""),"Phạm Viết Chí Luân; Lê Đặng Văn Thi; Lê Bá Nhân; Trần Lý Nghĩa; Nguyễn Văn Phụng")</f>
        <v>Phạm Viết Chí Luân; Lê Đặng Văn Thi; Lê Bá Nhân; Trần Lý Nghĩa; Nguyễn Văn Phụng</v>
      </c>
      <c r="E149" s="4" t="str">
        <f>IFERROR(__xludf.DUMMYFUNCTION("""COMPUTED_VALUE"""),"Trường Đại học Công nghệ Thông tin và Truyền thông Việt - Hàn, Đại học Đà Nẵng")</f>
        <v>Trường Đại học Công nghệ Thông tin và Truyền thông Việt - Hàn, Đại học Đà Nẵng</v>
      </c>
      <c r="F149" s="4" t="str">
        <f>IFERROR(__xludf.DUMMYFUNCTION("""COMPUTED_VALUE"""),"CNTT2026-148.png")</f>
        <v>CNTT2026-148.png</v>
      </c>
    </row>
    <row r="150">
      <c r="A150" s="4" t="str">
        <f>IFERROR(__xludf.DUMMYFUNCTION("""COMPUTED_VALUE"""),"CNTT2026-149")</f>
        <v>CNTT2026-149</v>
      </c>
      <c r="B150" s="4" t="str">
        <f>IFERROR(__xludf.DUMMYFUNCTION("""COMPUTED_VALUE"""),"Công nghệ thông tin")</f>
        <v>Công nghệ thông tin</v>
      </c>
      <c r="C150" s="4" t="str">
        <f>IFERROR(__xludf.DUMMYFUNCTION("""COMPUTED_VALUE"""),"Học sâu đa phương thức kết hợp siêu dữ liệu lâm sàng nhằm nâng cao hiệu quả chẩn đoán ung thư da")</f>
        <v>Học sâu đa phương thức kết hợp siêu dữ liệu lâm sàng nhằm nâng cao hiệu quả chẩn đoán ung thư da</v>
      </c>
      <c r="D150" s="4" t="str">
        <f>IFERROR(__xludf.DUMMYFUNCTION("""COMPUTED_VALUE"""),"Lê Tiến Vũ; Nguyễn Minh Toàn; Nguyễn Minh Nhật; Nguyễn Minh Khang")</f>
        <v>Lê Tiến Vũ; Nguyễn Minh Toàn; Nguyễn Minh Nhật; Nguyễn Minh Khang</v>
      </c>
      <c r="E150" s="4" t="str">
        <f>IFERROR(__xludf.DUMMYFUNCTION("""COMPUTED_VALUE"""),"Trường Đại học Công nghệ Thông tin và Truyền thông Việt - Hàn, Đại học Đà Nẵng")</f>
        <v>Trường Đại học Công nghệ Thông tin và Truyền thông Việt - Hàn, Đại học Đà Nẵng</v>
      </c>
      <c r="F150" s="4" t="str">
        <f>IFERROR(__xludf.DUMMYFUNCTION("""COMPUTED_VALUE"""),"CNTT2026-149.png")</f>
        <v>CNTT2026-149.png</v>
      </c>
    </row>
    <row r="151">
      <c r="A151" s="4" t="str">
        <f>IFERROR(__xludf.DUMMYFUNCTION("""COMPUTED_VALUE"""),"CNTT2026-150")</f>
        <v>CNTT2026-150</v>
      </c>
      <c r="B151" s="4" t="str">
        <f>IFERROR(__xludf.DUMMYFUNCTION("""COMPUTED_VALUE"""),"Công nghệ thông tin")</f>
        <v>Công nghệ thông tin</v>
      </c>
      <c r="C151" s="4" t="str">
        <f>IFERROR(__xludf.DUMMYFUNCTION("""COMPUTED_VALUE"""),"BOOSTED CONTEXT ENGINEERING FOR DATA AGENTS: A HOLISTIC SELF-IMPROVING ARCHITECTURE WITH ADABOOST-INSPIRED CONTEXT UPDATES AND ITS APPLICATION TO ESG ANALYTICS")</f>
        <v>BOOSTED CONTEXT ENGINEERING FOR DATA AGENTS: A HOLISTIC SELF-IMPROVING ARCHITECTURE WITH ADABOOST-INSPIRED CONTEXT UPDATES AND ITS APPLICATION TO ESG ANALYTICS</v>
      </c>
      <c r="D151" s="4" t="str">
        <f>IFERROR(__xludf.DUMMYFUNCTION("""COMPUTED_VALUE"""),"Nguyễn Thanh Tâm")</f>
        <v>Nguyễn Thanh Tâm</v>
      </c>
      <c r="E151" s="4" t="str">
        <f>IFERROR(__xludf.DUMMYFUNCTION("""COMPUTED_VALUE"""),"Đại học Kinh tế TP. Hồ Chí Minh")</f>
        <v>Đại học Kinh tế TP. Hồ Chí Minh</v>
      </c>
      <c r="F151" s="4" t="str">
        <f>IFERROR(__xludf.DUMMYFUNCTION("""COMPUTED_VALUE"""),"CNTT2026-150.png")</f>
        <v>CNTT2026-150.png</v>
      </c>
    </row>
    <row r="152">
      <c r="A152" s="4" t="str">
        <f>IFERROR(__xludf.DUMMYFUNCTION("""COMPUTED_VALUE"""),"CNTT2026-151")</f>
        <v>CNTT2026-151</v>
      </c>
      <c r="B152" s="4" t="str">
        <f>IFERROR(__xludf.DUMMYFUNCTION("""COMPUTED_VALUE"""),"Công nghệ thông tin")</f>
        <v>Công nghệ thông tin</v>
      </c>
      <c r="C152" s="4" t="str">
        <f>IFERROR(__xludf.DUMMYFUNCTION("""COMPUTED_VALUE"""),"ADAPTIVE ZERO TRUST AND AI-BASED BEHAVIORAL ANOMALY DETECTION FOR SECURE FINANCIAL TRANSACTION SYSTEMS")</f>
        <v>ADAPTIVE ZERO TRUST AND AI-BASED BEHAVIORAL ANOMALY DETECTION FOR SECURE FINANCIAL TRANSACTION SYSTEMS</v>
      </c>
      <c r="D152" s="4" t="str">
        <f>IFERROR(__xludf.DUMMYFUNCTION("""COMPUTED_VALUE"""),"Nguyễn Phương Thảo; Phạm Thị Uyên; Nguyễn Vũ Phương Nghi; Đỗ Hương Giang; Vũ Anh Thư")</f>
        <v>Nguyễn Phương Thảo; Phạm Thị Uyên; Nguyễn Vũ Phương Nghi; Đỗ Hương Giang; Vũ Anh Thư</v>
      </c>
      <c r="E152" s="4" t="str">
        <f>IFERROR(__xludf.DUMMYFUNCTION("""COMPUTED_VALUE"""),"Đại học Kinh tế TP. Hồ Chí Minh")</f>
        <v>Đại học Kinh tế TP. Hồ Chí Minh</v>
      </c>
      <c r="F152" s="4" t="str">
        <f>IFERROR(__xludf.DUMMYFUNCTION("""COMPUTED_VALUE"""),"CNTT2026-151.png")</f>
        <v>CNTT2026-151.png</v>
      </c>
    </row>
    <row r="153">
      <c r="A153" s="4" t="str">
        <f>IFERROR(__xludf.DUMMYFUNCTION("""COMPUTED_VALUE"""),"CNTT2026-152")</f>
        <v>CNTT2026-152</v>
      </c>
      <c r="B153" s="4" t="str">
        <f>IFERROR(__xludf.DUMMYFUNCTION("""COMPUTED_VALUE"""),"Công nghệ thông tin")</f>
        <v>Công nghệ thông tin</v>
      </c>
      <c r="C153" s="4" t="str">
        <f>IFERROR(__xludf.DUMMYFUNCTION("""COMPUTED_VALUE"""),"NGHIÊN CỨU MÔ HÌNH HỌC SÂU ĐA PHƯƠNG THỨC KẾT HỢP DỮ LIỆU THỊ TRƯỜNG VÀ BIỂU DIỄN NGỮ NGHĨA TỪ TIN TỨC TÀI CHÍNH TIẾNG VIỆT TRONG DỰ BÁO BIẾN ĐỘNG CHỈ SỐ VN30")</f>
        <v>NGHIÊN CỨU MÔ HÌNH HỌC SÂU ĐA PHƯƠNG THỨC KẾT HỢP DỮ LIỆU THỊ TRƯỜNG VÀ BIỂU DIỄN NGỮ NGHĨA TỪ TIN TỨC TÀI CHÍNH TIẾNG VIỆT TRONG DỰ BÁO BIẾN ĐỘNG CHỈ SỐ VN30</v>
      </c>
      <c r="D153" s="4" t="str">
        <f>IFERROR(__xludf.DUMMYFUNCTION("""COMPUTED_VALUE"""),"Nguyễn Vũ Trường Huy; Nguyễn Di Đăng")</f>
        <v>Nguyễn Vũ Trường Huy; Nguyễn Di Đăng</v>
      </c>
      <c r="E153" s="4" t="str">
        <f>IFERROR(__xludf.DUMMYFUNCTION("""COMPUTED_VALUE"""),"Đại học Kinh tế TP. Hồ Chí Minh")</f>
        <v>Đại học Kinh tế TP. Hồ Chí Minh</v>
      </c>
      <c r="F153" s="4" t="str">
        <f>IFERROR(__xludf.DUMMYFUNCTION("""COMPUTED_VALUE"""),"CNTT2026-152.png")</f>
        <v>CNTT2026-152.png</v>
      </c>
    </row>
    <row r="154">
      <c r="A154" s="4" t="str">
        <f>IFERROR(__xludf.DUMMYFUNCTION("""COMPUTED_VALUE"""),"CNTT2026-153")</f>
        <v>CNTT2026-153</v>
      </c>
      <c r="B154" s="4" t="str">
        <f>IFERROR(__xludf.DUMMYFUNCTION("""COMPUTED_VALUE"""),"Công nghệ thông tin")</f>
        <v>Công nghệ thông tin</v>
      </c>
      <c r="C154" s="4" t="str">
        <f>IFERROR(__xludf.DUMMYFUNCTION("""COMPUTED_VALUE"""),"Nghiên cứu tối ưu hóa bố trí tua - bin gió sử dụng thuật toán lai ghép FTTA-KOA với cơ chế tìm kiếm cục bộ và học đối lập động")</f>
        <v>Nghiên cứu tối ưu hóa bố trí tua - bin gió sử dụng thuật toán lai ghép FTTA-KOA với cơ chế tìm kiếm cục bộ và học đối lập động</v>
      </c>
      <c r="D154" s="4" t="str">
        <f>IFERROR(__xludf.DUMMYFUNCTION("""COMPUTED_VALUE"""),"Trần Đinh Hải Nguyên; Nguyễn Đình Đức")</f>
        <v>Trần Đinh Hải Nguyên; Nguyễn Đình Đức</v>
      </c>
      <c r="E154" s="4" t="str">
        <f>IFERROR(__xludf.DUMMYFUNCTION("""COMPUTED_VALUE"""),"Trường Đại học Công Thương TP. Hồ Chí Minh")</f>
        <v>Trường Đại học Công Thương TP. Hồ Chí Minh</v>
      </c>
      <c r="F154" s="4" t="str">
        <f>IFERROR(__xludf.DUMMYFUNCTION("""COMPUTED_VALUE"""),"CNTT2026-153.png")</f>
        <v>CNTT2026-153.png</v>
      </c>
    </row>
    <row r="155">
      <c r="A155" s="4" t="str">
        <f>IFERROR(__xludf.DUMMYFUNCTION("""COMPUTED_VALUE"""),"CNTT2026-154")</f>
        <v>CNTT2026-154</v>
      </c>
      <c r="B155" s="4" t="str">
        <f>IFERROR(__xludf.DUMMYFUNCTION("""COMPUTED_VALUE"""),"Công nghệ thông tin")</f>
        <v>Công nghệ thông tin</v>
      </c>
      <c r="C155" s="4" t="str">
        <f>IFERROR(__xludf.DUMMYFUNCTION("""COMPUTED_VALUE"""),"Hệ thống chẩn đoán bệnh cây trồng tích hợp Neuro - symbolic và đồ thị tri thức")</f>
        <v>Hệ thống chẩn đoán bệnh cây trồng tích hợp Neuro - symbolic và đồ thị tri thức</v>
      </c>
      <c r="D155" s="4" t="str">
        <f>IFERROR(__xludf.DUMMYFUNCTION("""COMPUTED_VALUE"""),"Nguyễn Đình Lộc; Nguyễn Viết Hoàng Anh; Nguyễn Tùng Anh")</f>
        <v>Nguyễn Đình Lộc; Nguyễn Viết Hoàng Anh; Nguyễn Tùng Anh</v>
      </c>
      <c r="E155" s="4" t="str">
        <f>IFERROR(__xludf.DUMMYFUNCTION("""COMPUTED_VALUE"""),"Trường Đại học Công Thương TP. Hồ Chí Minh")</f>
        <v>Trường Đại học Công Thương TP. Hồ Chí Minh</v>
      </c>
      <c r="F155" s="4" t="str">
        <f>IFERROR(__xludf.DUMMYFUNCTION("""COMPUTED_VALUE"""),"CNTT2026-154.png")</f>
        <v>CNTT2026-154.png</v>
      </c>
    </row>
    <row r="156">
      <c r="A156" s="4" t="str">
        <f>IFERROR(__xludf.DUMMYFUNCTION("""COMPUTED_VALUE"""),"CNTT2026-155")</f>
        <v>CNTT2026-155</v>
      </c>
      <c r="B156" s="4" t="str">
        <f>IFERROR(__xludf.DUMMYFUNCTION("""COMPUTED_VALUE"""),"Công nghệ thông tin")</f>
        <v>Công nghệ thông tin</v>
      </c>
      <c r="C156" s="4" t="str">
        <f>IFERROR(__xludf.DUMMYFUNCTION("""COMPUTED_VALUE"""),"Nghiên cứu xây dựng và đánh giá hệ thống AI đàm thoại tiếng Việt thời gian thực trên môi trường cục bộ")</f>
        <v>Nghiên cứu xây dựng và đánh giá hệ thống AI đàm thoại tiếng Việt thời gian thực trên môi trường cục bộ</v>
      </c>
      <c r="D156" s="4" t="str">
        <f>IFERROR(__xludf.DUMMYFUNCTION("""COMPUTED_VALUE"""),"Ngô Tấn Đạt; Trần Tấn Phát; Hoàng Xuân Phi Long; Đỗ Đặng Hiếu Trung")</f>
        <v>Ngô Tấn Đạt; Trần Tấn Phát; Hoàng Xuân Phi Long; Đỗ Đặng Hiếu Trung</v>
      </c>
      <c r="E156" s="4" t="str">
        <f>IFERROR(__xludf.DUMMYFUNCTION("""COMPUTED_VALUE"""),"Trường Đại học Công Thương TP. Hồ Chí Minh")</f>
        <v>Trường Đại học Công Thương TP. Hồ Chí Minh</v>
      </c>
      <c r="F156" s="4" t="str">
        <f>IFERROR(__xludf.DUMMYFUNCTION("""COMPUTED_VALUE"""),"CNTT2026-155.png")</f>
        <v>CNTT2026-155.png</v>
      </c>
    </row>
    <row r="157">
      <c r="A157" s="4" t="str">
        <f>IFERROR(__xludf.DUMMYFUNCTION("""COMPUTED_VALUE"""),"CNTT2026-156")</f>
        <v>CNTT2026-156</v>
      </c>
      <c r="B157" s="4" t="str">
        <f>IFERROR(__xludf.DUMMYFUNCTION("""COMPUTED_VALUE"""),"Công nghệ thông tin")</f>
        <v>Công nghệ thông tin</v>
      </c>
      <c r="C157" s="4" t="str">
        <f>IFERROR(__xludf.DUMMYFUNCTION("""COMPUTED_VALUE"""),"Phân loại cảm xúc văn bản tiếng Việt bằng phương pháp xếp chồng đa mô hình")</f>
        <v>Phân loại cảm xúc văn bản tiếng Việt bằng phương pháp xếp chồng đa mô hình</v>
      </c>
      <c r="D157" s="4" t="str">
        <f>IFERROR(__xludf.DUMMYFUNCTION("""COMPUTED_VALUE"""),"Nguyễn Ngọc Thắng")</f>
        <v>Nguyễn Ngọc Thắng</v>
      </c>
      <c r="E157" s="4" t="str">
        <f>IFERROR(__xludf.DUMMYFUNCTION("""COMPUTED_VALUE"""),"Trường Đại học Công Thương TP. Hồ Chí Minh")</f>
        <v>Trường Đại học Công Thương TP. Hồ Chí Minh</v>
      </c>
      <c r="F157" s="4" t="str">
        <f>IFERROR(__xludf.DUMMYFUNCTION("""COMPUTED_VALUE"""),"CNTT2026-156.png")</f>
        <v>CNTT2026-156.png</v>
      </c>
    </row>
    <row r="158">
      <c r="A158" s="4" t="str">
        <f>IFERROR(__xludf.DUMMYFUNCTION("""COMPUTED_VALUE"""),"CNTT2026-157")</f>
        <v>CNTT2026-157</v>
      </c>
      <c r="B158" s="4" t="str">
        <f>IFERROR(__xludf.DUMMYFUNCTION("""COMPUTED_VALUE"""),"Công nghệ thông tin")</f>
        <v>Công nghệ thông tin</v>
      </c>
      <c r="C158" s="4" t="str">
        <f>IFERROR(__xludf.DUMMYFUNCTION("""COMPUTED_VALUE"""),"Nghiên cứu ứng dụng thuật toán lai ghép tuần tự TGO-SMA tối ưu hóa trọng số đánh giá nguy cơ cháy rừng tỉnh Lâm Đồng dựa trên dữ liệu khí tượng và ảnh vệ tinh Lansat 8/9")</f>
        <v>Nghiên cứu ứng dụng thuật toán lai ghép tuần tự TGO-SMA tối ưu hóa trọng số đánh giá nguy cơ cháy rừng tỉnh Lâm Đồng dựa trên dữ liệu khí tượng và ảnh vệ tinh Lansat 8/9</v>
      </c>
      <c r="D158" s="4" t="str">
        <f>IFERROR(__xludf.DUMMYFUNCTION("""COMPUTED_VALUE"""),"Nguyễn Đình Đức; Nguyễn Cao Mạnh Hùng")</f>
        <v>Nguyễn Đình Đức; Nguyễn Cao Mạnh Hùng</v>
      </c>
      <c r="E158" s="4" t="str">
        <f>IFERROR(__xludf.DUMMYFUNCTION("""COMPUTED_VALUE"""),"Trường Đại học Công Thương TP. Hồ Chí Minh")</f>
        <v>Trường Đại học Công Thương TP. Hồ Chí Minh</v>
      </c>
      <c r="F158" s="4" t="str">
        <f>IFERROR(__xludf.DUMMYFUNCTION("""COMPUTED_VALUE"""),"CNTT2026-157.png")</f>
        <v>CNTT2026-157.png</v>
      </c>
    </row>
    <row r="159">
      <c r="A159" s="4" t="str">
        <f>IFERROR(__xludf.DUMMYFUNCTION("""COMPUTED_VALUE"""),"CNTT2026-158")</f>
        <v>CNTT2026-158</v>
      </c>
      <c r="B159" s="4" t="str">
        <f>IFERROR(__xludf.DUMMYFUNCTION("""COMPUTED_VALUE"""),"Công nghệ thông tin")</f>
        <v>Công nghệ thông tin</v>
      </c>
      <c r="C159" s="4" t="str">
        <f>IFERROR(__xludf.DUMMYFUNCTION("""COMPUTED_VALUE"""),"Nghiên cứu và phát triển ứng dụng chú thích hình ảnh sử dụng Knowledge graph hướng đến hỗ trợ người khiếm thị")</f>
        <v>Nghiên cứu và phát triển ứng dụng chú thích hình ảnh sử dụng Knowledge graph hướng đến hỗ trợ người khiếm thị</v>
      </c>
      <c r="D159" s="4" t="str">
        <f>IFERROR(__xludf.DUMMYFUNCTION("""COMPUTED_VALUE"""),"Hà Huỳnh Ánh Ngân; Bùi Lâm Hoàng Phú")</f>
        <v>Hà Huỳnh Ánh Ngân; Bùi Lâm Hoàng Phú</v>
      </c>
      <c r="E159" s="4" t="str">
        <f>IFERROR(__xludf.DUMMYFUNCTION("""COMPUTED_VALUE"""),"Trường Đại học Công Thương TP. Hồ Chí Minh")</f>
        <v>Trường Đại học Công Thương TP. Hồ Chí Minh</v>
      </c>
      <c r="F159" s="4" t="str">
        <f>IFERROR(__xludf.DUMMYFUNCTION("""COMPUTED_VALUE"""),"CNTT2026-158.png")</f>
        <v>CNTT2026-158.png</v>
      </c>
    </row>
    <row r="160">
      <c r="A160" s="4" t="str">
        <f>IFERROR(__xludf.DUMMYFUNCTION("""COMPUTED_VALUE"""),"CNTT2026-159")</f>
        <v>CNTT2026-159</v>
      </c>
      <c r="B160" s="4" t="str">
        <f>IFERROR(__xludf.DUMMYFUNCTION("""COMPUTED_VALUE"""),"Công nghệ thông tin")</f>
        <v>Công nghệ thông tin</v>
      </c>
      <c r="C160" s="4" t="str">
        <f>IFERROR(__xludf.DUMMYFUNCTION("""COMPUTED_VALUE"""),"BiHyPE: Binary-based Hybrid Positional Encoding for Time-series Analysis")</f>
        <v>BiHyPE: Binary-based Hybrid Positional Encoding for Time-series Analysis</v>
      </c>
      <c r="D160" s="4" t="str">
        <f>IFERROR(__xludf.DUMMYFUNCTION("""COMPUTED_VALUE"""),"Khưu Trọng Quân")</f>
        <v>Khưu Trọng Quân</v>
      </c>
      <c r="E160" s="4" t="str">
        <f>IFERROR(__xludf.DUMMYFUNCTION("""COMPUTED_VALUE"""),"Trường Đại học FPT")</f>
        <v>Trường Đại học FPT</v>
      </c>
      <c r="F160" s="4" t="str">
        <f>IFERROR(__xludf.DUMMYFUNCTION("""COMPUTED_VALUE"""),"CNTT2026-159.png")</f>
        <v>CNTT2026-159.png</v>
      </c>
    </row>
    <row r="161">
      <c r="A161" s="4" t="str">
        <f>IFERROR(__xludf.DUMMYFUNCTION("""COMPUTED_VALUE"""),"CNTT2026-160")</f>
        <v>CNTT2026-160</v>
      </c>
      <c r="B161" s="4" t="str">
        <f>IFERROR(__xludf.DUMMYFUNCTION("""COMPUTED_VALUE"""),"Công nghệ thông tin")</f>
        <v>Công nghệ thông tin</v>
      </c>
      <c r="C161" s="4" t="str">
        <f>IFERROR(__xludf.DUMMYFUNCTION("""COMPUTED_VALUE"""),"Khung giám sát điều kiện mây theo đường ngắm cho liên kết quang vệ tinh bằng ảnh toàn bầu trời")</f>
        <v>Khung giám sát điều kiện mây theo đường ngắm cho liên kết quang vệ tinh bằng ảnh toàn bầu trời</v>
      </c>
      <c r="D161" s="4" t="str">
        <f>IFERROR(__xludf.DUMMYFUNCTION("""COMPUTED_VALUE"""),"Nguyễn Thạc Anh; Phạm Bằng Trang; Đỗ Hà Linh")</f>
        <v>Nguyễn Thạc Anh; Phạm Bằng Trang; Đỗ Hà Linh</v>
      </c>
      <c r="E161" s="4" t="str">
        <f>IFERROR(__xludf.DUMMYFUNCTION("""COMPUTED_VALUE"""),"Học viện Công nghệ Bưu chính Viễn thông")</f>
        <v>Học viện Công nghệ Bưu chính Viễn thông</v>
      </c>
      <c r="F161" s="4" t="str">
        <f>IFERROR(__xludf.DUMMYFUNCTION("""COMPUTED_VALUE"""),"CNTT2026-160.png")</f>
        <v>CNTT2026-160.png</v>
      </c>
    </row>
    <row r="162">
      <c r="A162" s="4" t="str">
        <f>IFERROR(__xludf.DUMMYFUNCTION("""COMPUTED_VALUE"""),"CNTT2026-161")</f>
        <v>CNTT2026-161</v>
      </c>
      <c r="B162" s="4" t="str">
        <f>IFERROR(__xludf.DUMMYFUNCTION("""COMPUTED_VALUE"""),"Công nghệ thông tin")</f>
        <v>Công nghệ thông tin</v>
      </c>
      <c r="C162" s="4" t="str">
        <f>IFERROR(__xludf.DUMMYFUNCTION("""COMPUTED_VALUE"""),"Physics-Guided Underwater Image Restoration via Physical Prior Channel Fusion and U-Net Variants")</f>
        <v>Physics-Guided Underwater Image Restoration via Physical Prior Channel Fusion and U-Net Variants</v>
      </c>
      <c r="D162" s="4" t="str">
        <f>IFERROR(__xludf.DUMMYFUNCTION("""COMPUTED_VALUE"""),"Đinh Khắc Nhật Trường; Nguyễn Thái Hưng; Phan Tuấn Hưng; Trương Công Phúc")</f>
        <v>Đinh Khắc Nhật Trường; Nguyễn Thái Hưng; Phan Tuấn Hưng; Trương Công Phúc</v>
      </c>
      <c r="E162" s="4" t="str">
        <f>IFERROR(__xludf.DUMMYFUNCTION("""COMPUTED_VALUE"""),"Trường Đại học FPT")</f>
        <v>Trường Đại học FPT</v>
      </c>
      <c r="F162" s="4" t="str">
        <f>IFERROR(__xludf.DUMMYFUNCTION("""COMPUTED_VALUE"""),"CNTT2026-161.png")</f>
        <v>CNTT2026-161.png</v>
      </c>
    </row>
    <row r="163">
      <c r="A163" s="4" t="str">
        <f>IFERROR(__xludf.DUMMYFUNCTION("""COMPUTED_VALUE"""),"CNTT2026-162")</f>
        <v>CNTT2026-162</v>
      </c>
      <c r="B163" s="4" t="str">
        <f>IFERROR(__xludf.DUMMYFUNCTION("""COMPUTED_VALUE"""),"Công nghệ thông tin")</f>
        <v>Công nghệ thông tin</v>
      </c>
      <c r="C163" s="4" t="str">
        <f>IFERROR(__xludf.DUMMYFUNCTION("""COMPUTED_VALUE"""),"Nghiên cứu và phát triển mô hình ngôn ngữ lớn cho giao tiếp tiếng Thái Việt Nam trong bối cảnh ngôn ngữ ít tài nguyên")</f>
        <v>Nghiên cứu và phát triển mô hình ngôn ngữ lớn cho giao tiếp tiếng Thái Việt Nam trong bối cảnh ngôn ngữ ít tài nguyên</v>
      </c>
      <c r="D163" s="4" t="str">
        <f>IFERROR(__xludf.DUMMYFUNCTION("""COMPUTED_VALUE"""),"Bùi Thị Quỳnh Trang; Nguyễn Thị Hồng Thúy; Trần Khánh Linh; Nguyễn Vũ Hoài Nhân; Lê Thùy Linh Trang")</f>
        <v>Bùi Thị Quỳnh Trang; Nguyễn Thị Hồng Thúy; Trần Khánh Linh; Nguyễn Vũ Hoài Nhân; Lê Thùy Linh Trang</v>
      </c>
      <c r="E163" s="4" t="str">
        <f>IFERROR(__xludf.DUMMYFUNCTION("""COMPUTED_VALUE"""),"Trường Đại học Hồng Đức")</f>
        <v>Trường Đại học Hồng Đức</v>
      </c>
      <c r="F163" s="4" t="str">
        <f>IFERROR(__xludf.DUMMYFUNCTION("""COMPUTED_VALUE"""),"CNTT2026-162.png")</f>
        <v>CNTT2026-162.png</v>
      </c>
    </row>
    <row r="164">
      <c r="A164" s="4" t="str">
        <f>IFERROR(__xludf.DUMMYFUNCTION("""COMPUTED_VALUE"""),"CNTT2026-163")</f>
        <v>CNTT2026-163</v>
      </c>
      <c r="B164" s="4" t="str">
        <f>IFERROR(__xludf.DUMMYFUNCTION("""COMPUTED_VALUE"""),"Công nghệ thông tin")</f>
        <v>Công nghệ thông tin</v>
      </c>
      <c r="C164" s="4" t="str">
        <f>IFERROR(__xludf.DUMMYFUNCTION("""COMPUTED_VALUE"""),"Nghiên cứu và xây dựng tiện ích trình duyệt phát hiện ảnh do trí tuệ nhân tạo tạo sinh, suy luận cục bộ bảo vệ quyền riêng tư người dùng.")</f>
        <v>Nghiên cứu và xây dựng tiện ích trình duyệt phát hiện ảnh do trí tuệ nhân tạo tạo sinh, suy luận cục bộ bảo vệ quyền riêng tư người dùng.</v>
      </c>
      <c r="D164" s="4" t="str">
        <f>IFERROR(__xludf.DUMMYFUNCTION("""COMPUTED_VALUE"""),"Nguyễn Trọng Phước; Hà Văn Kiên; Nguyễn Hoàng Anh; Trần Quang Huy; Hoàng Minh Phát")</f>
        <v>Nguyễn Trọng Phước; Hà Văn Kiên; Nguyễn Hoàng Anh; Trần Quang Huy; Hoàng Minh Phát</v>
      </c>
      <c r="E164" s="4" t="str">
        <f>IFERROR(__xludf.DUMMYFUNCTION("""COMPUTED_VALUE"""),"Trường Đại học Lạc Hồng")</f>
        <v>Trường Đại học Lạc Hồng</v>
      </c>
      <c r="F164" s="4" t="str">
        <f>IFERROR(__xludf.DUMMYFUNCTION("""COMPUTED_VALUE"""),"CNTT2026-163.png")</f>
        <v>CNTT2026-163.png</v>
      </c>
    </row>
    <row r="165">
      <c r="A165" s="4" t="str">
        <f>IFERROR(__xludf.DUMMYFUNCTION("""COMPUTED_VALUE"""),"CNTT2026-164")</f>
        <v>CNTT2026-164</v>
      </c>
      <c r="B165" s="4" t="str">
        <f>IFERROR(__xludf.DUMMYFUNCTION("""COMPUTED_VALUE"""),"Công nghệ thông tin")</f>
        <v>Công nghệ thông tin</v>
      </c>
      <c r="C165" s="4" t="str">
        <f>IFERROR(__xludf.DUMMYFUNCTION("""COMPUTED_VALUE"""),"Hệ thống NLP hỗ trợ mã hóa chẩn đoán lâm sàng theo ICD-10 và liên thông bệnh án điện tử theo HL7 FHIR")</f>
        <v>Hệ thống NLP hỗ trợ mã hóa chẩn đoán lâm sàng theo ICD-10 và liên thông bệnh án điện tử theo HL7 FHIR</v>
      </c>
      <c r="D165" s="4" t="str">
        <f>IFERROR(__xludf.DUMMYFUNCTION("""COMPUTED_VALUE"""),"Nguyễn Thành Luân; Lê Thanh Khải")</f>
        <v>Nguyễn Thành Luân; Lê Thanh Khải</v>
      </c>
      <c r="E165" s="4" t="str">
        <f>IFERROR(__xludf.DUMMYFUNCTION("""COMPUTED_VALUE"""),"Trường Đại học Tài nguyên và Môi trường TP. Hồ Chí Minh")</f>
        <v>Trường Đại học Tài nguyên và Môi trường TP. Hồ Chí Minh</v>
      </c>
      <c r="F165" s="4" t="str">
        <f>IFERROR(__xludf.DUMMYFUNCTION("""COMPUTED_VALUE"""),"CNTT2026-164.png")</f>
        <v>CNTT2026-164.png</v>
      </c>
    </row>
    <row r="166">
      <c r="A166" s="4" t="str">
        <f>IFERROR(__xludf.DUMMYFUNCTION("""COMPUTED_VALUE"""),"CNTT2026-165")</f>
        <v>CNTT2026-165</v>
      </c>
      <c r="B166" s="4" t="str">
        <f>IFERROR(__xludf.DUMMYFUNCTION("""COMPUTED_VALUE"""),"Công nghệ thông tin")</f>
        <v>Công nghệ thông tin</v>
      </c>
      <c r="C166" s="4" t="str">
        <f>IFERROR(__xludf.DUMMYFUNCTION("""COMPUTED_VALUE"""),"Ứng dụng Machine Learning và công nghệ QR Code trong kiểm tra chất lượng rau củ quả")</f>
        <v>Ứng dụng Machine Learning và công nghệ QR Code trong kiểm tra chất lượng rau củ quả</v>
      </c>
      <c r="D166" s="4" t="str">
        <f>IFERROR(__xludf.DUMMYFUNCTION("""COMPUTED_VALUE"""),"Trần Thị Thanh Xuân; Nguyễn Thị Kiều Vi")</f>
        <v>Trần Thị Thanh Xuân; Nguyễn Thị Kiều Vi</v>
      </c>
      <c r="E166" s="4" t="str">
        <f>IFERROR(__xludf.DUMMYFUNCTION("""COMPUTED_VALUE"""),"Trường Đại học Công nghệ Kỹ thuật TP. Hồ Chí Minh")</f>
        <v>Trường Đại học Công nghệ Kỹ thuật TP. Hồ Chí Minh</v>
      </c>
      <c r="F166" s="4" t="str">
        <f>IFERROR(__xludf.DUMMYFUNCTION("""COMPUTED_VALUE"""),"CNTT2026-165.png")</f>
        <v>CNTT2026-165.png</v>
      </c>
    </row>
    <row r="167">
      <c r="A167" s="4" t="str">
        <f>IFERROR(__xludf.DUMMYFUNCTION("""COMPUTED_VALUE"""),"CNTT2026-166")</f>
        <v>CNTT2026-166</v>
      </c>
      <c r="B167" s="4" t="str">
        <f>IFERROR(__xludf.DUMMYFUNCTION("""COMPUTED_VALUE"""),"Công nghệ thông tin")</f>
        <v>Công nghệ thông tin</v>
      </c>
      <c r="C167" s="4" t="str">
        <f>IFERROR(__xludf.DUMMYFUNCTION("""COMPUTED_VALUE"""),"Tìm kiếm người thất lạc bằng việc sử dụng mô hình tạo sinh ảnh")</f>
        <v>Tìm kiếm người thất lạc bằng việc sử dụng mô hình tạo sinh ảnh</v>
      </c>
      <c r="D167" s="4" t="str">
        <f>IFERROR(__xludf.DUMMYFUNCTION("""COMPUTED_VALUE"""),"Nguyễn Tịnh Nhân; Nguyễn Đức Duy; Đoàn Đức Duy; Nguyễn Quỳnh Như")</f>
        <v>Nguyễn Tịnh Nhân; Nguyễn Đức Duy; Đoàn Đức Duy; Nguyễn Quỳnh Như</v>
      </c>
      <c r="E167" s="4" t="str">
        <f>IFERROR(__xludf.DUMMYFUNCTION("""COMPUTED_VALUE"""),"Trường Đại học Công nghệ Kỹ thuật TP. Hồ Chí Minh")</f>
        <v>Trường Đại học Công nghệ Kỹ thuật TP. Hồ Chí Minh</v>
      </c>
      <c r="F167" s="4" t="str">
        <f>IFERROR(__xludf.DUMMYFUNCTION("""COMPUTED_VALUE"""),"CNTT2026-166.png")</f>
        <v>CNTT2026-166.png</v>
      </c>
    </row>
    <row r="168">
      <c r="A168" s="4" t="str">
        <f>IFERROR(__xludf.DUMMYFUNCTION("""COMPUTED_VALUE"""),"CNTT2026-167")</f>
        <v>CNTT2026-167</v>
      </c>
      <c r="B168" s="4" t="str">
        <f>IFERROR(__xludf.DUMMYFUNCTION("""COMPUTED_VALUE"""),"Công nghệ thông tin")</f>
        <v>Công nghệ thông tin</v>
      </c>
      <c r="C168" s="4" t="str">
        <f>IFERROR(__xludf.DUMMYFUNCTION("""COMPUTED_VALUE"""),"Self-Supervised CT Through-Plane Interpolation via Residual 3D Gaussian Splatting")</f>
        <v>Self-Supervised CT Through-Plane Interpolation via Residual 3D Gaussian Splatting</v>
      </c>
      <c r="D168" s="4" t="str">
        <f>IFERROR(__xludf.DUMMYFUNCTION("""COMPUTED_VALUE"""),"Nguyễn Nhật Phát; Phạm Quốc Hùng")</f>
        <v>Nguyễn Nhật Phát; Phạm Quốc Hùng</v>
      </c>
      <c r="E168" s="4" t="str">
        <f>IFERROR(__xludf.DUMMYFUNCTION("""COMPUTED_VALUE"""),"Trường Đại học Công nghệ Kỹ thuật TP. Hồ Chí Minh")</f>
        <v>Trường Đại học Công nghệ Kỹ thuật TP. Hồ Chí Minh</v>
      </c>
      <c r="F168" s="4" t="str">
        <f>IFERROR(__xludf.DUMMYFUNCTION("""COMPUTED_VALUE"""),"CNTT2026-167.png")</f>
        <v>CNTT2026-167.png</v>
      </c>
    </row>
    <row r="169">
      <c r="A169" s="4" t="str">
        <f>IFERROR(__xludf.DUMMYFUNCTION("""COMPUTED_VALUE"""),"CNTT2026-168")</f>
        <v>CNTT2026-168</v>
      </c>
      <c r="B169" s="4" t="str">
        <f>IFERROR(__xludf.DUMMYFUNCTION("""COMPUTED_VALUE"""),"Công nghệ thông tin")</f>
        <v>Công nghệ thông tin</v>
      </c>
      <c r="C169" s="4" t="str">
        <f>IFERROR(__xludf.DUMMYFUNCTION("""COMPUTED_VALUE"""),"QUALITY-AWARE ACTION AND FALL DETECTION FROM HUMAN SKELETON POSES")</f>
        <v>QUALITY-AWARE ACTION AND FALL DETECTION FROM HUMAN SKELETON POSES</v>
      </c>
      <c r="D169" s="4" t="str">
        <f>IFERROR(__xludf.DUMMYFUNCTION("""COMPUTED_VALUE"""),"Nguyễn Phi Long; Nguyễn Thành Triệu; Nguyễn Đức Thắng")</f>
        <v>Nguyễn Phi Long; Nguyễn Thành Triệu; Nguyễn Đức Thắng</v>
      </c>
      <c r="E169" s="4" t="str">
        <f>IFERROR(__xludf.DUMMYFUNCTION("""COMPUTED_VALUE"""),"Trường Đại học Công nghệ Kỹ thuật TP. Hồ Chí Minh")</f>
        <v>Trường Đại học Công nghệ Kỹ thuật TP. Hồ Chí Minh</v>
      </c>
      <c r="F169" s="4" t="str">
        <f>IFERROR(__xludf.DUMMYFUNCTION("""COMPUTED_VALUE"""),"CNTT2026-168.png")</f>
        <v>CNTT2026-168.png</v>
      </c>
    </row>
    <row r="170">
      <c r="A170" s="4" t="str">
        <f>IFERROR(__xludf.DUMMYFUNCTION("""COMPUTED_VALUE"""),"CNTT2026-169")</f>
        <v>CNTT2026-169</v>
      </c>
      <c r="B170" s="4" t="str">
        <f>IFERROR(__xludf.DUMMYFUNCTION("""COMPUTED_VALUE"""),"Công nghệ thông tin")</f>
        <v>Công nghệ thông tin</v>
      </c>
      <c r="C170" s="4" t="str">
        <f>IFERROR(__xludf.DUMMYFUNCTION("""COMPUTED_VALUE"""),"Nghiên cứu phát triển mô hình học sâu lai kết hợp CNN và Mamba cho bài toán phân loại ảnh ung thư vú")</f>
        <v>Nghiên cứu phát triển mô hình học sâu lai kết hợp CNN và Mamba cho bài toán phân loại ảnh ung thư vú</v>
      </c>
      <c r="D170" s="4" t="str">
        <f>IFERROR(__xludf.DUMMYFUNCTION("""COMPUTED_VALUE"""),"Nguyễn Gia Huy")</f>
        <v>Nguyễn Gia Huy</v>
      </c>
      <c r="E170" s="4" t="str">
        <f>IFERROR(__xludf.DUMMYFUNCTION("""COMPUTED_VALUE"""),"Trường Đại học Công nghệ Kỹ thuật TP. Hồ Chí Minh")</f>
        <v>Trường Đại học Công nghệ Kỹ thuật TP. Hồ Chí Minh</v>
      </c>
      <c r="F170" s="4" t="str">
        <f>IFERROR(__xludf.DUMMYFUNCTION("""COMPUTED_VALUE"""),"CNTT2026-169.png")</f>
        <v>CNTT2026-169.png</v>
      </c>
    </row>
    <row r="171">
      <c r="A171" s="4" t="str">
        <f>IFERROR(__xludf.DUMMYFUNCTION("""COMPUTED_VALUE"""),"CNTT2026-170")</f>
        <v>CNTT2026-170</v>
      </c>
      <c r="B171" s="4" t="str">
        <f>IFERROR(__xludf.DUMMYFUNCTION("""COMPUTED_VALUE"""),"Công nghệ thông tin")</f>
        <v>Công nghệ thông tin</v>
      </c>
      <c r="C171" s="4" t="str">
        <f>IFERROR(__xludf.DUMMYFUNCTION("""COMPUTED_VALUE"""),"IntentOS-GNN: MÔ HÌNH ĐIỀU PHỐI TÀI NGUYÊN HỆ THỐNG DỰA TRÊN Ý ĐỊNH NGƯỜI DÙNG BẰNG ĐỒ THỊ ĐỘNG VÀ HỌC MÁY TRONG MÔI TRƯỜNG GIẢ LẬP")</f>
        <v>IntentOS-GNN: MÔ HÌNH ĐIỀU PHỐI TÀI NGUYÊN HỆ THỐNG DỰA TRÊN Ý ĐỊNH NGƯỜI DÙNG BẰNG ĐỒ THỊ ĐỘNG VÀ HỌC MÁY TRONG MÔI TRƯỜNG GIẢ LẬP</v>
      </c>
      <c r="D171" s="4" t="str">
        <f>IFERROR(__xludf.DUMMYFUNCTION("""COMPUTED_VALUE"""),"Lương Anh Hào; Nguyễn Văn Thành")</f>
        <v>Lương Anh Hào; Nguyễn Văn Thành</v>
      </c>
      <c r="E171" s="4" t="str">
        <f>IFERROR(__xludf.DUMMYFUNCTION("""COMPUTED_VALUE"""),"Trường Đại học Công nghệ Kỹ thuật TP. Hồ Chí Minh")</f>
        <v>Trường Đại học Công nghệ Kỹ thuật TP. Hồ Chí Minh</v>
      </c>
      <c r="F171" s="4" t="str">
        <f>IFERROR(__xludf.DUMMYFUNCTION("""COMPUTED_VALUE"""),"CNTT2026-170.png")</f>
        <v>CNTT2026-170.png</v>
      </c>
    </row>
    <row r="172">
      <c r="A172" s="4" t="str">
        <f>IFERROR(__xludf.DUMMYFUNCTION("""COMPUTED_VALUE"""),"CNTT2026-171")</f>
        <v>CNTT2026-171</v>
      </c>
      <c r="B172" s="4" t="str">
        <f>IFERROR(__xludf.DUMMYFUNCTION("""COMPUTED_VALUE"""),"Công nghệ thông tin")</f>
        <v>Công nghệ thông tin</v>
      </c>
      <c r="C172" s="4" t="str">
        <f>IFERROR(__xludf.DUMMYFUNCTION("""COMPUTED_VALUE"""),"HỆ THỐNG TRỢ LÝ HUẤN LUYỆN THỂ HÌNH TRÊN THIẾT BỊ DI ĐỘNG DỰA TRÊN ƯỚC LƯỢNG TƯ THẾ THỜI GIAN THỰC TRI FORCE")</f>
        <v>HỆ THỐNG TRỢ LÝ HUẤN LUYỆN THỂ HÌNH TRÊN THIẾT BỊ DI ĐỘNG DỰA TRÊN ƯỚC LƯỢNG TƯ THẾ THỜI GIAN THỰC TRI FORCE</v>
      </c>
      <c r="D172" s="4" t="str">
        <f>IFERROR(__xludf.DUMMYFUNCTION("""COMPUTED_VALUE"""),"Phạm Hòa Anh Nam; Chung Trường Vũ; Phạm Gia Huy")</f>
        <v>Phạm Hòa Anh Nam; Chung Trường Vũ; Phạm Gia Huy</v>
      </c>
      <c r="E172" s="4" t="str">
        <f>IFERROR(__xludf.DUMMYFUNCTION("""COMPUTED_VALUE"""),"Trường Đại học Công nghệ Kỹ thuật TP. Hồ Chí Minh")</f>
        <v>Trường Đại học Công nghệ Kỹ thuật TP. Hồ Chí Minh</v>
      </c>
      <c r="F172" s="4" t="str">
        <f>IFERROR(__xludf.DUMMYFUNCTION("""COMPUTED_VALUE"""),"CNTT2026-171.png")</f>
        <v>CNTT2026-171.png</v>
      </c>
    </row>
    <row r="173">
      <c r="A173" s="4" t="str">
        <f>IFERROR(__xludf.DUMMYFUNCTION("""COMPUTED_VALUE"""),"CNTT2026-172")</f>
        <v>CNTT2026-172</v>
      </c>
      <c r="B173" s="4" t="str">
        <f>IFERROR(__xludf.DUMMYFUNCTION("""COMPUTED_VALUE"""),"Công nghệ thông tin")</f>
        <v>Công nghệ thông tin</v>
      </c>
      <c r="C173" s="4" t="str">
        <f>IFERROR(__xludf.DUMMYFUNCTION("""COMPUTED_VALUE"""),"EmoViS: Emoji-Augmented ViSoBERT for Fine-Grained Multi-Label Emotion Recognition in Vietnamese Social Media Text")</f>
        <v>EmoViS: Emoji-Augmented ViSoBERT for Fine-Grained Multi-Label Emotion Recognition in Vietnamese Social Media Text</v>
      </c>
      <c r="D173" s="4" t="str">
        <f>IFERROR(__xludf.DUMMYFUNCTION("""COMPUTED_VALUE"""),"Nguyễn Nhật Phát; Bùi Trần Tấn Phát; Huỳnh Gia Hân")</f>
        <v>Nguyễn Nhật Phát; Bùi Trần Tấn Phát; Huỳnh Gia Hân</v>
      </c>
      <c r="E173" s="4" t="str">
        <f>IFERROR(__xludf.DUMMYFUNCTION("""COMPUTED_VALUE"""),"Trường Đại học Công nghệ Kỹ thuật TP. Hồ Chí Minh")</f>
        <v>Trường Đại học Công nghệ Kỹ thuật TP. Hồ Chí Minh</v>
      </c>
      <c r="F173" s="4" t="str">
        <f>IFERROR(__xludf.DUMMYFUNCTION("""COMPUTED_VALUE"""),"CNTT2026-172.png")</f>
        <v>CNTT2026-172.png</v>
      </c>
    </row>
    <row r="174">
      <c r="A174" s="4" t="str">
        <f>IFERROR(__xludf.DUMMYFUNCTION("""COMPUTED_VALUE"""),"CNTT2026-173")</f>
        <v>CNTT2026-173</v>
      </c>
      <c r="B174" s="4" t="str">
        <f>IFERROR(__xludf.DUMMYFUNCTION("""COMPUTED_VALUE"""),"Công nghệ thông tin")</f>
        <v>Công nghệ thông tin</v>
      </c>
      <c r="C174" s="4" t="str">
        <f>IFERROR(__xludf.DUMMYFUNCTION("""COMPUTED_VALUE"""),"Adaptive Density-Based Geometry Compression for Efficient 3D Gaussian Splatting")</f>
        <v>Adaptive Density-Based Geometry Compression for Efficient 3D Gaussian Splatting</v>
      </c>
      <c r="D174" s="4" t="str">
        <f>IFERROR(__xludf.DUMMYFUNCTION("""COMPUTED_VALUE"""),"Nguyễn Nhật Phát; Phạm Quốc Hùng")</f>
        <v>Nguyễn Nhật Phát; Phạm Quốc Hùng</v>
      </c>
      <c r="E174" s="4" t="str">
        <f>IFERROR(__xludf.DUMMYFUNCTION("""COMPUTED_VALUE"""),"Trường Đại học Công nghệ Kỹ thuật TP. Hồ Chí Minh")</f>
        <v>Trường Đại học Công nghệ Kỹ thuật TP. Hồ Chí Minh</v>
      </c>
      <c r="F174" s="4" t="str">
        <f>IFERROR(__xludf.DUMMYFUNCTION("""COMPUTED_VALUE"""),"CNTT2026-173.png")</f>
        <v>CNTT2026-173.png</v>
      </c>
    </row>
    <row r="175">
      <c r="A175" s="4" t="str">
        <f>IFERROR(__xludf.DUMMYFUNCTION("""COMPUTED_VALUE"""),"CNTT2026-174")</f>
        <v>CNTT2026-174</v>
      </c>
      <c r="B175" s="4" t="str">
        <f>IFERROR(__xludf.DUMMYFUNCTION("""COMPUTED_VALUE"""),"Công nghệ thông tin")</f>
        <v>Công nghệ thông tin</v>
      </c>
      <c r="C175" s="4" t="str">
        <f>IFERROR(__xludf.DUMMYFUNCTION("""COMPUTED_VALUE"""),"So sánh mô hình Entropy và thuật toán học máy trong đánh giá rủi ro cháy rừng tại khu vực Trạm quản lý và phát triển rừng Bình Chánh")</f>
        <v>So sánh mô hình Entropy và thuật toán học máy trong đánh giá rủi ro cháy rừng tại khu vực Trạm quản lý và phát triển rừng Bình Chánh</v>
      </c>
      <c r="D175" s="4" t="str">
        <f>IFERROR(__xludf.DUMMYFUNCTION("""COMPUTED_VALUE"""),"Nguyễn Thị Mỹ Uyên")</f>
        <v>Nguyễn Thị Mỹ Uyên</v>
      </c>
      <c r="E175" s="4" t="str">
        <f>IFERROR(__xludf.DUMMYFUNCTION("""COMPUTED_VALUE"""),"Trường Đại học Nông Lâm TP. Hồ Chí Minh")</f>
        <v>Trường Đại học Nông Lâm TP. Hồ Chí Minh</v>
      </c>
      <c r="F175" s="4" t="str">
        <f>IFERROR(__xludf.DUMMYFUNCTION("""COMPUTED_VALUE"""),"CNTT2026-174.png")</f>
        <v>CNTT2026-174.png</v>
      </c>
    </row>
    <row r="176">
      <c r="A176" s="4" t="str">
        <f>IFERROR(__xludf.DUMMYFUNCTION("""COMPUTED_VALUE"""),"CNTT2026-175")</f>
        <v>CNTT2026-175</v>
      </c>
      <c r="B176" s="4" t="str">
        <f>IFERROR(__xludf.DUMMYFUNCTION("""COMPUTED_VALUE"""),"Công nghệ thông tin")</f>
        <v>Công nghệ thông tin</v>
      </c>
      <c r="C176" s="4" t="str">
        <f>IFERROR(__xludf.DUMMYFUNCTION("""COMPUTED_VALUE"""),"Ứng dụng mô hình Prophet trong dự báo nhu cầu và tối ưu chính sách bổ sung hàng tươi sống cho nhà bán lẻ")</f>
        <v>Ứng dụng mô hình Prophet trong dự báo nhu cầu và tối ưu chính sách bổ sung hàng tươi sống cho nhà bán lẻ</v>
      </c>
      <c r="D176" s="4" t="str">
        <f>IFERROR(__xludf.DUMMYFUNCTION("""COMPUTED_VALUE"""),"Lại Phạm Thúy Hiền; Lê Thành Đạt; Trương Minh Nhựt; Huỳnh Quang Hưng; Mai Khả Vy")</f>
        <v>Lại Phạm Thúy Hiền; Lê Thành Đạt; Trương Minh Nhựt; Huỳnh Quang Hưng; Mai Khả Vy</v>
      </c>
      <c r="E176" s="4" t="str">
        <f>IFERROR(__xludf.DUMMYFUNCTION("""COMPUTED_VALUE"""),"Trường Đại học Giao thông vận tải TP. Hồ Chí Minh")</f>
        <v>Trường Đại học Giao thông vận tải TP. Hồ Chí Minh</v>
      </c>
      <c r="F176" s="4" t="str">
        <f>IFERROR(__xludf.DUMMYFUNCTION("""COMPUTED_VALUE"""),"CNTT2026-175.png")</f>
        <v>CNTT2026-175.png</v>
      </c>
    </row>
    <row r="177">
      <c r="A177" s="4" t="str">
        <f>IFERROR(__xludf.DUMMYFUNCTION("""COMPUTED_VALUE"""),"CNTT2026-176")</f>
        <v>CNTT2026-176</v>
      </c>
      <c r="B177" s="4" t="str">
        <f>IFERROR(__xludf.DUMMYFUNCTION("""COMPUTED_VALUE"""),"Công nghệ thông tin")</f>
        <v>Công nghệ thông tin</v>
      </c>
      <c r="C177" s="4" t="str">
        <f>IFERROR(__xludf.DUMMYFUNCTION("""COMPUTED_VALUE"""),"Nghiên cứu xây dựng công cụ hỗ trợ tìm kiếm và lựa chọn bất động sản cho thuê trên nền tảng web và trí tuệ nhân tạo")</f>
        <v>Nghiên cứu xây dựng công cụ hỗ trợ tìm kiếm và lựa chọn bất động sản cho thuê trên nền tảng web và trí tuệ nhân tạo</v>
      </c>
      <c r="D177" s="4" t="str">
        <f>IFERROR(__xludf.DUMMYFUNCTION("""COMPUTED_VALUE"""),"Trần Thị Kim Thoa; Vũ Thị Thu Hương; Phạm Thanh Thảo")</f>
        <v>Trần Thị Kim Thoa; Vũ Thị Thu Hương; Phạm Thanh Thảo</v>
      </c>
      <c r="E177" s="4" t="str">
        <f>IFERROR(__xludf.DUMMYFUNCTION("""COMPUTED_VALUE"""),"Trường Đại học Tài nguyên và Môi trường Hà Nội")</f>
        <v>Trường Đại học Tài nguyên và Môi trường Hà Nội</v>
      </c>
      <c r="F177" s="4" t="str">
        <f>IFERROR(__xludf.DUMMYFUNCTION("""COMPUTED_VALUE"""),"CNTT2026-176.png")</f>
        <v>CNTT2026-176.png</v>
      </c>
    </row>
    <row r="178">
      <c r="A178" s="4" t="str">
        <f>IFERROR(__xludf.DUMMYFUNCTION("""COMPUTED_VALUE"""),"CNTT2026-177")</f>
        <v>CNTT2026-177</v>
      </c>
      <c r="B178" s="4" t="str">
        <f>IFERROR(__xludf.DUMMYFUNCTION("""COMPUTED_VALUE"""),"Công nghệ thông tin")</f>
        <v>Công nghệ thông tin</v>
      </c>
      <c r="C178" s="4" t="str">
        <f>IFERROR(__xludf.DUMMYFUNCTION("""COMPUTED_VALUE"""),"Thiết kế hệ thống AI feedback ứng dụng cho học tiếng Anh trực tuyến: Triển khai trên website hỗ trợ học tập ECLOVER.")</f>
        <v>Thiết kế hệ thống AI feedback ứng dụng cho học tiếng Anh trực tuyến: Triển khai trên website hỗ trợ học tập ECLOVER.</v>
      </c>
      <c r="D178" s="4" t="str">
        <f>IFERROR(__xludf.DUMMYFUNCTION("""COMPUTED_VALUE"""),"Vũ Thị Huyền Thương; Phạm Hà Anh; Đỗ Ngọc Dung")</f>
        <v>Vũ Thị Huyền Thương; Phạm Hà Anh; Đỗ Ngọc Dung</v>
      </c>
      <c r="E178" s="4" t="str">
        <f>IFERROR(__xludf.DUMMYFUNCTION("""COMPUTED_VALUE"""),"Trường Đại học Thủ đô Hà Nội")</f>
        <v>Trường Đại học Thủ đô Hà Nội</v>
      </c>
      <c r="F178" s="4" t="str">
        <f>IFERROR(__xludf.DUMMYFUNCTION("""COMPUTED_VALUE"""),"CNTT2026-177.png")</f>
        <v>CNTT2026-177.png</v>
      </c>
    </row>
    <row r="179">
      <c r="A179" s="4" t="str">
        <f>IFERROR(__xludf.DUMMYFUNCTION("""COMPUTED_VALUE"""),"CNTT2026-178")</f>
        <v>CNTT2026-178</v>
      </c>
      <c r="B179" s="4" t="str">
        <f>IFERROR(__xludf.DUMMYFUNCTION("""COMPUTED_VALUE"""),"Công nghệ thông tin")</f>
        <v>Công nghệ thông tin</v>
      </c>
      <c r="C179" s="4" t="str">
        <f>IFERROR(__xludf.DUMMYFUNCTION("""COMPUTED_VALUE"""),"NHẬN DIỆN CẢM XÚC SINH VIÊN VÀ ĐÁNH GIÁ MỨC ĐỘ TẬP TRUNG TRONG LỚP HỌC BẰNG VISION TRANSFORMER")</f>
        <v>NHẬN DIỆN CẢM XÚC SINH VIÊN VÀ ĐÁNH GIÁ MỨC ĐỘ TẬP TRUNG TRONG LỚP HỌC BẰNG VISION TRANSFORMER</v>
      </c>
      <c r="D179" s="4" t="str">
        <f>IFERROR(__xludf.DUMMYFUNCTION("""COMPUTED_VALUE"""),"Lê Tuấn Dũng")</f>
        <v>Lê Tuấn Dũng</v>
      </c>
      <c r="E179" s="4" t="str">
        <f>IFERROR(__xludf.DUMMYFUNCTION("""COMPUTED_VALUE"""),"Phân hiệu Trường Đại học Bình Dương tại Cà Mau")</f>
        <v>Phân hiệu Trường Đại học Bình Dương tại Cà Mau</v>
      </c>
      <c r="F179" s="4" t="str">
        <f>IFERROR(__xludf.DUMMYFUNCTION("""COMPUTED_VALUE"""),"CNTT2026-178.png")</f>
        <v>CNTT2026-178.png</v>
      </c>
    </row>
    <row r="180">
      <c r="A180" s="4" t="str">
        <f>IFERROR(__xludf.DUMMYFUNCTION("""COMPUTED_VALUE"""),"CNTT2026-179")</f>
        <v>CNTT2026-179</v>
      </c>
      <c r="B180" s="4" t="str">
        <f>IFERROR(__xludf.DUMMYFUNCTION("""COMPUTED_VALUE"""),"Công nghệ thông tin")</f>
        <v>Công nghệ thông tin</v>
      </c>
      <c r="C180" s="4" t="str">
        <f>IFERROR(__xludf.DUMMYFUNCTION("""COMPUTED_VALUE"""),"Đề xuất kiến trúc kết hợp CAMERA AI với mạng VANET trong việc phát hiện và điều phối tai nạn trên đường cao tốc")</f>
        <v>Đề xuất kiến trúc kết hợp CAMERA AI với mạng VANET trong việc phát hiện và điều phối tai nạn trên đường cao tốc</v>
      </c>
      <c r="D180" s="4" t="str">
        <f>IFERROR(__xludf.DUMMYFUNCTION("""COMPUTED_VALUE"""),"TRẦN MINH QUÂN; NGUYỄN ĐỖ KHÁNH NGỌC; NGUYỄN THIÊN NGÂN; PHAN LÊ HUỲNH ANH")</f>
        <v>TRẦN MINH QUÂN; NGUYỄN ĐỖ KHÁNH NGỌC; NGUYỄN THIÊN NGÂN; PHAN LÊ HUỲNH ANH</v>
      </c>
      <c r="E180" s="4" t="str">
        <f>IFERROR(__xludf.DUMMYFUNCTION("""COMPUTED_VALUE"""),"Trường Đại học Giao thông vận tải TP. Hồ Chí Minh")</f>
        <v>Trường Đại học Giao thông vận tải TP. Hồ Chí Minh</v>
      </c>
      <c r="F180" s="4" t="str">
        <f>IFERROR(__xludf.DUMMYFUNCTION("""COMPUTED_VALUE"""),"CNTT2026-179.png")</f>
        <v>CNTT2026-179.png</v>
      </c>
    </row>
    <row r="181">
      <c r="A181" s="4" t="str">
        <f>IFERROR(__xludf.DUMMYFUNCTION("""COMPUTED_VALUE"""),"CNTT2026-180")</f>
        <v>CNTT2026-180</v>
      </c>
      <c r="B181" s="4" t="str">
        <f>IFERROR(__xludf.DUMMYFUNCTION("""COMPUTED_VALUE"""),"Công nghệ thông tin")</f>
        <v>Công nghệ thông tin</v>
      </c>
      <c r="C181" s="4" t="str">
        <f>IFERROR(__xludf.DUMMYFUNCTION("""COMPUTED_VALUE"""),"Điều phối tín hiệu giao thông đa tác tử thích ứng với giao tiếp không gian chọn lọc: Thiết kế GATED-ST và kiểm chứng trên mô phỏng SUMO")</f>
        <v>Điều phối tín hiệu giao thông đa tác tử thích ứng với giao tiếp không gian chọn lọc: Thiết kế GATED-ST và kiểm chứng trên mô phỏng SUMO</v>
      </c>
      <c r="D181" s="4" t="str">
        <f>IFERROR(__xludf.DUMMYFUNCTION("""COMPUTED_VALUE"""),"TRỊNH XUÂN ĐẠT; HUỲNH NAM TRƯỜNG; PHẠM VĂN THÀNH")</f>
        <v>TRỊNH XUÂN ĐẠT; HUỲNH NAM TRƯỜNG; PHẠM VĂN THÀNH</v>
      </c>
      <c r="E181" s="4" t="str">
        <f>IFERROR(__xludf.DUMMYFUNCTION("""COMPUTED_VALUE"""),"Trường Đại học Giao thông vận tải TP. Hồ Chí Minh")</f>
        <v>Trường Đại học Giao thông vận tải TP. Hồ Chí Minh</v>
      </c>
      <c r="F181" s="4" t="str">
        <f>IFERROR(__xludf.DUMMYFUNCTION("""COMPUTED_VALUE"""),"CNTT2026-180.png")</f>
        <v>CNTT2026-180.png</v>
      </c>
    </row>
    <row r="182">
      <c r="A182" s="4" t="str">
        <f>IFERROR(__xludf.DUMMYFUNCTION("""COMPUTED_VALUE"""),"CNTT2026-181")</f>
        <v>CNTT2026-181</v>
      </c>
      <c r="B182" s="4" t="str">
        <f>IFERROR(__xludf.DUMMYFUNCTION("""COMPUTED_VALUE"""),"Công nghệ thông tin")</f>
        <v>Công nghệ thông tin</v>
      </c>
      <c r="C182" s="4" t="str">
        <f>IFERROR(__xludf.DUMMYFUNCTION("""COMPUTED_VALUE"""),"VietCheckMed: A Training-Free Retrieval-Augmented Platform for Medical and Aesthetic Regulatory Compliance")</f>
        <v>VietCheckMed: A Training-Free Retrieval-Augmented Platform for Medical and Aesthetic Regulatory Compliance</v>
      </c>
      <c r="D182" s="4" t="str">
        <f>IFERROR(__xludf.DUMMYFUNCTION("""COMPUTED_VALUE"""),"Đặng Trọng Bảo Thi; Lê Hoàng Uyên Thư; Nguyễn Quang Lập")</f>
        <v>Đặng Trọng Bảo Thi; Lê Hoàng Uyên Thư; Nguyễn Quang Lập</v>
      </c>
      <c r="E182" s="4" t="str">
        <f>IFERROR(__xludf.DUMMYFUNCTION("""COMPUTED_VALUE"""),"Trường Đại học Khoa học Tự nhiên, ĐHQG-HCM")</f>
        <v>Trường Đại học Khoa học Tự nhiên, ĐHQG-HCM</v>
      </c>
      <c r="F182" s="4" t="str">
        <f>IFERROR(__xludf.DUMMYFUNCTION("""COMPUTED_VALUE"""),"CNTT2026-181.png")</f>
        <v>CNTT2026-181.png</v>
      </c>
    </row>
    <row r="183">
      <c r="A183" s="4" t="str">
        <f>IFERROR(__xludf.DUMMYFUNCTION("""COMPUTED_VALUE"""),"CNTT2026-182")</f>
        <v>CNTT2026-182</v>
      </c>
      <c r="B183" s="4" t="str">
        <f>IFERROR(__xludf.DUMMYFUNCTION("""COMPUTED_VALUE"""),"Công nghệ thông tin")</f>
        <v>Công nghệ thông tin</v>
      </c>
      <c r="C183" s="4" t="str">
        <f>IFERROR(__xludf.DUMMYFUNCTION("""COMPUTED_VALUE"""),"Xây dựng mô hình AI nhận diện hội thoại lừa đảo tin nhắn tiếng Việt dưới hình thức tuyển dụng việc làm và cộng tác viên, góp phần bảo đảm an ninh quốc gia trong giai đoạn hiện nay")</f>
        <v>Xây dựng mô hình AI nhận diện hội thoại lừa đảo tin nhắn tiếng Việt dưới hình thức tuyển dụng việc làm và cộng tác viên, góp phần bảo đảm an ninh quốc gia trong giai đoạn hiện nay</v>
      </c>
      <c r="D183" s="4" t="str">
        <f>IFERROR(__xludf.DUMMYFUNCTION("""COMPUTED_VALUE"""),"Lê Phạm Phúc Hưng; Bùi Phan Khánh Linh; Nguyễn Thị Tường Vi")</f>
        <v>Lê Phạm Phúc Hưng; Bùi Phan Khánh Linh; Nguyễn Thị Tường Vi</v>
      </c>
      <c r="E183" s="4" t="str">
        <f>IFERROR(__xludf.DUMMYFUNCTION("""COMPUTED_VALUE"""),"Trường Đại học An ninh Nhân dân")</f>
        <v>Trường Đại học An ninh Nhân dân</v>
      </c>
      <c r="F183" s="4" t="str">
        <f>IFERROR(__xludf.DUMMYFUNCTION("""COMPUTED_VALUE"""),"CNTT2026-182.png")</f>
        <v>CNTT2026-182.png</v>
      </c>
    </row>
    <row r="184">
      <c r="A184" s="4" t="str">
        <f>IFERROR(__xludf.DUMMYFUNCTION("""COMPUTED_VALUE"""),"CNTT2026-183")</f>
        <v>CNTT2026-183</v>
      </c>
      <c r="B184" s="4" t="str">
        <f>IFERROR(__xludf.DUMMYFUNCTION("""COMPUTED_VALUE"""),"Công nghệ thông tin")</f>
        <v>Công nghệ thông tin</v>
      </c>
      <c r="C184" s="4" t="str">
        <f>IFERROR(__xludf.DUMMYFUNCTION("""COMPUTED_VALUE"""),"Retrieved But Not Reliable: A Survey on Attacks, and Defenses in Retrieval-Augmented Generation")</f>
        <v>Retrieved But Not Reliable: A Survey on Attacks, and Defenses in Retrieval-Augmented Generation</v>
      </c>
      <c r="D184" s="4" t="str">
        <f>IFERROR(__xludf.DUMMYFUNCTION("""COMPUTED_VALUE"""),"Trần Tạ Quang Minh")</f>
        <v>Trần Tạ Quang Minh</v>
      </c>
      <c r="E184" s="4" t="str">
        <f>IFERROR(__xludf.DUMMYFUNCTION("""COMPUTED_VALUE"""),"Trường Đại học Khoa học Tự nhiên, ĐHQG-HCM")</f>
        <v>Trường Đại học Khoa học Tự nhiên, ĐHQG-HCM</v>
      </c>
      <c r="F184" s="4" t="str">
        <f>IFERROR(__xludf.DUMMYFUNCTION("""COMPUTED_VALUE"""),"CNTT2026-183.png")</f>
        <v>CNTT2026-183.png</v>
      </c>
    </row>
    <row r="185">
      <c r="A185" s="4" t="str">
        <f>IFERROR(__xludf.DUMMYFUNCTION("""COMPUTED_VALUE"""),"CNTT2026-184")</f>
        <v>CNTT2026-184</v>
      </c>
      <c r="B185" s="4" t="str">
        <f>IFERROR(__xludf.DUMMYFUNCTION("""COMPUTED_VALUE"""),"Công nghệ thông tin")</f>
        <v>Công nghệ thông tin</v>
      </c>
      <c r="C185" s="4" t="str">
        <f>IFERROR(__xludf.DUMMYFUNCTION("""COMPUTED_VALUE"""),"Giải thích và tạo sinh hình ảnh sáng tạo hỗ trợ bởi AI")</f>
        <v>Giải thích và tạo sinh hình ảnh sáng tạo hỗ trợ bởi AI</v>
      </c>
      <c r="D185" s="4" t="str">
        <f>IFERROR(__xludf.DUMMYFUNCTION("""COMPUTED_VALUE"""),"Trần Quốc Duy; Võ Anh Tuấn")</f>
        <v>Trần Quốc Duy; Võ Anh Tuấn</v>
      </c>
      <c r="E185" s="4" t="str">
        <f>IFERROR(__xludf.DUMMYFUNCTION("""COMPUTED_VALUE"""),"Trường Đại học Khoa học Tự nhiên, ĐHQG-HCM")</f>
        <v>Trường Đại học Khoa học Tự nhiên, ĐHQG-HCM</v>
      </c>
      <c r="F185" s="4" t="str">
        <f>IFERROR(__xludf.DUMMYFUNCTION("""COMPUTED_VALUE"""),"CNTT2026-184.png")</f>
        <v>CNTT2026-184.png</v>
      </c>
    </row>
    <row r="186">
      <c r="A186" s="4" t="str">
        <f>IFERROR(__xludf.DUMMYFUNCTION("""COMPUTED_VALUE"""),"CNTT2026-185")</f>
        <v>CNTT2026-185</v>
      </c>
      <c r="B186" s="4" t="str">
        <f>IFERROR(__xludf.DUMMYFUNCTION("""COMPUTED_VALUE"""),"Công nghệ thông tin")</f>
        <v>Công nghệ thông tin</v>
      </c>
      <c r="C186" s="4" t="str">
        <f>IFERROR(__xludf.DUMMYFUNCTION("""COMPUTED_VALUE"""),"PhysMirror: Physics-Aware Mirror Object Generation")</f>
        <v>PhysMirror: Physics-Aware Mirror Object Generation</v>
      </c>
      <c r="D186" s="4" t="str">
        <f>IFERROR(__xludf.DUMMYFUNCTION("""COMPUTED_VALUE"""),"Mai Xuân Bách; Nguyễn Duy Phúc")</f>
        <v>Mai Xuân Bách; Nguyễn Duy Phúc</v>
      </c>
      <c r="E186" s="4" t="str">
        <f>IFERROR(__xludf.DUMMYFUNCTION("""COMPUTED_VALUE"""),"Trường Đại học Khoa học Tự nhiên, ĐHQG-HCM")</f>
        <v>Trường Đại học Khoa học Tự nhiên, ĐHQG-HCM</v>
      </c>
      <c r="F186" s="4" t="str">
        <f>IFERROR(__xludf.DUMMYFUNCTION("""COMPUTED_VALUE"""),"CNTT2026-185.png")</f>
        <v>CNTT2026-185.png</v>
      </c>
    </row>
    <row r="187">
      <c r="A187" s="4" t="str">
        <f>IFERROR(__xludf.DUMMYFUNCTION("""COMPUTED_VALUE"""),"CNTT2026-186")</f>
        <v>CNTT2026-186</v>
      </c>
      <c r="B187" s="4" t="str">
        <f>IFERROR(__xludf.DUMMYFUNCTION("""COMPUTED_VALUE"""),"Công nghệ thông tin")</f>
        <v>Công nghệ thông tin</v>
      </c>
      <c r="C187" s="4" t="str">
        <f>IFERROR(__xludf.DUMMYFUNCTION("""COMPUTED_VALUE"""),"Tích hợp học nhân quả vào mô hình ngôn ngữ lớn dựa trên sở thích con người")</f>
        <v>Tích hợp học nhân quả vào mô hình ngôn ngữ lớn dựa trên sở thích con người</v>
      </c>
      <c r="D187" s="4" t="str">
        <f>IFERROR(__xludf.DUMMYFUNCTION("""COMPUTED_VALUE"""),"Lê Thục Uyên")</f>
        <v>Lê Thục Uyên</v>
      </c>
      <c r="E187" s="4" t="str">
        <f>IFERROR(__xludf.DUMMYFUNCTION("""COMPUTED_VALUE"""),"Trường Đại học Khoa học Tự nhiên, ĐHQG-HCM")</f>
        <v>Trường Đại học Khoa học Tự nhiên, ĐHQG-HCM</v>
      </c>
      <c r="F187" s="4" t="str">
        <f>IFERROR(__xludf.DUMMYFUNCTION("""COMPUTED_VALUE"""),"CNTT2026-186.png")</f>
        <v>CNTT2026-186.png</v>
      </c>
    </row>
    <row r="188">
      <c r="A188" s="4" t="str">
        <f>IFERROR(__xludf.DUMMYFUNCTION("""COMPUTED_VALUE"""),"CNTT2026-187")</f>
        <v>CNTT2026-187</v>
      </c>
      <c r="B188" s="4" t="str">
        <f>IFERROR(__xludf.DUMMYFUNCTION("""COMPUTED_VALUE"""),"Công nghệ thông tin")</f>
        <v>Công nghệ thông tin</v>
      </c>
      <c r="C188" s="4" t="str">
        <f>IFERROR(__xludf.DUMMYFUNCTION("""COMPUTED_VALUE"""),"PHÁT HIỆN GIAO DỊCH GIAN LẬN NGÂN HÀNG BẰNG HỌC MÁY CÓ KHẢ NĂNG GIẢI THÍCH")</f>
        <v>PHÁT HIỆN GIAO DỊCH GIAN LẬN NGÂN HÀNG BẰNG HỌC MÁY CÓ KHẢ NĂNG GIẢI THÍCH</v>
      </c>
      <c r="D188" s="4" t="str">
        <f>IFERROR(__xludf.DUMMYFUNCTION("""COMPUTED_VALUE"""),"Nguyễn Thị Hải Anh")</f>
        <v>Nguyễn Thị Hải Anh</v>
      </c>
      <c r="E188" s="4" t="str">
        <f>IFERROR(__xludf.DUMMYFUNCTION("""COMPUTED_VALUE"""),"Trường Đại học Hùng Vương Thành phố Hồ Chí Minh")</f>
        <v>Trường Đại học Hùng Vương Thành phố Hồ Chí Minh</v>
      </c>
      <c r="F188" s="4" t="str">
        <f>IFERROR(__xludf.DUMMYFUNCTION("""COMPUTED_VALUE"""),"CNTT2026-187.png")</f>
        <v>CNTT2026-187.png</v>
      </c>
    </row>
    <row r="189">
      <c r="A189" s="4" t="str">
        <f>IFERROR(__xludf.DUMMYFUNCTION("""COMPUTED_VALUE"""),"CNTT2026-188")</f>
        <v>CNTT2026-188</v>
      </c>
      <c r="B189" s="4" t="str">
        <f>IFERROR(__xludf.DUMMYFUNCTION("""COMPUTED_VALUE"""),"Công nghệ thông tin")</f>
        <v>Công nghệ thông tin</v>
      </c>
      <c r="C189" s="4" t="str">
        <f>IFERROR(__xludf.DUMMYFUNCTION("""COMPUTED_VALUE"""),"Hệ thống gợi ý tuần tự học liên tục ứng dụng bộ nhớ ngữ cảnh dài hạn")</f>
        <v>Hệ thống gợi ý tuần tự học liên tục ứng dụng bộ nhớ ngữ cảnh dài hạn</v>
      </c>
      <c r="D189" s="4" t="str">
        <f>IFERROR(__xludf.DUMMYFUNCTION("""COMPUTED_VALUE"""),"Lê Hoàng Vũ; Nguyễn Tường Bách Hỷ")</f>
        <v>Lê Hoàng Vũ; Nguyễn Tường Bách Hỷ</v>
      </c>
      <c r="E189" s="4" t="str">
        <f>IFERROR(__xludf.DUMMYFUNCTION("""COMPUTED_VALUE"""),"Trường Đại học Khoa học Tự nhiên, ĐHQG-HCM")</f>
        <v>Trường Đại học Khoa học Tự nhiên, ĐHQG-HCM</v>
      </c>
      <c r="F189" s="4" t="str">
        <f>IFERROR(__xludf.DUMMYFUNCTION("""COMPUTED_VALUE"""),"CNTT2026-188.png")</f>
        <v>CNTT2026-188.png</v>
      </c>
    </row>
    <row r="190">
      <c r="A190" s="4" t="str">
        <f>IFERROR(__xludf.DUMMYFUNCTION("""COMPUTED_VALUE"""),"CNTT2026-189")</f>
        <v>CNTT2026-189</v>
      </c>
      <c r="B190" s="4" t="str">
        <f>IFERROR(__xludf.DUMMYFUNCTION("""COMPUTED_VALUE"""),"Công nghệ thông tin")</f>
        <v>Công nghệ thông tin</v>
      </c>
      <c r="C190" s="4" t="str">
        <f>IFERROR(__xludf.DUMMYFUNCTION("""COMPUTED_VALUE"""),"Những nhân tố tác động đến quyết định ứng dụng AI trong ngành kế toán - nghiên cứu điển hình tại các doanh nghiệp trên địa bàn Tp. HCM")</f>
        <v>Những nhân tố tác động đến quyết định ứng dụng AI trong ngành kế toán - nghiên cứu điển hình tại các doanh nghiệp trên địa bàn Tp. HCM</v>
      </c>
      <c r="D190" s="4" t="str">
        <f>IFERROR(__xludf.DUMMYFUNCTION("""COMPUTED_VALUE"""),"Nguyễn Tuấn Khang; Bùi Thị Khánh Huyền; Trần Đan Chi; Tô Thị Yến Nhi; Đặng Nguyễn Kiều Oanh")</f>
        <v>Nguyễn Tuấn Khang; Bùi Thị Khánh Huyền; Trần Đan Chi; Tô Thị Yến Nhi; Đặng Nguyễn Kiều Oanh</v>
      </c>
      <c r="E190" s="4" t="str">
        <f>IFERROR(__xludf.DUMMYFUNCTION("""COMPUTED_VALUE"""),"Trường Đại học Bình Dương")</f>
        <v>Trường Đại học Bình Dương</v>
      </c>
      <c r="F190" s="4" t="str">
        <f>IFERROR(__xludf.DUMMYFUNCTION("""COMPUTED_VALUE"""),"CNTT2026-189.png")</f>
        <v>CNTT2026-189.png</v>
      </c>
    </row>
    <row r="191">
      <c r="A191" s="4" t="str">
        <f>IFERROR(__xludf.DUMMYFUNCTION("""COMPUTED_VALUE"""),"CNTT2026-190")</f>
        <v>CNTT2026-190</v>
      </c>
      <c r="B191" s="4" t="str">
        <f>IFERROR(__xludf.DUMMYFUNCTION("""COMPUTED_VALUE"""),"Công nghệ thông tin")</f>
        <v>Công nghệ thông tin</v>
      </c>
      <c r="C191" s="4" t="str">
        <f>IFERROR(__xludf.DUMMYFUNCTION("""COMPUTED_VALUE"""),"A Multi-Agent Deep Reinforcement Learning Framework with Adaptive Risk-Controlled Meta Allocation: Application to the Vietnamese Stock Market and Cryptocurrencies")</f>
        <v>A Multi-Agent Deep Reinforcement Learning Framework with Adaptive Risk-Controlled Meta Allocation: Application to the Vietnamese Stock Market and Cryptocurrencies</v>
      </c>
      <c r="D191" s="4" t="str">
        <f>IFERROR(__xludf.DUMMYFUNCTION("""COMPUTED_VALUE"""),"Phạm Trọng Tiến; Nguyễn Trường Vỹ; Trần Quốc Bảo")</f>
        <v>Phạm Trọng Tiến; Nguyễn Trường Vỹ; Trần Quốc Bảo</v>
      </c>
      <c r="E191" s="4" t="str">
        <f>IFERROR(__xludf.DUMMYFUNCTION("""COMPUTED_VALUE"""),"Trường Đại học Quốc Tế, ĐHQG-HCM")</f>
        <v>Trường Đại học Quốc Tế, ĐHQG-HCM</v>
      </c>
      <c r="F191" s="4" t="str">
        <f>IFERROR(__xludf.DUMMYFUNCTION("""COMPUTED_VALUE"""),"CNTT2026-190.png")</f>
        <v>CNTT2026-190.png</v>
      </c>
    </row>
    <row r="192">
      <c r="A192" s="4" t="str">
        <f>IFERROR(__xludf.DUMMYFUNCTION("""COMPUTED_VALUE"""),"CNTT2026-191")</f>
        <v>CNTT2026-191</v>
      </c>
      <c r="B192" s="4" t="str">
        <f>IFERROR(__xludf.DUMMYFUNCTION("""COMPUTED_VALUE"""),"Công nghệ thông tin")</f>
        <v>Công nghệ thông tin</v>
      </c>
      <c r="C192" s="4" t="str">
        <f>IFERROR(__xludf.DUMMYFUNCTION("""COMPUTED_VALUE"""),"NHỮNG NHÂN TỐ TÁC ĐỘNG TIÊU CỰC ĐẾN VIỆC SỬ DỤNG CHAT GPT TRONG HỌC TẬP VÀ NGHIÊN CỨU CỦA SINH VIÊN – NGHIÊN CỨU ĐIỂN HÌNH SINH VIÊN TẠI TPHCM")</f>
        <v>NHỮNG NHÂN TỐ TÁC ĐỘNG TIÊU CỰC ĐẾN VIỆC SỬ DỤNG CHAT GPT TRONG HỌC TẬP VÀ NGHIÊN CỨU CỦA SINH VIÊN – NGHIÊN CỨU ĐIỂN HÌNH SINH VIÊN TẠI TPHCM</v>
      </c>
      <c r="D192" s="4" t="str">
        <f>IFERROR(__xludf.DUMMYFUNCTION("""COMPUTED_VALUE"""),"Nguyễn Hoài Phi Nhung; Lâm Như Phương; Đổng Thị Mỹ JaFan")</f>
        <v>Nguyễn Hoài Phi Nhung; Lâm Như Phương; Đổng Thị Mỹ JaFan</v>
      </c>
      <c r="E192" s="4" t="str">
        <f>IFERROR(__xludf.DUMMYFUNCTION("""COMPUTED_VALUE"""),"Trường Đại học Bình Dương")</f>
        <v>Trường Đại học Bình Dương</v>
      </c>
      <c r="F192" s="4" t="str">
        <f>IFERROR(__xludf.DUMMYFUNCTION("""COMPUTED_VALUE"""),"CNTT2026-191.png")</f>
        <v>CNTT2026-191.png</v>
      </c>
    </row>
    <row r="193">
      <c r="A193" s="4" t="str">
        <f>IFERROR(__xludf.DUMMYFUNCTION("""COMPUTED_VALUE"""),"CNTT2026-192")</f>
        <v>CNTT2026-192</v>
      </c>
      <c r="B193" s="4" t="str">
        <f>IFERROR(__xludf.DUMMYFUNCTION("""COMPUTED_VALUE"""),"Công nghệ thông tin")</f>
        <v>Công nghệ thông tin</v>
      </c>
      <c r="C193" s="4" t="str">
        <f>IFERROR(__xludf.DUMMYFUNCTION("""COMPUTED_VALUE"""),"Định vị thời gian cơn động kinh trên điện não đồ da đầu bằng học không giám sát dựa trên Graph Autoencoder và phát hiện điểm thay đổi")</f>
        <v>Định vị thời gian cơn động kinh trên điện não đồ da đầu bằng học không giám sát dựa trên Graph Autoencoder và phát hiện điểm thay đổi</v>
      </c>
      <c r="D193" s="4" t="str">
        <f>IFERROR(__xludf.DUMMYFUNCTION("""COMPUTED_VALUE"""),"Nguyễn Quốc Trung Nhân")</f>
        <v>Nguyễn Quốc Trung Nhân</v>
      </c>
      <c r="E193" s="4" t="str">
        <f>IFERROR(__xludf.DUMMYFUNCTION("""COMPUTED_VALUE"""),"Trường Đại học Quốc Tế, ĐHQG-HCM")</f>
        <v>Trường Đại học Quốc Tế, ĐHQG-HCM</v>
      </c>
      <c r="F193" s="4" t="str">
        <f>IFERROR(__xludf.DUMMYFUNCTION("""COMPUTED_VALUE"""),"CNTT2026-192.png")</f>
        <v>CNTT2026-192.png</v>
      </c>
    </row>
    <row r="194">
      <c r="A194" s="4" t="str">
        <f>IFERROR(__xludf.DUMMYFUNCTION("""COMPUTED_VALUE"""),"CNTT2026-193")</f>
        <v>CNTT2026-193</v>
      </c>
      <c r="B194" s="4" t="str">
        <f>IFERROR(__xludf.DUMMYFUNCTION("""COMPUTED_VALUE"""),"Công nghệ thông tin")</f>
        <v>Công nghệ thông tin</v>
      </c>
      <c r="C194" s="4" t="str">
        <f>IFERROR(__xludf.DUMMYFUNCTION("""COMPUTED_VALUE"""),"Zero-Shot and Training-Free Detection of AI-Generated Images")</f>
        <v>Zero-Shot and Training-Free Detection of AI-Generated Images</v>
      </c>
      <c r="D194" s="4" t="str">
        <f>IFERROR(__xludf.DUMMYFUNCTION("""COMPUTED_VALUE"""),"Võ Thịnh Phát; Mai Đăng Khoa")</f>
        <v>Võ Thịnh Phát; Mai Đăng Khoa</v>
      </c>
      <c r="E194" s="4" t="str">
        <f>IFERROR(__xludf.DUMMYFUNCTION("""COMPUTED_VALUE"""),"Trường Đại học Khoa học Tự nhiên, ĐHQG-HCM")</f>
        <v>Trường Đại học Khoa học Tự nhiên, ĐHQG-HCM</v>
      </c>
      <c r="F194" s="4" t="str">
        <f>IFERROR(__xludf.DUMMYFUNCTION("""COMPUTED_VALUE"""),"CNTT2026-193.png")</f>
        <v>CNTT2026-193.png</v>
      </c>
    </row>
    <row r="195">
      <c r="A195" s="4" t="str">
        <f>IFERROR(__xludf.DUMMYFUNCTION("""COMPUTED_VALUE"""),"CNTT2026-194")</f>
        <v>CNTT2026-194</v>
      </c>
      <c r="B195" s="4" t="str">
        <f>IFERROR(__xludf.DUMMYFUNCTION("""COMPUTED_VALUE"""),"Công nghệ thông tin")</f>
        <v>Công nghệ thông tin</v>
      </c>
      <c r="C195" s="4" t="str">
        <f>IFERROR(__xludf.DUMMYFUNCTION("""COMPUTED_VALUE"""),"Nghiên cứu ứng dụng mô hình nền tảng và học biểu diễn dị biệt bổ trợ hướng đến phát hiện deepfake tổng quát và bền vững")</f>
        <v>Nghiên cứu ứng dụng mô hình nền tảng và học biểu diễn dị biệt bổ trợ hướng đến phát hiện deepfake tổng quát và bền vững</v>
      </c>
      <c r="D195" s="4" t="str">
        <f>IFERROR(__xludf.DUMMYFUNCTION("""COMPUTED_VALUE"""),"Lê Minh Hoàng; Lê Phan Minh Khoa")</f>
        <v>Lê Minh Hoàng; Lê Phan Minh Khoa</v>
      </c>
      <c r="E195" s="4" t="str">
        <f>IFERROR(__xludf.DUMMYFUNCTION("""COMPUTED_VALUE"""),"Trường Đại học Khoa học Tự nhiên, ĐHQG-HCM")</f>
        <v>Trường Đại học Khoa học Tự nhiên, ĐHQG-HCM</v>
      </c>
      <c r="F195" s="4" t="str">
        <f>IFERROR(__xludf.DUMMYFUNCTION("""COMPUTED_VALUE"""),"CNTT2026-194.png")</f>
        <v>CNTT2026-194.png</v>
      </c>
    </row>
    <row r="196">
      <c r="A196" s="4" t="str">
        <f>IFERROR(__xludf.DUMMYFUNCTION("""COMPUTED_VALUE"""),"CNTT2026-195")</f>
        <v>CNTT2026-195</v>
      </c>
      <c r="B196" s="4" t="str">
        <f>IFERROR(__xludf.DUMMYFUNCTION("""COMPUTED_VALUE"""),"Công nghệ thông tin")</f>
        <v>Công nghệ thông tin</v>
      </c>
      <c r="C196" s="4" t="str">
        <f>IFERROR(__xludf.DUMMYFUNCTION("""COMPUTED_VALUE"""),"Đánh giá và xếp hạng các rào cản đối với ý định triển khai AI và ML trong Tài chính xanh tại các Ngân hàng thương mại ở Việt Nam")</f>
        <v>Đánh giá và xếp hạng các rào cản đối với ý định triển khai AI và ML trong Tài chính xanh tại các Ngân hàng thương mại ở Việt Nam</v>
      </c>
      <c r="D196" s="4" t="str">
        <f>IFERROR(__xludf.DUMMYFUNCTION("""COMPUTED_VALUE"""),"Lê Quỳnh Nga; Nguyễn Thị Hương Quỳnh; Hà Thị Minh Thu; Vũ Thanh Lam; Lê Thị Thùy Trang")</f>
        <v>Lê Quỳnh Nga; Nguyễn Thị Hương Quỳnh; Hà Thị Minh Thu; Vũ Thanh Lam; Lê Thị Thùy Trang</v>
      </c>
      <c r="E196" s="4" t="str">
        <f>IFERROR(__xludf.DUMMYFUNCTION("""COMPUTED_VALUE"""),"Học viện Ngân hàng")</f>
        <v>Học viện Ngân hàng</v>
      </c>
      <c r="F196" s="4" t="str">
        <f>IFERROR(__xludf.DUMMYFUNCTION("""COMPUTED_VALUE"""),"CNTT2026-195.png")</f>
        <v>CNTT2026-195.png</v>
      </c>
    </row>
    <row r="197">
      <c r="A197" s="4" t="str">
        <f>IFERROR(__xludf.DUMMYFUNCTION("""COMPUTED_VALUE"""),"CNTT2026-196")</f>
        <v>CNTT2026-196</v>
      </c>
      <c r="B197" s="4" t="str">
        <f>IFERROR(__xludf.DUMMYFUNCTION("""COMPUTED_VALUE"""),"Công nghệ thông tin")</f>
        <v>Công nghệ thông tin</v>
      </c>
      <c r="C197" s="4" t="str">
        <f>IFERROR(__xludf.DUMMYFUNCTION("""COMPUTED_VALUE"""),"Xây dựng mô hình phát hiện hình ảnh Deepfake sử dụng kiến trúc Efficientnet và kỹ thuật học chuyển giao")</f>
        <v>Xây dựng mô hình phát hiện hình ảnh Deepfake sử dụng kiến trúc Efficientnet và kỹ thuật học chuyển giao</v>
      </c>
      <c r="D197" s="4" t="str">
        <f>IFERROR(__xludf.DUMMYFUNCTION("""COMPUTED_VALUE"""),"Hoàng Quang Đạt; Giang Thị Thu Hoài; Nguyễn Thị Thúy; Lã Tấn Lộc; Đặng Trường Duy")</f>
        <v>Hoàng Quang Đạt; Giang Thị Thu Hoài; Nguyễn Thị Thúy; Lã Tấn Lộc; Đặng Trường Duy</v>
      </c>
      <c r="E197" s="4" t="str">
        <f>IFERROR(__xludf.DUMMYFUNCTION("""COMPUTED_VALUE"""),"Học viện Ngân hàng")</f>
        <v>Học viện Ngân hàng</v>
      </c>
      <c r="F197" s="4" t="str">
        <f>IFERROR(__xludf.DUMMYFUNCTION("""COMPUTED_VALUE"""),"CNTT2026-196.png")</f>
        <v>CNTT2026-196.png</v>
      </c>
    </row>
    <row r="198">
      <c r="A198" s="4" t="str">
        <f>IFERROR(__xludf.DUMMYFUNCTION("""COMPUTED_VALUE"""),"CNTT2026-197")</f>
        <v>CNTT2026-197</v>
      </c>
      <c r="B198" s="4" t="str">
        <f>IFERROR(__xludf.DUMMYFUNCTION("""COMPUTED_VALUE"""),"Công nghệ thông tin")</f>
        <v>Công nghệ thông tin</v>
      </c>
      <c r="C198" s="4" t="str">
        <f>IFERROR(__xludf.DUMMYFUNCTION("""COMPUTED_VALUE"""),"Ứng dụng AI trong phân tích phản hồi của khách hàng trên mạng xã hội để cải thiện dịch vụ ngân hàng")</f>
        <v>Ứng dụng AI trong phân tích phản hồi của khách hàng trên mạng xã hội để cải thiện dịch vụ ngân hàng</v>
      </c>
      <c r="D198" s="4" t="str">
        <f>IFERROR(__xludf.DUMMYFUNCTION("""COMPUTED_VALUE"""),"Trần Thị Thanh Thảo; Phạm Hương Giang; Nguyễn Thanh Ngân; Nguyễn Hoàng Long")</f>
        <v>Trần Thị Thanh Thảo; Phạm Hương Giang; Nguyễn Thanh Ngân; Nguyễn Hoàng Long</v>
      </c>
      <c r="E198" s="4" t="str">
        <f>IFERROR(__xludf.DUMMYFUNCTION("""COMPUTED_VALUE"""),"Học viện Ngân hàng")</f>
        <v>Học viện Ngân hàng</v>
      </c>
      <c r="F198" s="4" t="str">
        <f>IFERROR(__xludf.DUMMYFUNCTION("""COMPUTED_VALUE"""),"CNTT2026-197.png")</f>
        <v>CNTT2026-197.png</v>
      </c>
    </row>
    <row r="199">
      <c r="A199" s="4" t="str">
        <f>IFERROR(__xludf.DUMMYFUNCTION("""COMPUTED_VALUE"""),"CNTT2026-198")</f>
        <v>CNTT2026-198</v>
      </c>
      <c r="B199" s="4" t="str">
        <f>IFERROR(__xludf.DUMMYFUNCTION("""COMPUTED_VALUE"""),"Công nghệ thông tin")</f>
        <v>Công nghệ thông tin</v>
      </c>
      <c r="C199" s="4" t="str">
        <f>IFERROR(__xludf.DUMMYFUNCTION("""COMPUTED_VALUE"""),"Thiết kế và đánh giá hệ thống AI chatbot ULIS RESEARCH hỗ trợ kỹ năng nghiên cứu khoa học và đổi mới sáng tạo cho người học")</f>
        <v>Thiết kế và đánh giá hệ thống AI chatbot ULIS RESEARCH hỗ trợ kỹ năng nghiên cứu khoa học và đổi mới sáng tạo cho người học</v>
      </c>
      <c r="D199" s="4" t="str">
        <f>IFERROR(__xludf.DUMMYFUNCTION("""COMPUTED_VALUE"""),"Trần Vũ Khánh Linh; Bùi Minh Long; Hoàng Anh Khoa; Nguyễn Quỳnh Thy")</f>
        <v>Trần Vũ Khánh Linh; Bùi Minh Long; Hoàng Anh Khoa; Nguyễn Quỳnh Thy</v>
      </c>
      <c r="E199" s="4" t="str">
        <f>IFERROR(__xludf.DUMMYFUNCTION("""COMPUTED_VALUE"""),"Trường Đại học Ngoại ngữ, ĐHQG Hà Nội")</f>
        <v>Trường Đại học Ngoại ngữ, ĐHQG Hà Nội</v>
      </c>
      <c r="F199" s="4" t="str">
        <f>IFERROR(__xludf.DUMMYFUNCTION("""COMPUTED_VALUE"""),"CNTT2026-198.png")</f>
        <v>CNTT2026-198.png</v>
      </c>
    </row>
    <row r="200">
      <c r="A200" s="4" t="str">
        <f>IFERROR(__xludf.DUMMYFUNCTION("""COMPUTED_VALUE"""),"CNTT2026-199")</f>
        <v>CNTT2026-199</v>
      </c>
      <c r="B200" s="4" t="str">
        <f>IFERROR(__xludf.DUMMYFUNCTION("""COMPUTED_VALUE"""),"Công nghệ thông tin")</f>
        <v>Công nghệ thông tin</v>
      </c>
      <c r="C200" s="4" t="str">
        <f>IFERROR(__xludf.DUMMYFUNCTION("""COMPUTED_VALUE"""),"VietInstrumentTwin: Xây dựng và khai thác bản sao số nhạc cụ truyền thống Việt Nam kết hợp AI và thực tế tăng cường trong bảo tồn văn hóa")</f>
        <v>VietInstrumentTwin: Xây dựng và khai thác bản sao số nhạc cụ truyền thống Việt Nam kết hợp AI và thực tế tăng cường trong bảo tồn văn hóa</v>
      </c>
      <c r="D200" s="4" t="str">
        <f>IFERROR(__xludf.DUMMYFUNCTION("""COMPUTED_VALUE"""),"Nguyễn Thanh Hiếu; Thái Phú An; Nguyễn Thanh Xuân; Lê Thị Yến Thy; Nguyễn Phúc Kỳ")</f>
        <v>Nguyễn Thanh Hiếu; Thái Phú An; Nguyễn Thanh Xuân; Lê Thị Yến Thy; Nguyễn Phúc Kỳ</v>
      </c>
      <c r="E200" s="4" t="str">
        <f>IFERROR(__xludf.DUMMYFUNCTION("""COMPUTED_VALUE"""),"Đại học Cần Thơ")</f>
        <v>Đại học Cần Thơ</v>
      </c>
      <c r="F200" s="4" t="str">
        <f>IFERROR(__xludf.DUMMYFUNCTION("""COMPUTED_VALUE"""),"CNTT2026-199.png")</f>
        <v>CNTT2026-199.png</v>
      </c>
    </row>
    <row r="201">
      <c r="A201" s="4" t="str">
        <f>IFERROR(__xludf.DUMMYFUNCTION("""COMPUTED_VALUE"""),"CNTT2026-200")</f>
        <v>CNTT2026-200</v>
      </c>
      <c r="B201" s="4" t="str">
        <f>IFERROR(__xludf.DUMMYFUNCTION("""COMPUTED_VALUE"""),"Công nghệ thông tin")</f>
        <v>Công nghệ thông tin</v>
      </c>
      <c r="C201" s="4" t="str">
        <f>IFERROR(__xludf.DUMMYFUNCTION("""COMPUTED_VALUE"""),"IRISHEALTH: Hệ thống AI hỗ trợ sàng lọc bệnh lý phổi từ hình ảnh mống mắt")</f>
        <v>IRISHEALTH: Hệ thống AI hỗ trợ sàng lọc bệnh lý phổi từ hình ảnh mống mắt</v>
      </c>
      <c r="D201" s="4" t="str">
        <f>IFERROR(__xludf.DUMMYFUNCTION("""COMPUTED_VALUE"""),"Nguyễn Đoàn Công Tiến; Lê Quốc Bảo; Trần Phi Hùng")</f>
        <v>Nguyễn Đoàn Công Tiến; Lê Quốc Bảo; Trần Phi Hùng</v>
      </c>
      <c r="E201" s="4" t="str">
        <f>IFERROR(__xludf.DUMMYFUNCTION("""COMPUTED_VALUE"""),"Học viện Công nghệ Bưu chính Viễn thông")</f>
        <v>Học viện Công nghệ Bưu chính Viễn thông</v>
      </c>
      <c r="F201" s="4" t="str">
        <f>IFERROR(__xludf.DUMMYFUNCTION("""COMPUTED_VALUE"""),"CNTT2026-200.png")</f>
        <v>CNTT2026-200.png</v>
      </c>
    </row>
    <row r="202">
      <c r="A202" s="4" t="str">
        <f>IFERROR(__xludf.DUMMYFUNCTION("""COMPUTED_VALUE"""),"CNTT2026-201")</f>
        <v>CNTT2026-201</v>
      </c>
      <c r="B202" s="4" t="str">
        <f>IFERROR(__xludf.DUMMYFUNCTION("""COMPUTED_VALUE"""),"Công nghệ thông tin")</f>
        <v>Công nghệ thông tin</v>
      </c>
      <c r="C202" s="4" t="str">
        <f>IFERROR(__xludf.DUMMYFUNCTION("""COMPUTED_VALUE"""),"Độ ổn định của các mô hình ngôn ngữ lớn (Large Language Models - LLMs) khi thay đổi cách diễn đạt: Nghiên cứu trên bộ câu hỏi thi môn học Kinh doanh và Công nghệ (Business and Technology) trong bối cảnh đào tạo chuyên ngành kế toán tích hợp ACCA")</f>
        <v>Độ ổn định của các mô hình ngôn ngữ lớn (Large Language Models - LLMs) khi thay đổi cách diễn đạt: Nghiên cứu trên bộ câu hỏi thi môn học Kinh doanh và Công nghệ (Business and Technology) trong bối cảnh đào tạo chuyên ngành kế toán tích hợp ACCA</v>
      </c>
      <c r="D202" s="4" t="str">
        <f>IFERROR(__xludf.DUMMYFUNCTION("""COMPUTED_VALUE"""),"Nguyễn Thế Hùng; Phạm Thị Hương; Lê Thị Minh Ngọc; Đinh Đức Việt Anh; Lê Thị Hồng Vân")</f>
        <v>Nguyễn Thế Hùng; Phạm Thị Hương; Lê Thị Minh Ngọc; Đinh Đức Việt Anh; Lê Thị Hồng Vân</v>
      </c>
      <c r="E202" s="4" t="str">
        <f>IFERROR(__xludf.DUMMYFUNCTION("""COMPUTED_VALUE"""),"Học viện Công nghệ Bưu chính Viễn thông")</f>
        <v>Học viện Công nghệ Bưu chính Viễn thông</v>
      </c>
      <c r="F202" s="4" t="str">
        <f>IFERROR(__xludf.DUMMYFUNCTION("""COMPUTED_VALUE"""),"CNTT2026-201.png")</f>
        <v>CNTT2026-201.png</v>
      </c>
    </row>
    <row r="203">
      <c r="A203" s="4" t="str">
        <f>IFERROR(__xludf.DUMMYFUNCTION("""COMPUTED_VALUE"""),"CNTT2026-202")</f>
        <v>CNTT2026-202</v>
      </c>
      <c r="B203" s="4" t="str">
        <f>IFERROR(__xludf.DUMMYFUNCTION("""COMPUTED_VALUE"""),"Công nghệ thông tin")</f>
        <v>Công nghệ thông tin</v>
      </c>
      <c r="C203" s="4" t="str">
        <f>IFERROR(__xludf.DUMMYFUNCTION("""COMPUTED_VALUE"""),"DelegateGuard: PURPOSE-BOUND CAPABILITIES FOR DELEGATED LLM AGENT WORKFLOWS")</f>
        <v>DelegateGuard: PURPOSE-BOUND CAPABILITIES FOR DELEGATED LLM AGENT WORKFLOWS</v>
      </c>
      <c r="D203" s="4" t="str">
        <f>IFERROR(__xludf.DUMMYFUNCTION("""COMPUTED_VALUE"""),"Võ Hữu Khang; Võ Xuân Hạ")</f>
        <v>Võ Hữu Khang; Võ Xuân Hạ</v>
      </c>
      <c r="E203" s="4" t="str">
        <f>IFERROR(__xludf.DUMMYFUNCTION("""COMPUTED_VALUE"""),"Trường Đại học Bách Khoa, ĐHQG-HCM")</f>
        <v>Trường Đại học Bách Khoa, ĐHQG-HCM</v>
      </c>
      <c r="F203" s="4" t="str">
        <f>IFERROR(__xludf.DUMMYFUNCTION("""COMPUTED_VALUE"""),"CNTT2026-202.png")</f>
        <v>CNTT2026-202.png</v>
      </c>
    </row>
    <row r="204">
      <c r="A204" s="4" t="str">
        <f>IFERROR(__xludf.DUMMYFUNCTION("""COMPUTED_VALUE"""),"CNTT2026-203")</f>
        <v>CNTT2026-203</v>
      </c>
      <c r="B204" s="4" t="str">
        <f>IFERROR(__xludf.DUMMYFUNCTION("""COMPUTED_VALUE"""),"Công nghệ thông tin")</f>
        <v>Công nghệ thông tin</v>
      </c>
      <c r="C204" s="4" t="str">
        <f>IFERROR(__xludf.DUMMYFUNCTION("""COMPUTED_VALUE"""),"HỆ THỐNG GIÁM SÁT PHÒNG THI THỜI GIAN THỰC BẰNG THỊ GIÁC MÁY TÍNH DỰA TRÊN YOLOv8 VÀ MediaPipe ĐỂ PHÁT HIỆN HÀNH VI CÓ TIỀM NĂNG GIAN LẬN")</f>
        <v>HỆ THỐNG GIÁM SÁT PHÒNG THI THỜI GIAN THỰC BẰNG THỊ GIÁC MÁY TÍNH DỰA TRÊN YOLOv8 VÀ MediaPipe ĐỂ PHÁT HIỆN HÀNH VI CÓ TIỀM NĂNG GIAN LẬN</v>
      </c>
      <c r="D204" s="4" t="str">
        <f>IFERROR(__xludf.DUMMYFUNCTION("""COMPUTED_VALUE"""),"Nguyễn Trần Quang; Trần Minh Khôi; Trần Chí Nhân; Phạm Minh Phú; Dương Nghiệp Phát")</f>
        <v>Nguyễn Trần Quang; Trần Minh Khôi; Trần Chí Nhân; Phạm Minh Phú; Dương Nghiệp Phát</v>
      </c>
      <c r="E204" s="4" t="str">
        <f>IFERROR(__xludf.DUMMYFUNCTION("""COMPUTED_VALUE"""),"Trường Đại học Bách Khoa, ĐHQG-HCM")</f>
        <v>Trường Đại học Bách Khoa, ĐHQG-HCM</v>
      </c>
      <c r="F204" s="4" t="str">
        <f>IFERROR(__xludf.DUMMYFUNCTION("""COMPUTED_VALUE"""),"CNTT2026-203.png")</f>
        <v>CNTT2026-203.png</v>
      </c>
    </row>
    <row r="205">
      <c r="A205" s="4" t="str">
        <f>IFERROR(__xludf.DUMMYFUNCTION("""COMPUTED_VALUE"""),"CNTT2026-204")</f>
        <v>CNTT2026-204</v>
      </c>
      <c r="B205" s="4" t="str">
        <f>IFERROR(__xludf.DUMMYFUNCTION("""COMPUTED_VALUE"""),"Công nghệ thông tin")</f>
        <v>Công nghệ thông tin</v>
      </c>
      <c r="C205" s="4" t="str">
        <f>IFERROR(__xludf.DUMMYFUNCTION("""COMPUTED_VALUE"""),"ỨNG DỤNG MÔ HÌNH HỌC SÂU TRONG ĐỊNH VỊ UWB VÀ NHẬN DIỆN HÀNH VI TRUY CẬP CHO HỆ THỐNG DIGITAL KEY Ô TÔ")</f>
        <v>ỨNG DỤNG MÔ HÌNH HỌC SÂU TRONG ĐỊNH VỊ UWB VÀ NHẬN DIỆN HÀNH VI TRUY CẬP CHO HỆ THỐNG DIGITAL KEY Ô TÔ</v>
      </c>
      <c r="D205" s="4" t="str">
        <f>IFERROR(__xludf.DUMMYFUNCTION("""COMPUTED_VALUE"""),"Ngô Quang Tùng")</f>
        <v>Ngô Quang Tùng</v>
      </c>
      <c r="E205" s="4" t="str">
        <f>IFERROR(__xludf.DUMMYFUNCTION("""COMPUTED_VALUE"""),"Trường Đại học Bách Khoa, ĐHQG-HCM")</f>
        <v>Trường Đại học Bách Khoa, ĐHQG-HCM</v>
      </c>
      <c r="F205" s="4" t="str">
        <f>IFERROR(__xludf.DUMMYFUNCTION("""COMPUTED_VALUE"""),"CNTT2026-204.png")</f>
        <v>CNTT2026-204.png</v>
      </c>
    </row>
    <row r="206">
      <c r="A206" s="4" t="str">
        <f>IFERROR(__xludf.DUMMYFUNCTION("""COMPUTED_VALUE"""),"CNTT2026-205")</f>
        <v>CNTT2026-205</v>
      </c>
      <c r="B206" s="4" t="str">
        <f>IFERROR(__xludf.DUMMYFUNCTION("""COMPUTED_VALUE"""),"Công nghệ thông tin")</f>
        <v>Công nghệ thông tin</v>
      </c>
      <c r="C206" s="4" t="str">
        <f>IFERROR(__xludf.DUMMYFUNCTION("""COMPUTED_VALUE"""),"HỆ THỐNG HỌC MÁY VÀ PHÂN TÍCH ĐỊA KHÔNG GIAN ĐA NGUỒN CHO XẾP HẠNG ƯU TIÊN RÀ PHÁ BOM MÌN")</f>
        <v>HỆ THỐNG HỌC MÁY VÀ PHÂN TÍCH ĐỊA KHÔNG GIAN ĐA NGUỒN CHO XẾP HẠNG ƯU TIÊN RÀ PHÁ BOM MÌN</v>
      </c>
      <c r="D206" s="4" t="str">
        <f>IFERROR(__xludf.DUMMYFUNCTION("""COMPUTED_VALUE"""),"Nguyễn Thế Hoàng; Võ Hoàng Anh Kiệt; Lâm Minh Huy; Nguyễn Trọng Huy; Hồ Nguyễn Trung Hiếu")</f>
        <v>Nguyễn Thế Hoàng; Võ Hoàng Anh Kiệt; Lâm Minh Huy; Nguyễn Trọng Huy; Hồ Nguyễn Trung Hiếu</v>
      </c>
      <c r="E206" s="4" t="str">
        <f>IFERROR(__xludf.DUMMYFUNCTION("""COMPUTED_VALUE"""),"Trường Đại học Bách Khoa, ĐHQG-HCM")</f>
        <v>Trường Đại học Bách Khoa, ĐHQG-HCM</v>
      </c>
      <c r="F206" s="4" t="str">
        <f>IFERROR(__xludf.DUMMYFUNCTION("""COMPUTED_VALUE"""),"CNTT2026-205.png")</f>
        <v>CNTT2026-205.png</v>
      </c>
    </row>
    <row r="207">
      <c r="A207" s="4" t="str">
        <f>IFERROR(__xludf.DUMMYFUNCTION("""COMPUTED_VALUE"""),"CNTT2026-206")</f>
        <v>CNTT2026-206</v>
      </c>
      <c r="B207" s="4" t="str">
        <f>IFERROR(__xludf.DUMMYFUNCTION("""COMPUTED_VALUE"""),"Công nghệ thông tin")</f>
        <v>Công nghệ thông tin</v>
      </c>
      <c r="C207" s="4" t="str">
        <f>IFERROR(__xludf.DUMMYFUNCTION("""COMPUTED_VALUE"""),"NGHIÊN CỨU PHÁT TRIỂN HỆ THỐNG DEEP LEARNING VÀ PHÂN TÍCH ĐỊA KHÔNG GIAN ĐA NGUỒN TỪ ẢNH RADAR VỆ TINH SENTINEL-1 VÀ DỮ LIỆU AIS CHO GIÁM SÁT VÀ KIỂM TRA TÀU CÁ, PHỤC VỤ PHÒNG, CHỐNG KHAI THÁC IUU")</f>
        <v>NGHIÊN CỨU PHÁT TRIỂN HỆ THỐNG DEEP LEARNING VÀ PHÂN TÍCH ĐỊA KHÔNG GIAN ĐA NGUỒN TỪ ẢNH RADAR VỆ TINH SENTINEL-1 VÀ DỮ LIỆU AIS CHO GIÁM SÁT VÀ KIỂM TRA TÀU CÁ, PHỤC VỤ PHÒNG, CHỐNG KHAI THÁC IUU</v>
      </c>
      <c r="D207" s="4" t="str">
        <f>IFERROR(__xludf.DUMMYFUNCTION("""COMPUTED_VALUE"""),"Nguyễn Thế Hoàng; Lâm Minh Huy; Nguyễn Đỗ Thành Phúc")</f>
        <v>Nguyễn Thế Hoàng; Lâm Minh Huy; Nguyễn Đỗ Thành Phúc</v>
      </c>
      <c r="E207" s="4" t="str">
        <f>IFERROR(__xludf.DUMMYFUNCTION("""COMPUTED_VALUE"""),"Trường Đại học Bách Khoa, ĐHQG-HCM")</f>
        <v>Trường Đại học Bách Khoa, ĐHQG-HCM</v>
      </c>
      <c r="F207" s="4" t="str">
        <f>IFERROR(__xludf.DUMMYFUNCTION("""COMPUTED_VALUE"""),"CNTT2026-206.png")</f>
        <v>CNTT2026-206.png</v>
      </c>
    </row>
    <row r="208">
      <c r="A208" s="4" t="str">
        <f>IFERROR(__xludf.DUMMYFUNCTION("""COMPUTED_VALUE"""),"CNTT2026-207")</f>
        <v>CNTT2026-207</v>
      </c>
      <c r="B208" s="4" t="str">
        <f>IFERROR(__xludf.DUMMYFUNCTION("""COMPUTED_VALUE"""),"Công nghệ thông tin")</f>
        <v>Công nghệ thông tin</v>
      </c>
      <c r="C208" s="4" t="str">
        <f>IFERROR(__xludf.DUMMYFUNCTION("""COMPUTED_VALUE"""),"Nghiên cứu giải pháp tối ưu hóa quy hoạch hệ thống trạm sạc xe điện sử dụng kết hợp giữa thuật toán Marine Predators và Osprey Optimization")</f>
        <v>Nghiên cứu giải pháp tối ưu hóa quy hoạch hệ thống trạm sạc xe điện sử dụng kết hợp giữa thuật toán Marine Predators và Osprey Optimization</v>
      </c>
      <c r="D208" s="4" t="str">
        <f>IFERROR(__xludf.DUMMYFUNCTION("""COMPUTED_VALUE"""),"Trần Đinh Hải Nguyên; Phùng Thị Như Ý; Nguyễn Thị Mỹ Duyên")</f>
        <v>Trần Đinh Hải Nguyên; Phùng Thị Như Ý; Nguyễn Thị Mỹ Duyên</v>
      </c>
      <c r="E208" s="4" t="str">
        <f>IFERROR(__xludf.DUMMYFUNCTION("""COMPUTED_VALUE"""),"Trường Đại học Công Thương TP. Hồ Chí Minh")</f>
        <v>Trường Đại học Công Thương TP. Hồ Chí Minh</v>
      </c>
      <c r="F208" s="4" t="str">
        <f>IFERROR(__xludf.DUMMYFUNCTION("""COMPUTED_VALUE"""),"CNTT2026-207.png")</f>
        <v>CNTT2026-207.png</v>
      </c>
    </row>
    <row r="209">
      <c r="A209" s="4" t="str">
        <f>IFERROR(__xludf.DUMMYFUNCTION("""COMPUTED_VALUE"""),"CNTT2026-208")</f>
        <v>CNTT2026-208</v>
      </c>
      <c r="B209" s="4" t="str">
        <f>IFERROR(__xludf.DUMMYFUNCTION("""COMPUTED_VALUE"""),"Công nghệ thông tin")</f>
        <v>Công nghệ thông tin</v>
      </c>
      <c r="C209" s="4" t="str">
        <f>IFERROR(__xludf.DUMMYFUNCTION("""COMPUTED_VALUE"""),"Development of an anonymized data-sharing web platform based on K-Anonymity and L-Diversity, optimized by the APO-ARO hybrid algorithm")</f>
        <v>Development of an anonymized data-sharing web platform based on K-Anonymity and L-Diversity, optimized by the APO-ARO hybrid algorithm</v>
      </c>
      <c r="D209" s="4" t="str">
        <f>IFERROR(__xludf.DUMMYFUNCTION("""COMPUTED_VALUE"""),"Lê Hoàng Minh Nhật; Bạch Ngọc Vy; Phùng Thị Ly")</f>
        <v>Lê Hoàng Minh Nhật; Bạch Ngọc Vy; Phùng Thị Ly</v>
      </c>
      <c r="E209" s="4" t="str">
        <f>IFERROR(__xludf.DUMMYFUNCTION("""COMPUTED_VALUE"""),"Trường Đại học Công Thương TP. Hồ Chí Minh")</f>
        <v>Trường Đại học Công Thương TP. Hồ Chí Minh</v>
      </c>
      <c r="F209" s="4" t="str">
        <f>IFERROR(__xludf.DUMMYFUNCTION("""COMPUTED_VALUE"""),"CNTT2026-208.png")</f>
        <v>CNTT2026-208.png</v>
      </c>
    </row>
    <row r="210">
      <c r="A210" s="4" t="str">
        <f>IFERROR(__xludf.DUMMYFUNCTION("""COMPUTED_VALUE"""),"CNTT2026-209")</f>
        <v>CNTT2026-209</v>
      </c>
      <c r="B210" s="4" t="str">
        <f>IFERROR(__xludf.DUMMYFUNCTION("""COMPUTED_VALUE"""),"Công nghệ thông tin")</f>
        <v>Công nghệ thông tin</v>
      </c>
      <c r="C210" s="4" t="str">
        <f>IFERROR(__xludf.DUMMYFUNCTION("""COMPUTED_VALUE"""),"An intelligent sleep disorder diagnostic system based on a hybrid Cuckoo Catfish and Artificial Afterimage Algorithm")</f>
        <v>An intelligent sleep disorder diagnostic system based on a hybrid Cuckoo Catfish and Artificial Afterimage Algorithm</v>
      </c>
      <c r="D210" s="4" t="str">
        <f>IFERROR(__xludf.DUMMYFUNCTION("""COMPUTED_VALUE"""),"Hồ Nguyễn Linh Chi; Hứa Vĩnh Khang; Nguyễn Thị Ngọc")</f>
        <v>Hồ Nguyễn Linh Chi; Hứa Vĩnh Khang; Nguyễn Thị Ngọc</v>
      </c>
      <c r="E210" s="4" t="str">
        <f>IFERROR(__xludf.DUMMYFUNCTION("""COMPUTED_VALUE"""),"Trường Đại học Công Thương TP. Hồ Chí Minh")</f>
        <v>Trường Đại học Công Thương TP. Hồ Chí Minh</v>
      </c>
      <c r="F210" s="4" t="str">
        <f>IFERROR(__xludf.DUMMYFUNCTION("""COMPUTED_VALUE"""),"CNTT2026-209.png")</f>
        <v>CNTT2026-209.png</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86"/>
    <col customWidth="1" min="2" max="2" width="18.43"/>
    <col customWidth="1" min="3" max="3" width="173.0"/>
    <col customWidth="1" min="4" max="4" width="102.0"/>
    <col customWidth="1" min="5" max="5" width="74.57"/>
    <col customWidth="1" min="6" max="6" width="18.86"/>
  </cols>
  <sheetData>
    <row r="1">
      <c r="A1" s="1" t="s">
        <v>0</v>
      </c>
      <c r="B1" s="1" t="s">
        <v>1</v>
      </c>
      <c r="C1" s="1" t="s">
        <v>2</v>
      </c>
      <c r="D1" s="1" t="s">
        <v>3</v>
      </c>
      <c r="E1" s="1" t="s">
        <v>4</v>
      </c>
      <c r="F1" s="1" t="s">
        <v>5</v>
      </c>
    </row>
    <row r="2">
      <c r="A2" s="4" t="str">
        <f>IFERROR(__xludf.DUMMYFUNCTION("FILTER('Danh sach'!A2:F2184, 'Danh sach'!B2:B2184=""Kỹ thuật công nghệ"")"),"KTCN2026-001")</f>
        <v>KTCN2026-001</v>
      </c>
      <c r="B2" s="4" t="str">
        <f>IFERROR(__xludf.DUMMYFUNCTION("""COMPUTED_VALUE"""),"Kỹ thuật công nghệ")</f>
        <v>Kỹ thuật công nghệ</v>
      </c>
      <c r="C2" s="4" t="str">
        <f>IFERROR(__xludf.DUMMYFUNCTION("""COMPUTED_VALUE"""),"Nghiên cứu và phát triển mô hình robot di động bám quỹ đạo sử dụng thị giác máy tính để giám sát lộ trình")</f>
        <v>Nghiên cứu và phát triển mô hình robot di động bám quỹ đạo sử dụng thị giác máy tính để giám sát lộ trình</v>
      </c>
      <c r="D2" s="4" t="str">
        <f>IFERROR(__xludf.DUMMYFUNCTION("""COMPUTED_VALUE"""),"Cao Thành Luân; Huỳnh Quốc Huy; Nguyễn Hữu Khang")</f>
        <v>Cao Thành Luân; Huỳnh Quốc Huy; Nguyễn Hữu Khang</v>
      </c>
      <c r="E2" s="4" t="str">
        <f>IFERROR(__xludf.DUMMYFUNCTION("""COMPUTED_VALUE"""),"Trường Đại học Tôn Đức Thắng")</f>
        <v>Trường Đại học Tôn Đức Thắng</v>
      </c>
      <c r="F2" s="4" t="str">
        <f>IFERROR(__xludf.DUMMYFUNCTION("""COMPUTED_VALUE"""),"KTCN2026-001.png")</f>
        <v>KTCN2026-001.png</v>
      </c>
    </row>
    <row r="3">
      <c r="A3" s="4" t="str">
        <f>IFERROR(__xludf.DUMMYFUNCTION("""COMPUTED_VALUE"""),"KTCN2026-002")</f>
        <v>KTCN2026-002</v>
      </c>
      <c r="B3" s="4" t="str">
        <f>IFERROR(__xludf.DUMMYFUNCTION("""COMPUTED_VALUE"""),"Kỹ thuật công nghệ")</f>
        <v>Kỹ thuật công nghệ</v>
      </c>
      <c r="C3" s="4" t="str">
        <f>IFERROR(__xludf.DUMMYFUNCTION("""COMPUTED_VALUE"""),"Thiết kế, chế tạo cánh tay robot dạng người tương tác điều khiển bằng thị giác máy tính hoặc nhận diện giọng nói")</f>
        <v>Thiết kế, chế tạo cánh tay robot dạng người tương tác điều khiển bằng thị giác máy tính hoặc nhận diện giọng nói</v>
      </c>
      <c r="D3" s="4" t="str">
        <f>IFERROR(__xludf.DUMMYFUNCTION("""COMPUTED_VALUE"""),"Trần Hoàng Long; Vũ Đức Thành; Nguyễn Đình Hưng; Văn Hồng Ngọc; Tô Thế Đạt")</f>
        <v>Trần Hoàng Long; Vũ Đức Thành; Nguyễn Đình Hưng; Văn Hồng Ngọc; Tô Thế Đạt</v>
      </c>
      <c r="E3" s="4" t="str">
        <f>IFERROR(__xludf.DUMMYFUNCTION("""COMPUTED_VALUE"""),"Đại học Phenikaa")</f>
        <v>Đại học Phenikaa</v>
      </c>
      <c r="F3" s="4" t="str">
        <f>IFERROR(__xludf.DUMMYFUNCTION("""COMPUTED_VALUE"""),"KTCN2026-002.png")</f>
        <v>KTCN2026-002.png</v>
      </c>
    </row>
    <row r="4">
      <c r="A4" s="4" t="str">
        <f>IFERROR(__xludf.DUMMYFUNCTION("""COMPUTED_VALUE"""),"KTCN2026-003")</f>
        <v>KTCN2026-003</v>
      </c>
      <c r="B4" s="4" t="str">
        <f>IFERROR(__xludf.DUMMYFUNCTION("""COMPUTED_VALUE"""),"Kỹ thuật công nghệ")</f>
        <v>Kỹ thuật công nghệ</v>
      </c>
      <c r="C4" s="4" t="str">
        <f>IFERROR(__xludf.DUMMYFUNCTION("""COMPUTED_VALUE"""),"THIẾT KẾ VÀ CHẾ TẠO ACTUATOR VÒNG KÍN CHO HỆ ROBOT 4 CHÂN TỪ ĐỘNG CƠ BLDC (8318) NÔNG NGHIỆP")</f>
        <v>THIẾT KẾ VÀ CHẾ TẠO ACTUATOR VÒNG KÍN CHO HỆ ROBOT 4 CHÂN TỪ ĐỘNG CƠ BLDC (8318) NÔNG NGHIỆP</v>
      </c>
      <c r="D4" s="4" t="str">
        <f>IFERROR(__xludf.DUMMYFUNCTION("""COMPUTED_VALUE"""),"Nguyễn Xuân Kỳ; Nguyễn Trung Nghĩa")</f>
        <v>Nguyễn Xuân Kỳ; Nguyễn Trung Nghĩa</v>
      </c>
      <c r="E4" s="4" t="str">
        <f>IFERROR(__xludf.DUMMYFUNCTION("""COMPUTED_VALUE"""),"Trường Đại học Nguyễn Tất Thành")</f>
        <v>Trường Đại học Nguyễn Tất Thành</v>
      </c>
      <c r="F4" s="4" t="str">
        <f>IFERROR(__xludf.DUMMYFUNCTION("""COMPUTED_VALUE"""),"KTCN2026-003.png")</f>
        <v>KTCN2026-003.png</v>
      </c>
    </row>
    <row r="5">
      <c r="A5" s="4" t="str">
        <f>IFERROR(__xludf.DUMMYFUNCTION("""COMPUTED_VALUE"""),"KTCN2026-004")</f>
        <v>KTCN2026-004</v>
      </c>
      <c r="B5" s="4" t="str">
        <f>IFERROR(__xludf.DUMMYFUNCTION("""COMPUTED_VALUE"""),"Kỹ thuật công nghệ")</f>
        <v>Kỹ thuật công nghệ</v>
      </c>
      <c r="C5" s="4" t="str">
        <f>IFERROR(__xludf.DUMMYFUNCTION("""COMPUTED_VALUE"""),"THIẾT KẾ VÀ CHẾ TẠO ROBOT QUADRUPED ỨNG DỤNG TRONG CỨU HỘ CỨU NẠN")</f>
        <v>THIẾT KẾ VÀ CHẾ TẠO ROBOT QUADRUPED ỨNG DỤNG TRONG CỨU HỘ CỨU NẠN</v>
      </c>
      <c r="D5" s="4" t="str">
        <f>IFERROR(__xludf.DUMMYFUNCTION("""COMPUTED_VALUE"""),"Nguyễn Xuân Kỳ; Nguyễn Trung Nghĩa")</f>
        <v>Nguyễn Xuân Kỳ; Nguyễn Trung Nghĩa</v>
      </c>
      <c r="E5" s="4" t="str">
        <f>IFERROR(__xludf.DUMMYFUNCTION("""COMPUTED_VALUE"""),"Trường Đại học Nguyễn Tất Thành")</f>
        <v>Trường Đại học Nguyễn Tất Thành</v>
      </c>
      <c r="F5" s="4" t="str">
        <f>IFERROR(__xludf.DUMMYFUNCTION("""COMPUTED_VALUE"""),"KTCN2026-004.png")</f>
        <v>KTCN2026-004.png</v>
      </c>
    </row>
    <row r="6">
      <c r="A6" s="4" t="str">
        <f>IFERROR(__xludf.DUMMYFUNCTION("""COMPUTED_VALUE"""),"KTCN2026-005")</f>
        <v>KTCN2026-005</v>
      </c>
      <c r="B6" s="4" t="str">
        <f>IFERROR(__xludf.DUMMYFUNCTION("""COMPUTED_VALUE"""),"Kỹ thuật công nghệ")</f>
        <v>Kỹ thuật công nghệ</v>
      </c>
      <c r="C6" s="4" t="str">
        <f>IFERROR(__xludf.DUMMYFUNCTION("""COMPUTED_VALUE"""),"THIẾT KẾ HỆ THỐNG PHÂN LOẠI PHÔI TỰ ĐỘNG SỬ DỤNG ROBOT")</f>
        <v>THIẾT KẾ HỆ THỐNG PHÂN LOẠI PHÔI TỰ ĐỘNG SỬ DỤNG ROBOT</v>
      </c>
      <c r="D6" s="4" t="str">
        <f>IFERROR(__xludf.DUMMYFUNCTION("""COMPUTED_VALUE"""),"Nguyễn Quốc An; Trương Minh Vũ; Huỳnh Trí Hiếu")</f>
        <v>Nguyễn Quốc An; Trương Minh Vũ; Huỳnh Trí Hiếu</v>
      </c>
      <c r="E6" s="4" t="str">
        <f>IFERROR(__xludf.DUMMYFUNCTION("""COMPUTED_VALUE"""),"Trường Đại học Nguyễn Tất Thành")</f>
        <v>Trường Đại học Nguyễn Tất Thành</v>
      </c>
      <c r="F6" s="4" t="str">
        <f>IFERROR(__xludf.DUMMYFUNCTION("""COMPUTED_VALUE"""),"KTCN2026-005.png")</f>
        <v>KTCN2026-005.png</v>
      </c>
    </row>
    <row r="7">
      <c r="A7" s="4" t="str">
        <f>IFERROR(__xludf.DUMMYFUNCTION("""COMPUTED_VALUE"""),"KTCN2026-006")</f>
        <v>KTCN2026-006</v>
      </c>
      <c r="B7" s="4" t="str">
        <f>IFERROR(__xludf.DUMMYFUNCTION("""COMPUTED_VALUE"""),"Kỹ thuật công nghệ")</f>
        <v>Kỹ thuật công nghệ</v>
      </c>
      <c r="C7" s="4" t="str">
        <f>IFERROR(__xludf.DUMMYFUNCTION("""COMPUTED_VALUE"""),"Nghiên cứu và xây dựng hệ thống phát hiện sớm bệnh lá trên cây dưa lưới bằng học sâu phục vụ canh tác nhà màng")</f>
        <v>Nghiên cứu và xây dựng hệ thống phát hiện sớm bệnh lá trên cây dưa lưới bằng học sâu phục vụ canh tác nhà màng</v>
      </c>
      <c r="D7" s="4" t="str">
        <f>IFERROR(__xludf.DUMMYFUNCTION("""COMPUTED_VALUE"""),"Phạm Hồng Vinh; Trần Huỳnh Kha; Cao Văn Quý; Nguyễn Thanh Vũ")</f>
        <v>Phạm Hồng Vinh; Trần Huỳnh Kha; Cao Văn Quý; Nguyễn Thanh Vũ</v>
      </c>
      <c r="E7" s="4" t="str">
        <f>IFERROR(__xludf.DUMMYFUNCTION("""COMPUTED_VALUE"""),"Trường Đại học Nguyễn Tất Thành")</f>
        <v>Trường Đại học Nguyễn Tất Thành</v>
      </c>
      <c r="F7" s="4" t="str">
        <f>IFERROR(__xludf.DUMMYFUNCTION("""COMPUTED_VALUE"""),"KTCN2026-006.png")</f>
        <v>KTCN2026-006.png</v>
      </c>
    </row>
    <row r="8">
      <c r="A8" s="4" t="str">
        <f>IFERROR(__xludf.DUMMYFUNCTION("""COMPUTED_VALUE"""),"KTCN2026-007")</f>
        <v>KTCN2026-007</v>
      </c>
      <c r="B8" s="4" t="str">
        <f>IFERROR(__xludf.DUMMYFUNCTION("""COMPUTED_VALUE"""),"Kỹ thuật công nghệ")</f>
        <v>Kỹ thuật công nghệ</v>
      </c>
      <c r="C8" s="4" t="str">
        <f>IFERROR(__xludf.DUMMYFUNCTION("""COMPUTED_VALUE"""),"MÔ HÌNH DRONE CHỮA CHÁY DÙNG CAMERA KẾT HỢP MÔ HÌNH HỌC SÂU")</f>
        <v>MÔ HÌNH DRONE CHỮA CHÁY DÙNG CAMERA KẾT HỢP MÔ HÌNH HỌC SÂU</v>
      </c>
      <c r="D8" s="4" t="str">
        <f>IFERROR(__xludf.DUMMYFUNCTION("""COMPUTED_VALUE"""),"Phan Trung Tiển; Nguyễn Minh Khôi; Hồ Đăng Khoa; Nguyễn Tuấn Khang; Huỳnh Thành Lộc")</f>
        <v>Phan Trung Tiển; Nguyễn Minh Khôi; Hồ Đăng Khoa; Nguyễn Tuấn Khang; Huỳnh Thành Lộc</v>
      </c>
      <c r="E8" s="4" t="str">
        <f>IFERROR(__xludf.DUMMYFUNCTION("""COMPUTED_VALUE"""),"Trường Đại học Công nghiệp TP. Hồ Chí Minh")</f>
        <v>Trường Đại học Công nghiệp TP. Hồ Chí Minh</v>
      </c>
      <c r="F8" s="4" t="str">
        <f>IFERROR(__xludf.DUMMYFUNCTION("""COMPUTED_VALUE"""),"KTCN2026-007.png")</f>
        <v>KTCN2026-007.png</v>
      </c>
    </row>
    <row r="9">
      <c r="A9" s="4" t="str">
        <f>IFERROR(__xludf.DUMMYFUNCTION("""COMPUTED_VALUE"""),"KTCN2026-008")</f>
        <v>KTCN2026-008</v>
      </c>
      <c r="B9" s="4" t="str">
        <f>IFERROR(__xludf.DUMMYFUNCTION("""COMPUTED_VALUE"""),"Kỹ thuật công nghệ")</f>
        <v>Kỹ thuật công nghệ</v>
      </c>
      <c r="C9" s="4" t="str">
        <f>IFERROR(__xludf.DUMMYFUNCTION("""COMPUTED_VALUE"""),"Tính toán, thiết kế và chế tạo máy đúc khuôn quay có gia nhiệt")</f>
        <v>Tính toán, thiết kế và chế tạo máy đúc khuôn quay có gia nhiệt</v>
      </c>
      <c r="D9" s="4" t="str">
        <f>IFERROR(__xludf.DUMMYFUNCTION("""COMPUTED_VALUE"""),"Đinh Văn Chiến; Lại Hợp Đạt; Lê Trường Đạt; Trần Thành Tiến Đạt; Đỗ Quốc Dũng")</f>
        <v>Đinh Văn Chiến; Lại Hợp Đạt; Lê Trường Đạt; Trần Thành Tiến Đạt; Đỗ Quốc Dũng</v>
      </c>
      <c r="E9" s="4" t="str">
        <f>IFERROR(__xludf.DUMMYFUNCTION("""COMPUTED_VALUE"""),"Trường Đại học Công nghiệp TP. Hồ Chí Minh")</f>
        <v>Trường Đại học Công nghiệp TP. Hồ Chí Minh</v>
      </c>
      <c r="F9" s="4" t="str">
        <f>IFERROR(__xludf.DUMMYFUNCTION("""COMPUTED_VALUE"""),"KTCN2026-008.png")</f>
        <v>KTCN2026-008.png</v>
      </c>
    </row>
    <row r="10">
      <c r="A10" s="4" t="str">
        <f>IFERROR(__xludf.DUMMYFUNCTION("""COMPUTED_VALUE"""),"KTCN2026-009")</f>
        <v>KTCN2026-009</v>
      </c>
      <c r="B10" s="4" t="str">
        <f>IFERROR(__xludf.DUMMYFUNCTION("""COMPUTED_VALUE"""),"Kỹ thuật công nghệ")</f>
        <v>Kỹ thuật công nghệ</v>
      </c>
      <c r="C10" s="4" t="str">
        <f>IFERROR(__xludf.DUMMYFUNCTION("""COMPUTED_VALUE"""),"Tính toán, thiết kế và chế tạo Cơ cấu Tiện lục giác.")</f>
        <v>Tính toán, thiết kế và chế tạo Cơ cấu Tiện lục giác.</v>
      </c>
      <c r="D10" s="4" t="str">
        <f>IFERROR(__xludf.DUMMYFUNCTION("""COMPUTED_VALUE"""),"Trần Ngọc Đầy; Lộ Ngọc Hùng; Nguyễn Thái Dương; Nguyễn Lê Khắc Đạt; Nguyễn Thành Đạt")</f>
        <v>Trần Ngọc Đầy; Lộ Ngọc Hùng; Nguyễn Thái Dương; Nguyễn Lê Khắc Đạt; Nguyễn Thành Đạt</v>
      </c>
      <c r="E10" s="4" t="str">
        <f>IFERROR(__xludf.DUMMYFUNCTION("""COMPUTED_VALUE"""),"Trường Đại học Công nghiệp TP. Hồ Chí Minh")</f>
        <v>Trường Đại học Công nghiệp TP. Hồ Chí Minh</v>
      </c>
      <c r="F10" s="4" t="str">
        <f>IFERROR(__xludf.DUMMYFUNCTION("""COMPUTED_VALUE"""),"KTCN2026-009.png")</f>
        <v>KTCN2026-009.png</v>
      </c>
    </row>
    <row r="11">
      <c r="A11" s="4" t="str">
        <f>IFERROR(__xludf.DUMMYFUNCTION("""COMPUTED_VALUE"""),"KTCN2026-010")</f>
        <v>KTCN2026-010</v>
      </c>
      <c r="B11" s="4" t="str">
        <f>IFERROR(__xludf.DUMMYFUNCTION("""COMPUTED_VALUE"""),"Kỹ thuật công nghệ")</f>
        <v>Kỹ thuật công nghệ</v>
      </c>
      <c r="C11" s="4" t="str">
        <f>IFERROR(__xludf.DUMMYFUNCTION("""COMPUTED_VALUE"""),"NGHIÊN CỨU, TÍNH TOÁN, THIẾT KẾ VÀ CHẾ TẠO MÁY SẤY CHUỐI QUY MÔ NHỎ SỬ DỤNG BỨC XẠ HALOGEN KẾT HỢP ĐỐI LƯU CƯỠNG BỨC")</f>
        <v>NGHIÊN CỨU, TÍNH TOÁN, THIẾT KẾ VÀ CHẾ TẠO MÁY SẤY CHUỐI QUY MÔ NHỎ SỬ DỤNG BỨC XẠ HALOGEN KẾT HỢP ĐỐI LƯU CƯỠNG BỨC</v>
      </c>
      <c r="D11" s="4" t="str">
        <f>IFERROR(__xludf.DUMMYFUNCTION("""COMPUTED_VALUE"""),"Lê Phùng Hưng; Trần Giang Nam; Vũ Minh Nhật; Nguyễn Thanh Lộc; Trần Chiêu Phát")</f>
        <v>Lê Phùng Hưng; Trần Giang Nam; Vũ Minh Nhật; Nguyễn Thanh Lộc; Trần Chiêu Phát</v>
      </c>
      <c r="E11" s="4" t="str">
        <f>IFERROR(__xludf.DUMMYFUNCTION("""COMPUTED_VALUE"""),"Trường Đại học Công nghiệp TP. Hồ Chí Minh")</f>
        <v>Trường Đại học Công nghiệp TP. Hồ Chí Minh</v>
      </c>
      <c r="F11" s="4" t="str">
        <f>IFERROR(__xludf.DUMMYFUNCTION("""COMPUTED_VALUE"""),"KTCN2026-010.png")</f>
        <v>KTCN2026-010.png</v>
      </c>
    </row>
    <row r="12">
      <c r="A12" s="4" t="str">
        <f>IFERROR(__xludf.DUMMYFUNCTION("""COMPUTED_VALUE"""),"KTCN2026-011")</f>
        <v>KTCN2026-011</v>
      </c>
      <c r="B12" s="4" t="str">
        <f>IFERROR(__xludf.DUMMYFUNCTION("""COMPUTED_VALUE"""),"Kỹ thuật công nghệ")</f>
        <v>Kỹ thuật công nghệ</v>
      </c>
      <c r="C12" s="4" t="str">
        <f>IFERROR(__xludf.DUMMYFUNCTION("""COMPUTED_VALUE"""),"PHÁT TRIỂN XE TỰ HÀNH - AMR 4-SWERVE TÍCH HỢP ROBOT CỘNG TÁC CHO TÁI HIỆN LỊCH SỬ, GIÁO DỤC TƯƠNG TÁC VÀ ỨNG DỤNG ĐA TÁC VỤ")</f>
        <v>PHÁT TRIỂN XE TỰ HÀNH - AMR 4-SWERVE TÍCH HỢP ROBOT CỘNG TÁC CHO TÁI HIỆN LỊCH SỬ, GIÁO DỤC TƯƠNG TÁC VÀ ỨNG DỤNG ĐA TÁC VỤ</v>
      </c>
      <c r="D12" s="4" t="str">
        <f>IFERROR(__xludf.DUMMYFUNCTION("""COMPUTED_VALUE"""),"Nguyễn Quang Diệu; Nguyễn Minh Huy; Đào Huy Công; Phan Chí Nghị")</f>
        <v>Nguyễn Quang Diệu; Nguyễn Minh Huy; Đào Huy Công; Phan Chí Nghị</v>
      </c>
      <c r="E12" s="4" t="str">
        <f>IFERROR(__xludf.DUMMYFUNCTION("""COMPUTED_VALUE"""),"Trường Đại học Công nghiệp TP. Hồ Chí Minh")</f>
        <v>Trường Đại học Công nghiệp TP. Hồ Chí Minh</v>
      </c>
      <c r="F12" s="4" t="str">
        <f>IFERROR(__xludf.DUMMYFUNCTION("""COMPUTED_VALUE"""),"KTCN2026-011.png")</f>
        <v>KTCN2026-011.png</v>
      </c>
    </row>
    <row r="13">
      <c r="A13" s="4" t="str">
        <f>IFERROR(__xludf.DUMMYFUNCTION("""COMPUTED_VALUE"""),"KTCN2026-012")</f>
        <v>KTCN2026-012</v>
      </c>
      <c r="B13" s="4" t="str">
        <f>IFERROR(__xludf.DUMMYFUNCTION("""COMPUTED_VALUE"""),"Kỹ thuật công nghệ")</f>
        <v>Kỹ thuật công nghệ</v>
      </c>
      <c r="C13" s="4" t="str">
        <f>IFERROR(__xludf.DUMMYFUNCTION("""COMPUTED_VALUE"""),"Thiết kế và phát triển hệ thống Drone kết hợp học sâu phục vụ khảo sát và phát hiện rác thải trái phép.")</f>
        <v>Thiết kế và phát triển hệ thống Drone kết hợp học sâu phục vụ khảo sát và phát hiện rác thải trái phép.</v>
      </c>
      <c r="D13" s="4" t="str">
        <f>IFERROR(__xludf.DUMMYFUNCTION("""COMPUTED_VALUE"""),"Nguyễn Hoài Vũ; Bùi Tiến Minh; Nguyễn Đức Quyền; Dương Tiến Toàn")</f>
        <v>Nguyễn Hoài Vũ; Bùi Tiến Minh; Nguyễn Đức Quyền; Dương Tiến Toàn</v>
      </c>
      <c r="E13" s="4" t="str">
        <f>IFERROR(__xludf.DUMMYFUNCTION("""COMPUTED_VALUE"""),"Trường Đại học Công nghiệp TP. Hồ Chí Minh")</f>
        <v>Trường Đại học Công nghiệp TP. Hồ Chí Minh</v>
      </c>
      <c r="F13" s="4" t="str">
        <f>IFERROR(__xludf.DUMMYFUNCTION("""COMPUTED_VALUE"""),"KTCN2026-012.png")</f>
        <v>KTCN2026-012.png</v>
      </c>
    </row>
    <row r="14">
      <c r="A14" s="4" t="str">
        <f>IFERROR(__xludf.DUMMYFUNCTION("""COMPUTED_VALUE"""),"KTCN2026-013")</f>
        <v>KTCN2026-013</v>
      </c>
      <c r="B14" s="4" t="str">
        <f>IFERROR(__xludf.DUMMYFUNCTION("""COMPUTED_VALUE"""),"Kỹ thuật công nghệ")</f>
        <v>Kỹ thuật công nghệ</v>
      </c>
      <c r="C14" s="4" t="str">
        <f>IFERROR(__xludf.DUMMYFUNCTION("""COMPUTED_VALUE"""),"Hệ thống tự động điều khiển UAV sử dụng thị giác máy tính cho nhiệm vụ cứu hộ")</f>
        <v>Hệ thống tự động điều khiển UAV sử dụng thị giác máy tính cho nhiệm vụ cứu hộ</v>
      </c>
      <c r="D14" s="4" t="str">
        <f>IFERROR(__xludf.DUMMYFUNCTION("""COMPUTED_VALUE"""),"Nguyễn Đức Trung; Lê Trí Đức")</f>
        <v>Nguyễn Đức Trung; Lê Trí Đức</v>
      </c>
      <c r="E14" s="4" t="str">
        <f>IFERROR(__xludf.DUMMYFUNCTION("""COMPUTED_VALUE"""),"Trường Quốc tế, ĐHQG Hà Nội")</f>
        <v>Trường Quốc tế, ĐHQG Hà Nội</v>
      </c>
      <c r="F14" s="4" t="str">
        <f>IFERROR(__xludf.DUMMYFUNCTION("""COMPUTED_VALUE"""),"KTCN2026-013.png")</f>
        <v>KTCN2026-013.png</v>
      </c>
    </row>
    <row r="15">
      <c r="A15" s="4" t="str">
        <f>IFERROR(__xludf.DUMMYFUNCTION("""COMPUTED_VALUE"""),"KTCN2026-014")</f>
        <v>KTCN2026-014</v>
      </c>
      <c r="B15" s="4" t="str">
        <f>IFERROR(__xludf.DUMMYFUNCTION("""COMPUTED_VALUE"""),"Kỹ thuật công nghệ")</f>
        <v>Kỹ thuật công nghệ</v>
      </c>
      <c r="C15" s="4" t="str">
        <f>IFERROR(__xludf.DUMMYFUNCTION("""COMPUTED_VALUE"""),"Thiết kế, chế tạo thiết bị đếm thuốc tự động (dạng viên) ứng dụng thị giác máy tính")</f>
        <v>Thiết kế, chế tạo thiết bị đếm thuốc tự động (dạng viên) ứng dụng thị giác máy tính</v>
      </c>
      <c r="D15" s="4" t="str">
        <f>IFERROR(__xludf.DUMMYFUNCTION("""COMPUTED_VALUE"""),"Nguyễn Huỳnh Quốc Văn; Nguyễn Khánh Vinh")</f>
        <v>Nguyễn Huỳnh Quốc Văn; Nguyễn Khánh Vinh</v>
      </c>
      <c r="E15" s="4" t="str">
        <f>IFERROR(__xludf.DUMMYFUNCTION("""COMPUTED_VALUE"""),"Trường Đại học Văn Lang")</f>
        <v>Trường Đại học Văn Lang</v>
      </c>
      <c r="F15" s="4" t="str">
        <f>IFERROR(__xludf.DUMMYFUNCTION("""COMPUTED_VALUE"""),"KTCN2026-014.png")</f>
        <v>KTCN2026-014.png</v>
      </c>
    </row>
    <row r="16">
      <c r="A16" s="4" t="str">
        <f>IFERROR(__xludf.DUMMYFUNCTION("""COMPUTED_VALUE"""),"KTCN2026-015")</f>
        <v>KTCN2026-015</v>
      </c>
      <c r="B16" s="4" t="str">
        <f>IFERROR(__xludf.DUMMYFUNCTION("""COMPUTED_VALUE"""),"Kỹ thuật công nghệ")</f>
        <v>Kỹ thuật công nghệ</v>
      </c>
      <c r="C16" s="4" t="str">
        <f>IFERROR(__xludf.DUMMYFUNCTION("""COMPUTED_VALUE"""),"Thiết kế và chế tạo máy mài dao tiện")</f>
        <v>Thiết kế và chế tạo máy mài dao tiện</v>
      </c>
      <c r="D16" s="4" t="str">
        <f>IFERROR(__xludf.DUMMYFUNCTION("""COMPUTED_VALUE"""),"Nguyền Minh Tiến; Trần Quốc Thắng")</f>
        <v>Nguyền Minh Tiến; Trần Quốc Thắng</v>
      </c>
      <c r="E16" s="4" t="str">
        <f>IFERROR(__xludf.DUMMYFUNCTION("""COMPUTED_VALUE"""),"Trường Cao đẳng Công Thương miền Trung")</f>
        <v>Trường Cao đẳng Công Thương miền Trung</v>
      </c>
      <c r="F16" s="4" t="str">
        <f>IFERROR(__xludf.DUMMYFUNCTION("""COMPUTED_VALUE"""),"KTCN2026-015.png")</f>
        <v>KTCN2026-015.png</v>
      </c>
    </row>
    <row r="17">
      <c r="A17" s="4" t="str">
        <f>IFERROR(__xludf.DUMMYFUNCTION("""COMPUTED_VALUE"""),"KTCN2026-016")</f>
        <v>KTCN2026-016</v>
      </c>
      <c r="B17" s="4" t="str">
        <f>IFERROR(__xludf.DUMMYFUNCTION("""COMPUTED_VALUE"""),"Kỹ thuật công nghệ")</f>
        <v>Kỹ thuật công nghệ</v>
      </c>
      <c r="C17" s="4" t="str">
        <f>IFERROR(__xludf.DUMMYFUNCTION("""COMPUTED_VALUE"""),"Thiết kế và chế tạo giường bệnh thông minh từ vật liệu tre, phục vụ bệnh nhân hạn chế vận động")</f>
        <v>Thiết kế và chế tạo giường bệnh thông minh từ vật liệu tre, phục vụ bệnh nhân hạn chế vận động</v>
      </c>
      <c r="D17" s="4" t="str">
        <f>IFERROR(__xludf.DUMMYFUNCTION("""COMPUTED_VALUE"""),"Nguyễn Hoàng Huy; Nguyễn Khánh Đoàn")</f>
        <v>Nguyễn Hoàng Huy; Nguyễn Khánh Đoàn</v>
      </c>
      <c r="E17" s="4" t="str">
        <f>IFERROR(__xludf.DUMMYFUNCTION("""COMPUTED_VALUE"""),"Trường Đại học Cửu Long")</f>
        <v>Trường Đại học Cửu Long</v>
      </c>
      <c r="F17" s="4" t="str">
        <f>IFERROR(__xludf.DUMMYFUNCTION("""COMPUTED_VALUE"""),"KTCN2026-016.png")</f>
        <v>KTCN2026-016.png</v>
      </c>
    </row>
    <row r="18">
      <c r="A18" s="4" t="str">
        <f>IFERROR(__xludf.DUMMYFUNCTION("""COMPUTED_VALUE"""),"KTCN2026-017")</f>
        <v>KTCN2026-017</v>
      </c>
      <c r="B18" s="4" t="str">
        <f>IFERROR(__xludf.DUMMYFUNCTION("""COMPUTED_VALUE"""),"Kỹ thuật công nghệ")</f>
        <v>Kỹ thuật công nghệ</v>
      </c>
      <c r="C18" s="4" t="str">
        <f>IFERROR(__xludf.DUMMYFUNCTION("""COMPUTED_VALUE"""),"Nghiên cứu và phát triển thuật toán điều khiển đàn UAV Quadrotor không phụ thuộc GPS ứng dụng trong quản lý và giám sát nhà kho tự động")</f>
        <v>Nghiên cứu và phát triển thuật toán điều khiển đàn UAV Quadrotor không phụ thuộc GPS ứng dụng trong quản lý và giám sát nhà kho tự động</v>
      </c>
      <c r="D18" s="4" t="str">
        <f>IFERROR(__xludf.DUMMYFUNCTION("""COMPUTED_VALUE"""),"Trần Thanh Duy; Phạm Hồng Đăng Khải; Trịnh Trường Đạt; Ngô Viết Lãm; Trần Long Tấn")</f>
        <v>Trần Thanh Duy; Phạm Hồng Đăng Khải; Trịnh Trường Đạt; Ngô Viết Lãm; Trần Long Tấn</v>
      </c>
      <c r="E18" s="4" t="str">
        <f>IFERROR(__xludf.DUMMYFUNCTION("""COMPUTED_VALUE"""),"Trường Đại học Công nghệ TP. Hồ Chí Minh")</f>
        <v>Trường Đại học Công nghệ TP. Hồ Chí Minh</v>
      </c>
      <c r="F18" s="4" t="str">
        <f>IFERROR(__xludf.DUMMYFUNCTION("""COMPUTED_VALUE"""),"KTCN2026-017.png")</f>
        <v>KTCN2026-017.png</v>
      </c>
    </row>
    <row r="19">
      <c r="A19" s="4" t="str">
        <f>IFERROR(__xludf.DUMMYFUNCTION("""COMPUTED_VALUE"""),"KTCN2026-018")</f>
        <v>KTCN2026-018</v>
      </c>
      <c r="B19" s="4" t="str">
        <f>IFERROR(__xludf.DUMMYFUNCTION("""COMPUTED_VALUE"""),"Kỹ thuật công nghệ")</f>
        <v>Kỹ thuật công nghệ</v>
      </c>
      <c r="C19" s="4" t="str">
        <f>IFERROR(__xludf.DUMMYFUNCTION("""COMPUTED_VALUE"""),"Thiết kế hệ thống xếp khay bánh tự động")</f>
        <v>Thiết kế hệ thống xếp khay bánh tự động</v>
      </c>
      <c r="D19" s="4" t="str">
        <f>IFERROR(__xludf.DUMMYFUNCTION("""COMPUTED_VALUE"""),"Phạm Nguyễn Hoài Thương; Đặng Quốc Quy; Trần Quang Phước; Vũ Hoàng Hải Long")</f>
        <v>Phạm Nguyễn Hoài Thương; Đặng Quốc Quy; Trần Quang Phước; Vũ Hoàng Hải Long</v>
      </c>
      <c r="E19" s="4" t="str">
        <f>IFERROR(__xludf.DUMMYFUNCTION("""COMPUTED_VALUE"""),"Trường Đại học Công nghệ TP. Hồ Chí Minh")</f>
        <v>Trường Đại học Công nghệ TP. Hồ Chí Minh</v>
      </c>
      <c r="F19" s="4" t="str">
        <f>IFERROR(__xludf.DUMMYFUNCTION("""COMPUTED_VALUE"""),"KTCN2026-018.png")</f>
        <v>KTCN2026-018.png</v>
      </c>
    </row>
    <row r="20">
      <c r="A20" s="4" t="str">
        <f>IFERROR(__xludf.DUMMYFUNCTION("""COMPUTED_VALUE"""),"KTCN2026-019")</f>
        <v>KTCN2026-019</v>
      </c>
      <c r="B20" s="4" t="str">
        <f>IFERROR(__xludf.DUMMYFUNCTION("""COMPUTED_VALUE"""),"Kỹ thuật công nghệ")</f>
        <v>Kỹ thuật công nghệ</v>
      </c>
      <c r="C20" s="4" t="str">
        <f>IFERROR(__xludf.DUMMYFUNCTION("""COMPUTED_VALUE"""),"Nghiên cứu thiết kế, mô phỏng và chế tạo khuôn ép nhựa 3 tấm nhằm nâng cao chất lượng bề mặt và khả năng tự động tách cuống phun")</f>
        <v>Nghiên cứu thiết kế, mô phỏng và chế tạo khuôn ép nhựa 3 tấm nhằm nâng cao chất lượng bề mặt và khả năng tự động tách cuống phun</v>
      </c>
      <c r="D20" s="4" t="str">
        <f>IFERROR(__xludf.DUMMYFUNCTION("""COMPUTED_VALUE"""),"Nguyễn Vũ Hoàng Nhân; Lê Quang Tiến Thành; Đoàn Gia Bảo; Nguyễn Tấn Phương; Hoàng Gia Phi")</f>
        <v>Nguyễn Vũ Hoàng Nhân; Lê Quang Tiến Thành; Đoàn Gia Bảo; Nguyễn Tấn Phương; Hoàng Gia Phi</v>
      </c>
      <c r="E20" s="4" t="str">
        <f>IFERROR(__xludf.DUMMYFUNCTION("""COMPUTED_VALUE"""),"Trường Đại học Công nghệ TP. Hồ Chí Minh")</f>
        <v>Trường Đại học Công nghệ TP. Hồ Chí Minh</v>
      </c>
      <c r="F20" s="4" t="str">
        <f>IFERROR(__xludf.DUMMYFUNCTION("""COMPUTED_VALUE"""),"KTCN2026-019.png")</f>
        <v>KTCN2026-019.png</v>
      </c>
    </row>
    <row r="21">
      <c r="A21" s="4" t="str">
        <f>IFERROR(__xludf.DUMMYFUNCTION("""COMPUTED_VALUE"""),"KTCN2026-020")</f>
        <v>KTCN2026-020</v>
      </c>
      <c r="B21" s="4" t="str">
        <f>IFERROR(__xludf.DUMMYFUNCTION("""COMPUTED_VALUE"""),"Kỹ thuật công nghệ")</f>
        <v>Kỹ thuật công nghệ</v>
      </c>
      <c r="C21" s="4" t="str">
        <f>IFERROR(__xludf.DUMMYFUNCTION("""COMPUTED_VALUE"""),"Nghiên cứu và phát triển tay máy 4 bậc tự do trong hệ thống gắp – phân loại tự động")</f>
        <v>Nghiên cứu và phát triển tay máy 4 bậc tự do trong hệ thống gắp – phân loại tự động</v>
      </c>
      <c r="D21" s="4" t="str">
        <f>IFERROR(__xludf.DUMMYFUNCTION("""COMPUTED_VALUE"""),"Nguyễn Mạnh Phát; Huỳnh Châu Nhựt Khương; Trần Ngọc Hoàng Long; Lê Gia Hiếu; Nguyễn Tiến Đạt")</f>
        <v>Nguyễn Mạnh Phát; Huỳnh Châu Nhựt Khương; Trần Ngọc Hoàng Long; Lê Gia Hiếu; Nguyễn Tiến Đạt</v>
      </c>
      <c r="E21" s="4" t="str">
        <f>IFERROR(__xludf.DUMMYFUNCTION("""COMPUTED_VALUE"""),"Trường Đại học Công nghệ TP. Hồ Chí Minh")</f>
        <v>Trường Đại học Công nghệ TP. Hồ Chí Minh</v>
      </c>
      <c r="F21" s="4" t="str">
        <f>IFERROR(__xludf.DUMMYFUNCTION("""COMPUTED_VALUE"""),"KTCN2026-020.png")</f>
        <v>KTCN2026-020.png</v>
      </c>
    </row>
    <row r="22">
      <c r="A22" s="4" t="str">
        <f>IFERROR(__xludf.DUMMYFUNCTION("""COMPUTED_VALUE"""),"KTCN2026-021")</f>
        <v>KTCN2026-021</v>
      </c>
      <c r="B22" s="4" t="str">
        <f>IFERROR(__xludf.DUMMYFUNCTION("""COMPUTED_VALUE"""),"Kỹ thuật công nghệ")</f>
        <v>Kỹ thuật công nghệ</v>
      </c>
      <c r="C22" s="4" t="str">
        <f>IFERROR(__xludf.DUMMYFUNCTION("""COMPUTED_VALUE"""),"Nghiên cứu và phát triển hệ thống robot 6 bậc tự do cho bài toán pick and place dựa trên ước lượng tư thế 6D bằng học sâu và thị giác lập thể")</f>
        <v>Nghiên cứu và phát triển hệ thống robot 6 bậc tự do cho bài toán pick and place dựa trên ước lượng tư thế 6D bằng học sâu và thị giác lập thể</v>
      </c>
      <c r="D22" s="4" t="str">
        <f>IFERROR(__xludf.DUMMYFUNCTION("""COMPUTED_VALUE"""),"Nguyễn Mai Nhựt Huy; Trần Xuân Huy; Phạm Gia Khiêm; Trần Lê Trung Hiếu")</f>
        <v>Nguyễn Mai Nhựt Huy; Trần Xuân Huy; Phạm Gia Khiêm; Trần Lê Trung Hiếu</v>
      </c>
      <c r="E22" s="4" t="str">
        <f>IFERROR(__xludf.DUMMYFUNCTION("""COMPUTED_VALUE"""),"Trường Đại học Công nghệ TP. Hồ Chí Minh")</f>
        <v>Trường Đại học Công nghệ TP. Hồ Chí Minh</v>
      </c>
      <c r="F22" s="4" t="str">
        <f>IFERROR(__xludf.DUMMYFUNCTION("""COMPUTED_VALUE"""),"KTCN2026-021.png")</f>
        <v>KTCN2026-021.png</v>
      </c>
    </row>
    <row r="23">
      <c r="A23" s="4" t="str">
        <f>IFERROR(__xludf.DUMMYFUNCTION("""COMPUTED_VALUE"""),"KTCN2026-022")</f>
        <v>KTCN2026-022</v>
      </c>
      <c r="B23" s="4" t="str">
        <f>IFERROR(__xludf.DUMMYFUNCTION("""COMPUTED_VALUE"""),"Kỹ thuật công nghệ")</f>
        <v>Kỹ thuật công nghệ</v>
      </c>
      <c r="C23" s="4" t="str">
        <f>IFERROR(__xludf.DUMMYFUNCTION("""COMPUTED_VALUE"""),"Nghiên cứu, thiết kế và phát triển hệ thống robot Scara ứng dụng trí tuệ nhân tạo để chơi cờ vua tự động")</f>
        <v>Nghiên cứu, thiết kế và phát triển hệ thống robot Scara ứng dụng trí tuệ nhân tạo để chơi cờ vua tự động</v>
      </c>
      <c r="D23" s="4" t="str">
        <f>IFERROR(__xludf.DUMMYFUNCTION("""COMPUTED_VALUE"""),"Nguyễn Đức Ánh; Lê Đức Anh; Vũ Đức Thịnh; Phan Võ Thanh Toàn; Trần Nguyên Hạo")</f>
        <v>Nguyễn Đức Ánh; Lê Đức Anh; Vũ Đức Thịnh; Phan Võ Thanh Toàn; Trần Nguyên Hạo</v>
      </c>
      <c r="E23" s="4" t="str">
        <f>IFERROR(__xludf.DUMMYFUNCTION("""COMPUTED_VALUE"""),"Phân hiệu Trường Đại học Giao thông vận tải tại TP. Hồ Chí Minh")</f>
        <v>Phân hiệu Trường Đại học Giao thông vận tải tại TP. Hồ Chí Minh</v>
      </c>
      <c r="F23" s="4" t="str">
        <f>IFERROR(__xludf.DUMMYFUNCTION("""COMPUTED_VALUE"""),"KTCN2026-022.png")</f>
        <v>KTCN2026-022.png</v>
      </c>
    </row>
    <row r="24">
      <c r="A24" s="4" t="str">
        <f>IFERROR(__xludf.DUMMYFUNCTION("""COMPUTED_VALUE"""),"KTCN2026-023")</f>
        <v>KTCN2026-023</v>
      </c>
      <c r="B24" s="4" t="str">
        <f>IFERROR(__xludf.DUMMYFUNCTION("""COMPUTED_VALUE"""),"Kỹ thuật công nghệ")</f>
        <v>Kỹ thuật công nghệ</v>
      </c>
      <c r="C24" s="4" t="str">
        <f>IFERROR(__xludf.DUMMYFUNCTION("""COMPUTED_VALUE"""),"Ứng dụng công nghệ xử lý ảnh nhiệt trong giám sát thân nhiệt trên cơ thể lợn nuôi")</f>
        <v>Ứng dụng công nghệ xử lý ảnh nhiệt trong giám sát thân nhiệt trên cơ thể lợn nuôi</v>
      </c>
      <c r="D24" s="4" t="str">
        <f>IFERROR(__xludf.DUMMYFUNCTION("""COMPUTED_VALUE"""),"Nguyễn Tuấn Ngọc; Lý Trung Minh; Nguyễn Tuấn Huy; Trần Bảo Lâm; Lê Huy Hoàng")</f>
        <v>Nguyễn Tuấn Ngọc; Lý Trung Minh; Nguyễn Tuấn Huy; Trần Bảo Lâm; Lê Huy Hoàng</v>
      </c>
      <c r="E24" s="4" t="str">
        <f>IFERROR(__xludf.DUMMYFUNCTION("""COMPUTED_VALUE"""),"Học viện Nông nghiệp Việt Nam")</f>
        <v>Học viện Nông nghiệp Việt Nam</v>
      </c>
      <c r="F24" s="4" t="str">
        <f>IFERROR(__xludf.DUMMYFUNCTION("""COMPUTED_VALUE"""),"KTCN2026-023.png")</f>
        <v>KTCN2026-023.png</v>
      </c>
    </row>
    <row r="25">
      <c r="A25" s="4" t="str">
        <f>IFERROR(__xludf.DUMMYFUNCTION("""COMPUTED_VALUE"""),"KTCN2026-024")</f>
        <v>KTCN2026-024</v>
      </c>
      <c r="B25" s="4" t="str">
        <f>IFERROR(__xludf.DUMMYFUNCTION("""COMPUTED_VALUE"""),"Kỹ thuật công nghệ")</f>
        <v>Kỹ thuật công nghệ</v>
      </c>
      <c r="C25" s="4" t="str">
        <f>IFERROR(__xludf.DUMMYFUNCTION("""COMPUTED_VALUE"""),"Xây dựng mô hình dây chuyền phân loại dược phẩm thông minh ứng dụng PLC, IoT và xử lý ảnh")</f>
        <v>Xây dựng mô hình dây chuyền phân loại dược phẩm thông minh ứng dụng PLC, IoT và xử lý ảnh</v>
      </c>
      <c r="D25" s="4" t="str">
        <f>IFERROR(__xludf.DUMMYFUNCTION("""COMPUTED_VALUE"""),"Nguyễn Tuấn Thạnh; Ngô Ngọc Thiên; Nguyễn Văn An; Cao Chí Tài; Nguyễn Tấn Phát")</f>
        <v>Nguyễn Tuấn Thạnh; Ngô Ngọc Thiên; Nguyễn Văn An; Cao Chí Tài; Nguyễn Tấn Phát</v>
      </c>
      <c r="E25" s="4" t="str">
        <f>IFERROR(__xludf.DUMMYFUNCTION("""COMPUTED_VALUE"""),"Phân hiệu Trường Đại học Giao thông vận tải tại TP. Hồ Chí Minh")</f>
        <v>Phân hiệu Trường Đại học Giao thông vận tải tại TP. Hồ Chí Minh</v>
      </c>
      <c r="F25" s="4" t="str">
        <f>IFERROR(__xludf.DUMMYFUNCTION("""COMPUTED_VALUE"""),"KTCN2026-024.png")</f>
        <v>KTCN2026-024.png</v>
      </c>
    </row>
    <row r="26">
      <c r="A26" s="4" t="str">
        <f>IFERROR(__xludf.DUMMYFUNCTION("""COMPUTED_VALUE"""),"KTCN2026-025")</f>
        <v>KTCN2026-025</v>
      </c>
      <c r="B26" s="4" t="str">
        <f>IFERROR(__xludf.DUMMYFUNCTION("""COMPUTED_VALUE"""),"Kỹ thuật công nghệ")</f>
        <v>Kỹ thuật công nghệ</v>
      </c>
      <c r="C26" s="4" t="str">
        <f>IFERROR(__xludf.DUMMYFUNCTION("""COMPUTED_VALUE"""),"Nghiên cứu và ứng dụng bản sao số trong mô phỏng dây chuyền sản xuất mini tích hợp PLC và IoT")</f>
        <v>Nghiên cứu và ứng dụng bản sao số trong mô phỏng dây chuyền sản xuất mini tích hợp PLC và IoT</v>
      </c>
      <c r="D26" s="4" t="str">
        <f>IFERROR(__xludf.DUMMYFUNCTION("""COMPUTED_VALUE"""),"Lê Tuấn Ngọc; Phạm Ngọc Quốc Việt; Nguyễn Đỗ Minh Quân; Trần Nhật Nam")</f>
        <v>Lê Tuấn Ngọc; Phạm Ngọc Quốc Việt; Nguyễn Đỗ Minh Quân; Trần Nhật Nam</v>
      </c>
      <c r="E26" s="4" t="str">
        <f>IFERROR(__xludf.DUMMYFUNCTION("""COMPUTED_VALUE"""),"Phân hiệu Trường Đại học Giao thông vận tải tại TP. Hồ Chí Minh")</f>
        <v>Phân hiệu Trường Đại học Giao thông vận tải tại TP. Hồ Chí Minh</v>
      </c>
      <c r="F26" s="4" t="str">
        <f>IFERROR(__xludf.DUMMYFUNCTION("""COMPUTED_VALUE"""),"KTCN2026-025.png")</f>
        <v>KTCN2026-025.png</v>
      </c>
    </row>
    <row r="27">
      <c r="A27" s="4" t="str">
        <f>IFERROR(__xludf.DUMMYFUNCTION("""COMPUTED_VALUE"""),"KTCN2026-026")</f>
        <v>KTCN2026-026</v>
      </c>
      <c r="B27" s="4" t="str">
        <f>IFERROR(__xludf.DUMMYFUNCTION("""COMPUTED_VALUE"""),"Kỹ thuật công nghệ")</f>
        <v>Kỹ thuật công nghệ</v>
      </c>
      <c r="C27" s="4" t="str">
        <f>IFERROR(__xludf.DUMMYFUNCTION("""COMPUTED_VALUE"""),"Thiết kế và thi công mô hình robot pha chế cà phê tự động")</f>
        <v>Thiết kế và thi công mô hình robot pha chế cà phê tự động</v>
      </c>
      <c r="D27" s="4" t="str">
        <f>IFERROR(__xludf.DUMMYFUNCTION("""COMPUTED_VALUE"""),"Phan Tấn Phát")</f>
        <v>Phan Tấn Phát</v>
      </c>
      <c r="E27" s="4" t="str">
        <f>IFERROR(__xludf.DUMMYFUNCTION("""COMPUTED_VALUE"""),"Trường Đại học Công Thương TP. Hồ Chí Minh")</f>
        <v>Trường Đại học Công Thương TP. Hồ Chí Minh</v>
      </c>
      <c r="F27" s="4" t="str">
        <f>IFERROR(__xludf.DUMMYFUNCTION("""COMPUTED_VALUE"""),"KTCN2026-026.png")</f>
        <v>KTCN2026-026.png</v>
      </c>
    </row>
    <row r="28">
      <c r="A28" s="4" t="str">
        <f>IFERROR(__xludf.DUMMYFUNCTION("""COMPUTED_VALUE"""),"KTCN2026-027")</f>
        <v>KTCN2026-027</v>
      </c>
      <c r="B28" s="4" t="str">
        <f>IFERROR(__xludf.DUMMYFUNCTION("""COMPUTED_VALUE"""),"Kỹ thuật công nghệ")</f>
        <v>Kỹ thuật công nghệ</v>
      </c>
      <c r="C28" s="4" t="str">
        <f>IFERROR(__xludf.DUMMYFUNCTION("""COMPUTED_VALUE"""),"Thiết kế mô hình cánh tay giải phối Bubik 3x3 cơ bản")</f>
        <v>Thiết kế mô hình cánh tay giải phối Bubik 3x3 cơ bản</v>
      </c>
      <c r="D28" s="4" t="str">
        <f>IFERROR(__xludf.DUMMYFUNCTION("""COMPUTED_VALUE"""),"Vũ Tăng Ba")</f>
        <v>Vũ Tăng Ba</v>
      </c>
      <c r="E28" s="4" t="str">
        <f>IFERROR(__xludf.DUMMYFUNCTION("""COMPUTED_VALUE"""),"Trường Đại học Công Thương TP. Hồ Chí Minh")</f>
        <v>Trường Đại học Công Thương TP. Hồ Chí Minh</v>
      </c>
      <c r="F28" s="4" t="str">
        <f>IFERROR(__xludf.DUMMYFUNCTION("""COMPUTED_VALUE"""),"KTCN2026-027.png")</f>
        <v>KTCN2026-027.png</v>
      </c>
    </row>
    <row r="29">
      <c r="A29" s="4" t="str">
        <f>IFERROR(__xludf.DUMMYFUNCTION("""COMPUTED_VALUE"""),"KTCN2026-028")</f>
        <v>KTCN2026-028</v>
      </c>
      <c r="B29" s="4" t="str">
        <f>IFERROR(__xludf.DUMMYFUNCTION("""COMPUTED_VALUE"""),"Kỹ thuật công nghệ")</f>
        <v>Kỹ thuật công nghệ</v>
      </c>
      <c r="C29" s="4" t="str">
        <f>IFERROR(__xludf.DUMMYFUNCTION("""COMPUTED_VALUE"""),"Thiết kế hệ thống điều khiển lực căng thu xả cuộn")</f>
        <v>Thiết kế hệ thống điều khiển lực căng thu xả cuộn</v>
      </c>
      <c r="D29" s="4" t="str">
        <f>IFERROR(__xludf.DUMMYFUNCTION("""COMPUTED_VALUE"""),"Trần Thanh Tiến")</f>
        <v>Trần Thanh Tiến</v>
      </c>
      <c r="E29" s="4" t="str">
        <f>IFERROR(__xludf.DUMMYFUNCTION("""COMPUTED_VALUE"""),"Trường Đại học Công Thương TP. Hồ Chí Minh")</f>
        <v>Trường Đại học Công Thương TP. Hồ Chí Minh</v>
      </c>
      <c r="F29" s="4" t="str">
        <f>IFERROR(__xludf.DUMMYFUNCTION("""COMPUTED_VALUE"""),"KTCN2026-028.png")</f>
        <v>KTCN2026-028.png</v>
      </c>
    </row>
    <row r="30">
      <c r="A30" s="4" t="str">
        <f>IFERROR(__xludf.DUMMYFUNCTION("""COMPUTED_VALUE"""),"KTCN2026-029")</f>
        <v>KTCN2026-029</v>
      </c>
      <c r="B30" s="4" t="str">
        <f>IFERROR(__xludf.DUMMYFUNCTION("""COMPUTED_VALUE"""),"Kỹ thuật công nghệ")</f>
        <v>Kỹ thuật công nghệ</v>
      </c>
      <c r="C30" s="4" t="str">
        <f>IFERROR(__xludf.DUMMYFUNCTION("""COMPUTED_VALUE"""),"Khảo sát ảnh hưởng của lực ép tỉnh đến ứng xuất dư và chiều sau nén trong quá trình cán siêu âm bề mặt hợp kim nhôm 6061")</f>
        <v>Khảo sát ảnh hưởng của lực ép tỉnh đến ứng xuất dư và chiều sau nén trong quá trình cán siêu âm bề mặt hợp kim nhôm 6061</v>
      </c>
      <c r="D30" s="4" t="str">
        <f>IFERROR(__xludf.DUMMYFUNCTION("""COMPUTED_VALUE"""),"Phan Trần Nhất Huy")</f>
        <v>Phan Trần Nhất Huy</v>
      </c>
      <c r="E30" s="4" t="str">
        <f>IFERROR(__xludf.DUMMYFUNCTION("""COMPUTED_VALUE"""),"Trường Đại học Công Thương TP. Hồ Chí Minh")</f>
        <v>Trường Đại học Công Thương TP. Hồ Chí Minh</v>
      </c>
      <c r="F30" s="4" t="str">
        <f>IFERROR(__xludf.DUMMYFUNCTION("""COMPUTED_VALUE"""),"KTCN2026-029.png")</f>
        <v>KTCN2026-029.png</v>
      </c>
    </row>
    <row r="31">
      <c r="A31" s="4" t="str">
        <f>IFERROR(__xludf.DUMMYFUNCTION("""COMPUTED_VALUE"""),"KTCN2026-030")</f>
        <v>KTCN2026-030</v>
      </c>
      <c r="B31" s="4" t="str">
        <f>IFERROR(__xludf.DUMMYFUNCTION("""COMPUTED_VALUE"""),"Kỹ thuật công nghệ")</f>
        <v>Kỹ thuật công nghệ</v>
      </c>
      <c r="C31" s="4" t="str">
        <f>IFERROR(__xludf.DUMMYFUNCTION("""COMPUTED_VALUE"""),"THIẾT KẾ VÀ CHẾ TẠO MÁY LÀM NGUYÊN LIỆU NHỰA CHO MÁY IN FDM TỪ VỎ CHAI NHỰA PHẾ LIỆU")</f>
        <v>THIẾT KẾ VÀ CHẾ TẠO MÁY LÀM NGUYÊN LIỆU NHỰA CHO MÁY IN FDM TỪ VỎ CHAI NHỰA PHẾ LIỆU</v>
      </c>
      <c r="D31" s="4" t="str">
        <f>IFERROR(__xludf.DUMMYFUNCTION("""COMPUTED_VALUE"""),"Đặng Hồ Thanh Phương; Phạm Trọng Tuấn")</f>
        <v>Đặng Hồ Thanh Phương; Phạm Trọng Tuấn</v>
      </c>
      <c r="E31" s="4" t="str">
        <f>IFERROR(__xludf.DUMMYFUNCTION("""COMPUTED_VALUE"""),"Trường Cao đẳng Công thương TP. Hồ Chí Minh")</f>
        <v>Trường Cao đẳng Công thương TP. Hồ Chí Minh</v>
      </c>
      <c r="F31" s="4" t="str">
        <f>IFERROR(__xludf.DUMMYFUNCTION("""COMPUTED_VALUE"""),"KTCN2026-030.png")</f>
        <v>KTCN2026-030.png</v>
      </c>
    </row>
    <row r="32">
      <c r="A32" s="4" t="str">
        <f>IFERROR(__xludf.DUMMYFUNCTION("""COMPUTED_VALUE"""),"KTCN2026-031")</f>
        <v>KTCN2026-031</v>
      </c>
      <c r="B32" s="4" t="str">
        <f>IFERROR(__xludf.DUMMYFUNCTION("""COMPUTED_VALUE"""),"Kỹ thuật công nghệ")</f>
        <v>Kỹ thuật công nghệ</v>
      </c>
      <c r="C32" s="4" t="str">
        <f>IFERROR(__xludf.DUMMYFUNCTION("""COMPUTED_VALUE"""),"NGHIÊN CỨU CHẾ TẠO THIẾT BỊ GIA CÔNG THÔNG MINH ĐA NHIỆM TÍCH HỢP CÔNG NGHỆ IN 3D FDM VÀ PHAY CNC")</f>
        <v>NGHIÊN CỨU CHẾ TẠO THIẾT BỊ GIA CÔNG THÔNG MINH ĐA NHIỆM TÍCH HỢP CÔNG NGHỆ IN 3D FDM VÀ PHAY CNC</v>
      </c>
      <c r="D32" s="4" t="str">
        <f>IFERROR(__xludf.DUMMYFUNCTION("""COMPUTED_VALUE"""),"VŨ HUY HOÀNG; TRẦN HỮU THÀNH; BÙI CÔNG NAM; NGUYỄN XUÂN HIẾU")</f>
        <v>VŨ HUY HOÀNG; TRẦN HỮU THÀNH; BÙI CÔNG NAM; NGUYỄN XUÂN HIẾU</v>
      </c>
      <c r="E32" s="4" t="str">
        <f>IFERROR(__xludf.DUMMYFUNCTION("""COMPUTED_VALUE"""),"Trường Đại học Hàng hải Việt Nam")</f>
        <v>Trường Đại học Hàng hải Việt Nam</v>
      </c>
      <c r="F32" s="4" t="str">
        <f>IFERROR(__xludf.DUMMYFUNCTION("""COMPUTED_VALUE"""),"KTCN2026-031.png")</f>
        <v>KTCN2026-031.png</v>
      </c>
    </row>
    <row r="33">
      <c r="A33" s="4" t="str">
        <f>IFERROR(__xludf.DUMMYFUNCTION("""COMPUTED_VALUE"""),"KTCN2026-032")</f>
        <v>KTCN2026-032</v>
      </c>
      <c r="B33" s="4" t="str">
        <f>IFERROR(__xludf.DUMMYFUNCTION("""COMPUTED_VALUE"""),"Kỹ thuật công nghệ")</f>
        <v>Kỹ thuật công nghệ</v>
      </c>
      <c r="C33" s="4" t="str">
        <f>IFERROR(__xludf.DUMMYFUNCTION("""COMPUTED_VALUE"""),"NGHIÊN CỨU, XÂY DỰNG HỆ THỐNG SCADA CHẨN ĐOÁN SỚM SỰ CỐ MÁY CHÍNH TÀU THỦY DỰA TRÊN MÔ HÌNH BẢN SAO SỐ KẾT HỢP TRÍ TUỆ NHÂN TẠO VÀ ĐIỆN TOÁN BIÊN")</f>
        <v>NGHIÊN CỨU, XÂY DỰNG HỆ THỐNG SCADA CHẨN ĐOÁN SỚM SỰ CỐ MÁY CHÍNH TÀU THỦY DỰA TRÊN MÔ HÌNH BẢN SAO SỐ KẾT HỢP TRÍ TUỆ NHÂN TẠO VÀ ĐIỆN TOÁN BIÊN</v>
      </c>
      <c r="D33" s="4" t="str">
        <f>IFERROR(__xludf.DUMMYFUNCTION("""COMPUTED_VALUE"""),"MẠC TRUNG PHÚC; NGUYỄN TRỌNG HOÀNG BÌNH; NGUYỄN HOÀNG NAM; NGUYỄN DUY ANH")</f>
        <v>MẠC TRUNG PHÚC; NGUYỄN TRỌNG HOÀNG BÌNH; NGUYỄN HOÀNG NAM; NGUYỄN DUY ANH</v>
      </c>
      <c r="E33" s="4" t="str">
        <f>IFERROR(__xludf.DUMMYFUNCTION("""COMPUTED_VALUE"""),"Trường Đại học Hàng hải Việt Nam")</f>
        <v>Trường Đại học Hàng hải Việt Nam</v>
      </c>
      <c r="F33" s="4" t="str">
        <f>IFERROR(__xludf.DUMMYFUNCTION("""COMPUTED_VALUE"""),"KTCN2026-032.png")</f>
        <v>KTCN2026-032.png</v>
      </c>
    </row>
    <row r="34">
      <c r="A34" s="4" t="str">
        <f>IFERROR(__xludf.DUMMYFUNCTION("""COMPUTED_VALUE"""),"KTCN2026-033")</f>
        <v>KTCN2026-033</v>
      </c>
      <c r="B34" s="4" t="str">
        <f>IFERROR(__xludf.DUMMYFUNCTION("""COMPUTED_VALUE"""),"Kỹ thuật công nghệ")</f>
        <v>Kỹ thuật công nghệ</v>
      </c>
      <c r="C34" s="4" t="str">
        <f>IFERROR(__xludf.DUMMYFUNCTION("""COMPUTED_VALUE"""),"Mô hình hóa động lực học hệ phi tuyến UAV - Con lắc đơn chiều dài biến thiên và giải pháp triệt tiêu dao động ứng dụng trong tiếp tế không gian hẹp")</f>
        <v>Mô hình hóa động lực học hệ phi tuyến UAV - Con lắc đơn chiều dài biến thiên và giải pháp triệt tiêu dao động ứng dụng trong tiếp tế không gian hẹp</v>
      </c>
      <c r="D34" s="4" t="str">
        <f>IFERROR(__xludf.DUMMYFUNCTION("""COMPUTED_VALUE"""),"Huỳnh Nhựt Cường; Đinh Ngọc Anh; Vũ Thị Thanh Thảo")</f>
        <v>Huỳnh Nhựt Cường; Đinh Ngọc Anh; Vũ Thị Thanh Thảo</v>
      </c>
      <c r="E34" s="4" t="str">
        <f>IFERROR(__xludf.DUMMYFUNCTION("""COMPUTED_VALUE"""),"Trường Đại học Khoa học Tự nhiên, ĐHQG-HCM")</f>
        <v>Trường Đại học Khoa học Tự nhiên, ĐHQG-HCM</v>
      </c>
      <c r="F34" s="4" t="str">
        <f>IFERROR(__xludf.DUMMYFUNCTION("""COMPUTED_VALUE"""),"KTCN2026-033.png")</f>
        <v>KTCN2026-033.png</v>
      </c>
    </row>
    <row r="35">
      <c r="A35" s="4" t="str">
        <f>IFERROR(__xludf.DUMMYFUNCTION("""COMPUTED_VALUE"""),"KTCN2026-034")</f>
        <v>KTCN2026-034</v>
      </c>
      <c r="B35" s="4" t="str">
        <f>IFERROR(__xludf.DUMMYFUNCTION("""COMPUTED_VALUE"""),"Kỹ thuật công nghệ")</f>
        <v>Kỹ thuật công nghệ</v>
      </c>
      <c r="C35" s="4" t="str">
        <f>IFERROR(__xludf.DUMMYFUNCTION("""COMPUTED_VALUE"""),"NGHIÊN CỨU VÀ THIẾT KẾ PHƯƠNG TIỆN TỰ HÀNH TRÊN MẶT NƯỚC ĐỂ THU GOM RÁC THẢI NHỰA SỬ DỤNG CÔNG NGHỆ HỌC TĂNG CƯỜNG")</f>
        <v>NGHIÊN CỨU VÀ THIẾT KẾ PHƯƠNG TIỆN TỰ HÀNH TRÊN MẶT NƯỚC ĐỂ THU GOM RÁC THẢI NHỰA SỬ DỤNG CÔNG NGHỆ HỌC TĂNG CƯỜNG</v>
      </c>
      <c r="D35" s="4" t="str">
        <f>IFERROR(__xludf.DUMMYFUNCTION("""COMPUTED_VALUE"""),"Thái Gia Bảo; Đậu Đình Khánh; Từ Lễ An; Huỳnh Trọng Ơn")</f>
        <v>Thái Gia Bảo; Đậu Đình Khánh; Từ Lễ An; Huỳnh Trọng Ơn</v>
      </c>
      <c r="E35" s="4" t="str">
        <f>IFERROR(__xludf.DUMMYFUNCTION("""COMPUTED_VALUE"""),"Trường Đại học Công nghệ Kỹ thuật TP. Hồ Chí Minh")</f>
        <v>Trường Đại học Công nghệ Kỹ thuật TP. Hồ Chí Minh</v>
      </c>
      <c r="F35" s="4" t="str">
        <f>IFERROR(__xludf.DUMMYFUNCTION("""COMPUTED_VALUE"""),"KTCN2026-034.png")</f>
        <v>KTCN2026-034.png</v>
      </c>
    </row>
    <row r="36">
      <c r="A36" s="4" t="str">
        <f>IFERROR(__xludf.DUMMYFUNCTION("""COMPUTED_VALUE"""),"KTCN2026-035")</f>
        <v>KTCN2026-035</v>
      </c>
      <c r="B36" s="4" t="str">
        <f>IFERROR(__xludf.DUMMYFUNCTION("""COMPUTED_VALUE"""),"Kỹ thuật công nghệ")</f>
        <v>Kỹ thuật công nghệ</v>
      </c>
      <c r="C36" s="4" t="str">
        <f>IFERROR(__xludf.DUMMYFUNCTION("""COMPUTED_VALUE"""),"Nghiên cứu, thiết kế và chế tạo hệ thống định vị thời gian thực sử dụng công nghệ Ultra-Wideband (UWB) cho robot tự hành")</f>
        <v>Nghiên cứu, thiết kế và chế tạo hệ thống định vị thời gian thực sử dụng công nghệ Ultra-Wideband (UWB) cho robot tự hành</v>
      </c>
      <c r="D36" s="4" t="str">
        <f>IFERROR(__xludf.DUMMYFUNCTION("""COMPUTED_VALUE"""),"Mai Thanh Phương; Đinh Đồng Sơn")</f>
        <v>Mai Thanh Phương; Đinh Đồng Sơn</v>
      </c>
      <c r="E36" s="4" t="str">
        <f>IFERROR(__xludf.DUMMYFUNCTION("""COMPUTED_VALUE"""),"Trường Đại học Công nghệ Kỹ thuật TP. Hồ Chí Minh")</f>
        <v>Trường Đại học Công nghệ Kỹ thuật TP. Hồ Chí Minh</v>
      </c>
      <c r="F36" s="4" t="str">
        <f>IFERROR(__xludf.DUMMYFUNCTION("""COMPUTED_VALUE"""),"KTCN2026-035.png")</f>
        <v>KTCN2026-035.png</v>
      </c>
    </row>
    <row r="37">
      <c r="A37" s="4" t="str">
        <f>IFERROR(__xludf.DUMMYFUNCTION("""COMPUTED_VALUE"""),"KTCN2026-036")</f>
        <v>KTCN2026-036</v>
      </c>
      <c r="B37" s="4" t="str">
        <f>IFERROR(__xludf.DUMMYFUNCTION("""COMPUTED_VALUE"""),"Kỹ thuật công nghệ")</f>
        <v>Kỹ thuật công nghệ</v>
      </c>
      <c r="C37" s="4" t="str">
        <f>IFERROR(__xludf.DUMMYFUNCTION("""COMPUTED_VALUE"""),"Nghiên cứu, thiết kế và chế tạo máy bán hàng tự động dùng cho các sản phẩm nông nghiệp")</f>
        <v>Nghiên cứu, thiết kế và chế tạo máy bán hàng tự động dùng cho các sản phẩm nông nghiệp</v>
      </c>
      <c r="D37" s="4" t="str">
        <f>IFERROR(__xludf.DUMMYFUNCTION("""COMPUTED_VALUE"""),"Trần Quang Minh; Võ Trung Nguyên")</f>
        <v>Trần Quang Minh; Võ Trung Nguyên</v>
      </c>
      <c r="E37" s="4" t="str">
        <f>IFERROR(__xludf.DUMMYFUNCTION("""COMPUTED_VALUE"""),"Trường Đại học Công nghệ Kỹ thuật TP. Hồ Chí Minh")</f>
        <v>Trường Đại học Công nghệ Kỹ thuật TP. Hồ Chí Minh</v>
      </c>
      <c r="F37" s="4" t="str">
        <f>IFERROR(__xludf.DUMMYFUNCTION("""COMPUTED_VALUE"""),"KTCN2026-036.png")</f>
        <v>KTCN2026-036.png</v>
      </c>
    </row>
    <row r="38">
      <c r="A38" s="4" t="str">
        <f>IFERROR(__xludf.DUMMYFUNCTION("""COMPUTED_VALUE"""),"KTCN2026-037")</f>
        <v>KTCN2026-037</v>
      </c>
      <c r="B38" s="4" t="str">
        <f>IFERROR(__xludf.DUMMYFUNCTION("""COMPUTED_VALUE"""),"Kỹ thuật công nghệ")</f>
        <v>Kỹ thuật công nghệ</v>
      </c>
      <c r="C38" s="4" t="str">
        <f>IFERROR(__xludf.DUMMYFUNCTION("""COMPUTED_VALUE"""),"Nghiên cứu, chế tạo robot tự hành thông minh sử dụng Lidar và Slam ứng dụng trong công nghiệp 4.0 và dịch vụ Logistic")</f>
        <v>Nghiên cứu, chế tạo robot tự hành thông minh sử dụng Lidar và Slam ứng dụng trong công nghiệp 4.0 và dịch vụ Logistic</v>
      </c>
      <c r="D38" s="4" t="str">
        <f>IFERROR(__xludf.DUMMYFUNCTION("""COMPUTED_VALUE"""),"Phan Thế Mạnh; Lã Văn Đô; Phạm Đức Minh")</f>
        <v>Phan Thế Mạnh; Lã Văn Đô; Phạm Đức Minh</v>
      </c>
      <c r="E38" s="4" t="str">
        <f>IFERROR(__xludf.DUMMYFUNCTION("""COMPUTED_VALUE"""),"Trường Đại học Hải Phòng")</f>
        <v>Trường Đại học Hải Phòng</v>
      </c>
      <c r="F38" s="4" t="str">
        <f>IFERROR(__xludf.DUMMYFUNCTION("""COMPUTED_VALUE"""),"KTCN2026-037.png")</f>
        <v>KTCN2026-037.png</v>
      </c>
    </row>
    <row r="39">
      <c r="A39" s="4" t="str">
        <f>IFERROR(__xludf.DUMMYFUNCTION("""COMPUTED_VALUE"""),"KTCN2026-038")</f>
        <v>KTCN2026-038</v>
      </c>
      <c r="B39" s="4" t="str">
        <f>IFERROR(__xludf.DUMMYFUNCTION("""COMPUTED_VALUE"""),"Kỹ thuật công nghệ")</f>
        <v>Kỹ thuật công nghệ</v>
      </c>
      <c r="C39" s="4" t="str">
        <f>IFERROR(__xludf.DUMMYFUNCTION("""COMPUTED_VALUE"""),"Nghiên cứu phát triển nền tảng bệnh viện cây trồng số ứng dụng trí tuệ nhân tạo trong chẩn đoán, tư vấn điều trị và quản lý sức khỏe cây trồng")</f>
        <v>Nghiên cứu phát triển nền tảng bệnh viện cây trồng số ứng dụng trí tuệ nhân tạo trong chẩn đoán, tư vấn điều trị và quản lý sức khỏe cây trồng</v>
      </c>
      <c r="D39" s="4" t="str">
        <f>IFERROR(__xludf.DUMMYFUNCTION("""COMPUTED_VALUE"""),"Trần Trung Tiến; Bùi Gia Kiệt; Trần Minh Quang")</f>
        <v>Trần Trung Tiến; Bùi Gia Kiệt; Trần Minh Quang</v>
      </c>
      <c r="E39" s="4" t="str">
        <f>IFERROR(__xludf.DUMMYFUNCTION("""COMPUTED_VALUE"""),"Trường Đại học Nông Lâm TP. Hồ Chí Minh")</f>
        <v>Trường Đại học Nông Lâm TP. Hồ Chí Minh</v>
      </c>
      <c r="F39" s="4" t="str">
        <f>IFERROR(__xludf.DUMMYFUNCTION("""COMPUTED_VALUE"""),"KTCN2026-038.png")</f>
        <v>KTCN2026-038.png</v>
      </c>
    </row>
    <row r="40">
      <c r="A40" s="4" t="str">
        <f>IFERROR(__xludf.DUMMYFUNCTION("""COMPUTED_VALUE"""),"KTCN2026-039")</f>
        <v>KTCN2026-039</v>
      </c>
      <c r="B40" s="4" t="str">
        <f>IFERROR(__xludf.DUMMYFUNCTION("""COMPUTED_VALUE"""),"Kỹ thuật công nghệ")</f>
        <v>Kỹ thuật công nghệ</v>
      </c>
      <c r="C40" s="4" t="str">
        <f>IFERROR(__xludf.DUMMYFUNCTION("""COMPUTED_VALUE"""),"Hệ thống tín hiệu giao thông thông minh hỗ trợ người yếu thế")</f>
        <v>Hệ thống tín hiệu giao thông thông minh hỗ trợ người yếu thế</v>
      </c>
      <c r="D40" s="4" t="str">
        <f>IFERROR(__xludf.DUMMYFUNCTION("""COMPUTED_VALUE"""),"Nguyễn Hồng Phước; Nguyễn Khánh Hoàng; Phạm Thị Điệp Oanh")</f>
        <v>Nguyễn Hồng Phước; Nguyễn Khánh Hoàng; Phạm Thị Điệp Oanh</v>
      </c>
      <c r="E40" s="4" t="str">
        <f>IFERROR(__xludf.DUMMYFUNCTION("""COMPUTED_VALUE"""),"Đại học Duy Tân")</f>
        <v>Đại học Duy Tân</v>
      </c>
      <c r="F40" s="4" t="str">
        <f>IFERROR(__xludf.DUMMYFUNCTION("""COMPUTED_VALUE"""),"KTCN2026-039.png")</f>
        <v>KTCN2026-039.png</v>
      </c>
    </row>
    <row r="41">
      <c r="A41" s="4" t="str">
        <f>IFERROR(__xludf.DUMMYFUNCTION("""COMPUTED_VALUE"""),"KTCN2026-040")</f>
        <v>KTCN2026-040</v>
      </c>
      <c r="B41" s="4" t="str">
        <f>IFERROR(__xludf.DUMMYFUNCTION("""COMPUTED_VALUE"""),"Kỹ thuật công nghệ")</f>
        <v>Kỹ thuật công nghệ</v>
      </c>
      <c r="C41" s="4" t="str">
        <f>IFERROR(__xludf.DUMMYFUNCTION("""COMPUTED_VALUE"""),"Nghiên cứu và phát triển phương pháp tự động chỉnh định hệ số gamma cho quá trình thu nhận ảnh cho robot di động sử dụng trí tuệ nhân tạo")</f>
        <v>Nghiên cứu và phát triển phương pháp tự động chỉnh định hệ số gamma cho quá trình thu nhận ảnh cho robot di động sử dụng trí tuệ nhân tạo</v>
      </c>
      <c r="D41" s="4" t="str">
        <f>IFERROR(__xludf.DUMMYFUNCTION("""COMPUTED_VALUE"""),"Nguyễn Minh Gia Bảo; Võ Đang Huy")</f>
        <v>Nguyễn Minh Gia Bảo; Võ Đang Huy</v>
      </c>
      <c r="E41" s="4" t="str">
        <f>IFERROR(__xludf.DUMMYFUNCTION("""COMPUTED_VALUE"""),"Trường Đại học Kỹ thuật Công nghệ Cần Thơ")</f>
        <v>Trường Đại học Kỹ thuật Công nghệ Cần Thơ</v>
      </c>
      <c r="F41" s="4" t="str">
        <f>IFERROR(__xludf.DUMMYFUNCTION("""COMPUTED_VALUE"""),"KTCN2026-040.png")</f>
        <v>KTCN2026-040.png</v>
      </c>
    </row>
    <row r="42">
      <c r="A42" s="4" t="str">
        <f>IFERROR(__xludf.DUMMYFUNCTION("""COMPUTED_VALUE"""),"KTCN2026-041")</f>
        <v>KTCN2026-041</v>
      </c>
      <c r="B42" s="4" t="str">
        <f>IFERROR(__xludf.DUMMYFUNCTION("""COMPUTED_VALUE"""),"Kỹ thuật công nghệ")</f>
        <v>Kỹ thuật công nghệ</v>
      </c>
      <c r="C42" s="4" t="str">
        <f>IFERROR(__xludf.DUMMYFUNCTION("""COMPUTED_VALUE"""),"Nghiên cứu phương pháp Hybrid AI kết hợp GenAI và AI truyền thống cho điều khiển thích nghi robot di động trong các điều kiện ánh sáng khác nhau")</f>
        <v>Nghiên cứu phương pháp Hybrid AI kết hợp GenAI và AI truyền thống cho điều khiển thích nghi robot di động trong các điều kiện ánh sáng khác nhau</v>
      </c>
      <c r="D42" s="4" t="str">
        <f>IFERROR(__xludf.DUMMYFUNCTION("""COMPUTED_VALUE"""),"Đào Quang Thái; Lý Khánh Toàn; Phạm Thái Minh Đăng; Vũ Lê Duy")</f>
        <v>Đào Quang Thái; Lý Khánh Toàn; Phạm Thái Minh Đăng; Vũ Lê Duy</v>
      </c>
      <c r="E42" s="4" t="str">
        <f>IFERROR(__xludf.DUMMYFUNCTION("""COMPUTED_VALUE"""),"Trường Đại học Kỹ thuật Công nghệ Cần Thơ")</f>
        <v>Trường Đại học Kỹ thuật Công nghệ Cần Thơ</v>
      </c>
      <c r="F42" s="4" t="str">
        <f>IFERROR(__xludf.DUMMYFUNCTION("""COMPUTED_VALUE"""),"KTCN2026-041.png")</f>
        <v>KTCN2026-041.png</v>
      </c>
    </row>
    <row r="43">
      <c r="A43" s="4" t="str">
        <f>IFERROR(__xludf.DUMMYFUNCTION("""COMPUTED_VALUE"""),"KTCN2026-042")</f>
        <v>KTCN2026-042</v>
      </c>
      <c r="B43" s="4" t="str">
        <f>IFERROR(__xludf.DUMMYFUNCTION("""COMPUTED_VALUE"""),"Kỹ thuật công nghệ")</f>
        <v>Kỹ thuật công nghệ</v>
      </c>
      <c r="C43" s="4" t="str">
        <f>IFERROR(__xludf.DUMMYFUNCTION("""COMPUTED_VALUE"""),"PHÁT TRIỂN NỀN TẢNG ROBOT CONTINUUM HƯỚNG ĐẾN ỨNG DỤNG NỘI SOI Y SINH")</f>
        <v>PHÁT TRIỂN NỀN TẢNG ROBOT CONTINUUM HƯỚNG ĐẾN ỨNG DỤNG NỘI SOI Y SINH</v>
      </c>
      <c r="D43" s="4" t="str">
        <f>IFERROR(__xludf.DUMMYFUNCTION("""COMPUTED_VALUE"""),"Đỗ Đức Nghĩa; Lê Doãn Dũng; Phạm Toàn Đại Lợi")</f>
        <v>Đỗ Đức Nghĩa; Lê Doãn Dũng; Phạm Toàn Đại Lợi</v>
      </c>
      <c r="E43" s="4" t="str">
        <f>IFERROR(__xludf.DUMMYFUNCTION("""COMPUTED_VALUE"""),"Trường Đại học Bách Khoa, ĐHQG-HCM")</f>
        <v>Trường Đại học Bách Khoa, ĐHQG-HCM</v>
      </c>
      <c r="F43" s="4" t="str">
        <f>IFERROR(__xludf.DUMMYFUNCTION("""COMPUTED_VALUE"""),"KTCN2026-042.png")</f>
        <v>KTCN2026-042.png</v>
      </c>
    </row>
    <row r="44">
      <c r="A44" s="4" t="str">
        <f>IFERROR(__xludf.DUMMYFUNCTION("""COMPUTED_VALUE"""),"KTCN2026-043")</f>
        <v>KTCN2026-043</v>
      </c>
      <c r="B44" s="4" t="str">
        <f>IFERROR(__xludf.DUMMYFUNCTION("""COMPUTED_VALUE"""),"Kỹ thuật công nghệ")</f>
        <v>Kỹ thuật công nghệ</v>
      </c>
      <c r="C44" s="4" t="str">
        <f>IFERROR(__xludf.DUMMYFUNCTION("""COMPUTED_VALUE"""),"MŨ BẢO HIỂM NỬA ĐẦU TÍCH HỢP TÚI KHÍ")</f>
        <v>MŨ BẢO HIỂM NỬA ĐẦU TÍCH HỢP TÚI KHÍ</v>
      </c>
      <c r="D44" s="4" t="str">
        <f>IFERROR(__xludf.DUMMYFUNCTION("""COMPUTED_VALUE"""),"Ôn Thanh Tú; Huỳnh Tuấn Kiệt; Trương Tấn Phát; Phạm Quốc Lợi")</f>
        <v>Ôn Thanh Tú; Huỳnh Tuấn Kiệt; Trương Tấn Phát; Phạm Quốc Lợi</v>
      </c>
      <c r="E44" s="4" t="str">
        <f>IFERROR(__xludf.DUMMYFUNCTION("""COMPUTED_VALUE"""),"Trường Đại học Bách Khoa, ĐHQG-HCM")</f>
        <v>Trường Đại học Bách Khoa, ĐHQG-HCM</v>
      </c>
      <c r="F44" s="4" t="str">
        <f>IFERROR(__xludf.DUMMYFUNCTION("""COMPUTED_VALUE"""),"KTCN2026-043.png")</f>
        <v>KTCN2026-043.png</v>
      </c>
    </row>
    <row r="45">
      <c r="A45" s="4" t="str">
        <f>IFERROR(__xludf.DUMMYFUNCTION("""COMPUTED_VALUE"""),"KTCN2026-044")</f>
        <v>KTCN2026-044</v>
      </c>
      <c r="B45" s="4" t="str">
        <f>IFERROR(__xludf.DUMMYFUNCTION("""COMPUTED_VALUE"""),"Kỹ thuật công nghệ")</f>
        <v>Kỹ thuật công nghệ</v>
      </c>
      <c r="C45" s="4" t="str">
        <f>IFERROR(__xludf.DUMMYFUNCTION("""COMPUTED_VALUE"""),"ỨNG DỤNG PHYSICS- IMFORMED NEUTRAL NETWORK VÀ CS-DSG3 TRONG PHÂN TÍCH CƠ HỌC VỞ COMPOSITE CÁNH MÁY BAY BIẾN HÌNH")</f>
        <v>ỨNG DỤNG PHYSICS- IMFORMED NEUTRAL NETWORK VÀ CS-DSG3 TRONG PHÂN TÍCH CƠ HỌC VỞ COMPOSITE CÁNH MÁY BAY BIẾN HÌNH</v>
      </c>
      <c r="D45" s="4" t="str">
        <f>IFERROR(__xludf.DUMMYFUNCTION("""COMPUTED_VALUE"""),"Lê Việt Đức; Nguyễn Lê Hy; Trần Thế Vũ")</f>
        <v>Lê Việt Đức; Nguyễn Lê Hy; Trần Thế Vũ</v>
      </c>
      <c r="E45" s="4" t="str">
        <f>IFERROR(__xludf.DUMMYFUNCTION("""COMPUTED_VALUE"""),"Trường Đại học Bách Khoa, ĐHQG-HCM")</f>
        <v>Trường Đại học Bách Khoa, ĐHQG-HCM</v>
      </c>
      <c r="F45" s="4" t="str">
        <f>IFERROR(__xludf.DUMMYFUNCTION("""COMPUTED_VALUE"""),"KTCN2026-044.png")</f>
        <v>KTCN2026-044.png</v>
      </c>
    </row>
    <row r="46">
      <c r="A46" s="4" t="str">
        <f>IFERROR(__xludf.DUMMYFUNCTION("""COMPUTED_VALUE"""),"KTCN2026-045")</f>
        <v>KTCN2026-045</v>
      </c>
      <c r="B46" s="4" t="str">
        <f>IFERROR(__xludf.DUMMYFUNCTION("""COMPUTED_VALUE"""),"Kỹ thuật công nghệ")</f>
        <v>Kỹ thuật công nghệ</v>
      </c>
      <c r="C46" s="4" t="str">
        <f>IFERROR(__xludf.DUMMYFUNCTION("""COMPUTED_VALUE"""),"DESIGN OF A DUAL ADAPTIVE FRACTIONAL ORDER SUPER TWISTING SLIDING MODE CONTROLLER (DA-FOSTSMC) FOR A 2-DOF ACTUATOR USING FOR PHYSICAL PHYSIOTHERAPY")</f>
        <v>DESIGN OF A DUAL ADAPTIVE FRACTIONAL ORDER SUPER TWISTING SLIDING MODE CONTROLLER (DA-FOSTSMC) FOR A 2-DOF ACTUATOR USING FOR PHYSICAL PHYSIOTHERAPY</v>
      </c>
      <c r="D46" s="4" t="str">
        <f>IFERROR(__xludf.DUMMYFUNCTION("""COMPUTED_VALUE"""),"Nguyễn Phước Nam; Vũ Hoàng Bảo; Thái Quốc Vinh; Đặng Tuấn Khoa; Diệp Tường Bảo Ngọc")</f>
        <v>Nguyễn Phước Nam; Vũ Hoàng Bảo; Thái Quốc Vinh; Đặng Tuấn Khoa; Diệp Tường Bảo Ngọc</v>
      </c>
      <c r="E46" s="4" t="str">
        <f>IFERROR(__xludf.DUMMYFUNCTION("""COMPUTED_VALUE"""),"Trường Đại học Bách Khoa, ĐHQG-HCM")</f>
        <v>Trường Đại học Bách Khoa, ĐHQG-HCM</v>
      </c>
      <c r="F46" s="4" t="str">
        <f>IFERROR(__xludf.DUMMYFUNCTION("""COMPUTED_VALUE"""),"KTCN2026-045.png")</f>
        <v>KTCN2026-045.png</v>
      </c>
    </row>
    <row r="47">
      <c r="A47" s="4" t="str">
        <f>IFERROR(__xludf.DUMMYFUNCTION("""COMPUTED_VALUE"""),"KTCN2026-046")</f>
        <v>KTCN2026-046</v>
      </c>
      <c r="B47" s="4" t="str">
        <f>IFERROR(__xludf.DUMMYFUNCTION("""COMPUTED_VALUE"""),"Kỹ thuật công nghệ")</f>
        <v>Kỹ thuật công nghệ</v>
      </c>
      <c r="C47" s="4" t="str">
        <f>IFERROR(__xludf.DUMMYFUNCTION("""COMPUTED_VALUE"""),"PHÁT TRIỂN ROBOT HÌNH NGƯỜI ỨNG DỤNG THỊ GIÁC MÁY TÍNH HỖ TRỢ GIAO TIẾP CỬ CHỈ VÀ ĐÁNH GIÁ CHỨC NĂNG VẬN ĐỘNG TỰ ĐỘNG")</f>
        <v>PHÁT TRIỂN ROBOT HÌNH NGƯỜI ỨNG DỤNG THỊ GIÁC MÁY TÍNH HỖ TRỢ GIAO TIẾP CỬ CHỈ VÀ ĐÁNH GIÁ CHỨC NĂNG VẬN ĐỘNG TỰ ĐỘNG</v>
      </c>
      <c r="D47" s="4" t="str">
        <f>IFERROR(__xludf.DUMMYFUNCTION("""COMPUTED_VALUE"""),"Phan Ngọc Thọ; Nguyễn Đức Toàn; Phan Nhật Tín; Huỳnh Tuấn Khôi; Lê Đại Hiệp")</f>
        <v>Phan Ngọc Thọ; Nguyễn Đức Toàn; Phan Nhật Tín; Huỳnh Tuấn Khôi; Lê Đại Hiệp</v>
      </c>
      <c r="E47" s="4" t="str">
        <f>IFERROR(__xludf.DUMMYFUNCTION("""COMPUTED_VALUE"""),"Trường Đại học Bách Khoa, ĐHQG-HCM")</f>
        <v>Trường Đại học Bách Khoa, ĐHQG-HCM</v>
      </c>
      <c r="F47" s="4" t="str">
        <f>IFERROR(__xludf.DUMMYFUNCTION("""COMPUTED_VALUE"""),"KTCN2026-046.png")</f>
        <v>KTCN2026-046.png</v>
      </c>
    </row>
    <row r="48">
      <c r="A48" s="4" t="str">
        <f>IFERROR(__xludf.DUMMYFUNCTION("""COMPUTED_VALUE"""),"KTCN2026-047")</f>
        <v>KTCN2026-047</v>
      </c>
      <c r="B48" s="4" t="str">
        <f>IFERROR(__xludf.DUMMYFUNCTION("""COMPUTED_VALUE"""),"Kỹ thuật công nghệ")</f>
        <v>Kỹ thuật công nghệ</v>
      </c>
      <c r="C48" s="4" t="str">
        <f>IFERROR(__xludf.DUMMYFUNCTION("""COMPUTED_VALUE"""),"Thiết bị theo dõi sức khỏe thông minh")</f>
        <v>Thiết bị theo dõi sức khỏe thông minh</v>
      </c>
      <c r="D48" s="4" t="str">
        <f>IFERROR(__xludf.DUMMYFUNCTION("""COMPUTED_VALUE"""),"Đặng Trương Trí Đức; Phan Ngọc Gia Hân; Nguyễn Hoàng Phúc")</f>
        <v>Đặng Trương Trí Đức; Phan Ngọc Gia Hân; Nguyễn Hoàng Phúc</v>
      </c>
      <c r="E48" s="4" t="str">
        <f>IFERROR(__xludf.DUMMYFUNCTION("""COMPUTED_VALUE"""),"Trường Đại học Tôn Đức Thắng")</f>
        <v>Trường Đại học Tôn Đức Thắng</v>
      </c>
      <c r="F48" s="4" t="str">
        <f>IFERROR(__xludf.DUMMYFUNCTION("""COMPUTED_VALUE"""),"KTCN2026-047.png")</f>
        <v>KTCN2026-047.png</v>
      </c>
    </row>
    <row r="49">
      <c r="A49" s="4" t="str">
        <f>IFERROR(__xludf.DUMMYFUNCTION("""COMPUTED_VALUE"""),"KTCN2026-048")</f>
        <v>KTCN2026-048</v>
      </c>
      <c r="B49" s="4" t="str">
        <f>IFERROR(__xludf.DUMMYFUNCTION("""COMPUTED_VALUE"""),"Kỹ thuật công nghệ")</f>
        <v>Kỹ thuật công nghệ</v>
      </c>
      <c r="C49" s="4" t="str">
        <f>IFERROR(__xludf.DUMMYFUNCTION("""COMPUTED_VALUE"""),"Phát triển hệ thống sửa lỗi và chấm điểm chính tả tự động cho học sinh tiểu học")</f>
        <v>Phát triển hệ thống sửa lỗi và chấm điểm chính tả tự động cho học sinh tiểu học</v>
      </c>
      <c r="D49" s="4" t="str">
        <f>IFERROR(__xludf.DUMMYFUNCTION("""COMPUTED_VALUE"""),"Dương Thành Long; Phạm Nguyễn Tuấn Kiệt")</f>
        <v>Dương Thành Long; Phạm Nguyễn Tuấn Kiệt</v>
      </c>
      <c r="E49" s="4" t="str">
        <f>IFERROR(__xludf.DUMMYFUNCTION("""COMPUTED_VALUE"""),"Trường Đại học Tôn Đức Thắng")</f>
        <v>Trường Đại học Tôn Đức Thắng</v>
      </c>
      <c r="F49" s="4" t="str">
        <f>IFERROR(__xludf.DUMMYFUNCTION("""COMPUTED_VALUE"""),"KTCN2026-048.png")</f>
        <v>KTCN2026-048.png</v>
      </c>
    </row>
    <row r="50">
      <c r="A50" s="4" t="str">
        <f>IFERROR(__xludf.DUMMYFUNCTION("""COMPUTED_VALUE"""),"KTCN2026-049")</f>
        <v>KTCN2026-049</v>
      </c>
      <c r="B50" s="4" t="str">
        <f>IFERROR(__xludf.DUMMYFUNCTION("""COMPUTED_VALUE"""),"Kỹ thuật công nghệ")</f>
        <v>Kỹ thuật công nghệ</v>
      </c>
      <c r="C50" s="4" t="str">
        <f>IFERROR(__xludf.DUMMYFUNCTION("""COMPUTED_VALUE"""),"Thiết kế hệ thống phát hiện và cảnh báo ngủ gật khi lái xe")</f>
        <v>Thiết kế hệ thống phát hiện và cảnh báo ngủ gật khi lái xe</v>
      </c>
      <c r="D50" s="4" t="str">
        <f>IFERROR(__xludf.DUMMYFUNCTION("""COMPUTED_VALUE"""),"Trịnh Đăng Hà; Nguyễn Duy Khánh; Khổng Minh Duy")</f>
        <v>Trịnh Đăng Hà; Nguyễn Duy Khánh; Khổng Minh Duy</v>
      </c>
      <c r="E50" s="4" t="str">
        <f>IFERROR(__xludf.DUMMYFUNCTION("""COMPUTED_VALUE"""),"Trường Đại học Mở Hà Nội")</f>
        <v>Trường Đại học Mở Hà Nội</v>
      </c>
      <c r="F50" s="4" t="str">
        <f>IFERROR(__xludf.DUMMYFUNCTION("""COMPUTED_VALUE"""),"KTCN2026-049.png")</f>
        <v>KTCN2026-049.png</v>
      </c>
    </row>
    <row r="51">
      <c r="A51" s="4" t="str">
        <f>IFERROR(__xludf.DUMMYFUNCTION("""COMPUTED_VALUE"""),"KTCN2026-050")</f>
        <v>KTCN2026-050</v>
      </c>
      <c r="B51" s="4" t="str">
        <f>IFERROR(__xludf.DUMMYFUNCTION("""COMPUTED_VALUE"""),"Kỹ thuật công nghệ")</f>
        <v>Kỹ thuật công nghệ</v>
      </c>
      <c r="C51" s="4" t="str">
        <f>IFERROR(__xludf.DUMMYFUNCTION("""COMPUTED_VALUE"""),"Nghiên cứu, thiết kế, chế tạo tủ nhắc thuốc tự động")</f>
        <v>Nghiên cứu, thiết kế, chế tạo tủ nhắc thuốc tự động</v>
      </c>
      <c r="D51" s="4" t="str">
        <f>IFERROR(__xludf.DUMMYFUNCTION("""COMPUTED_VALUE"""),"Vũ Minh Đức; Lê Khắc Thịnh; Lê Hoàng Anh")</f>
        <v>Vũ Minh Đức; Lê Khắc Thịnh; Lê Hoàng Anh</v>
      </c>
      <c r="E51" s="4" t="str">
        <f>IFERROR(__xludf.DUMMYFUNCTION("""COMPUTED_VALUE"""),"Trường Đại học Mở Hà Nội")</f>
        <v>Trường Đại học Mở Hà Nội</v>
      </c>
      <c r="F51" s="4" t="str">
        <f>IFERROR(__xludf.DUMMYFUNCTION("""COMPUTED_VALUE"""),"KTCN2026-050.png")</f>
        <v>KTCN2026-050.png</v>
      </c>
    </row>
    <row r="52">
      <c r="A52" s="4" t="str">
        <f>IFERROR(__xludf.DUMMYFUNCTION("""COMPUTED_VALUE"""),"KTCN2026-051")</f>
        <v>KTCN2026-051</v>
      </c>
      <c r="B52" s="4" t="str">
        <f>IFERROR(__xludf.DUMMYFUNCTION("""COMPUTED_VALUE"""),"Kỹ thuật công nghệ")</f>
        <v>Kỹ thuật công nghệ</v>
      </c>
      <c r="C52" s="4" t="str">
        <f>IFERROR(__xludf.DUMMYFUNCTION("""COMPUTED_VALUE"""),"Ứng dụng thiết bị đeo thông minh phục vụ giám sát và cảnh báo tình trạng lính cứu hỏa trong môi trường nguy hiểm theo thời gian thực.")</f>
        <v>Ứng dụng thiết bị đeo thông minh phục vụ giám sát và cảnh báo tình trạng lính cứu hỏa trong môi trường nguy hiểm theo thời gian thực.</v>
      </c>
      <c r="D52" s="4" t="str">
        <f>IFERROR(__xludf.DUMMYFUNCTION("""COMPUTED_VALUE"""),"Bùi Việt Hoàn; Bàn Thị Duyên; Nguyễn Hà Khánh; Nguyễn Hậu Trọng; Đinh Ngọc Anh")</f>
        <v>Bùi Việt Hoàn; Bàn Thị Duyên; Nguyễn Hà Khánh; Nguyễn Hậu Trọng; Đinh Ngọc Anh</v>
      </c>
      <c r="E52" s="4" t="str">
        <f>IFERROR(__xludf.DUMMYFUNCTION("""COMPUTED_VALUE"""),"Đại học Phenikaa")</f>
        <v>Đại học Phenikaa</v>
      </c>
      <c r="F52" s="4" t="str">
        <f>IFERROR(__xludf.DUMMYFUNCTION("""COMPUTED_VALUE"""),"KTCN2026-051.png")</f>
        <v>KTCN2026-051.png</v>
      </c>
    </row>
    <row r="53">
      <c r="A53" s="4" t="str">
        <f>IFERROR(__xludf.DUMMYFUNCTION("""COMPUTED_VALUE"""),"KTCN2026-052")</f>
        <v>KTCN2026-052</v>
      </c>
      <c r="B53" s="4" t="str">
        <f>IFERROR(__xludf.DUMMYFUNCTION("""COMPUTED_VALUE"""),"Kỹ thuật công nghệ")</f>
        <v>Kỹ thuật công nghệ</v>
      </c>
      <c r="C53" s="4" t="str">
        <f>IFERROR(__xludf.DUMMYFUNCTION("""COMPUTED_VALUE"""),"Development of Sensor Probes and Deep-Learning Applications for Corrosion Detection and Quantification Using Pulsed Eddy Current Sensing Systems")</f>
        <v>Development of Sensor Probes and Deep-Learning Applications for Corrosion Detection and Quantification Using Pulsed Eddy Current Sensing Systems</v>
      </c>
      <c r="D53" s="4" t="str">
        <f>IFERROR(__xludf.DUMMYFUNCTION("""COMPUTED_VALUE"""),"Ngô Tùng Dương; Nguyễn Bá Long; Triệu Trung Hiếu; Lê Lan Chi")</f>
        <v>Ngô Tùng Dương; Nguyễn Bá Long; Triệu Trung Hiếu; Lê Lan Chi</v>
      </c>
      <c r="E53" s="4" t="str">
        <f>IFERROR(__xludf.DUMMYFUNCTION("""COMPUTED_VALUE"""),"Đại học Phenikaa")</f>
        <v>Đại học Phenikaa</v>
      </c>
      <c r="F53" s="4" t="str">
        <f>IFERROR(__xludf.DUMMYFUNCTION("""COMPUTED_VALUE"""),"KTCN2026-052.png")</f>
        <v>KTCN2026-052.png</v>
      </c>
    </row>
    <row r="54">
      <c r="A54" s="4" t="str">
        <f>IFERROR(__xludf.DUMMYFUNCTION("""COMPUTED_VALUE"""),"KTCN2026-053")</f>
        <v>KTCN2026-053</v>
      </c>
      <c r="B54" s="4" t="str">
        <f>IFERROR(__xludf.DUMMYFUNCTION("""COMPUTED_VALUE"""),"Kỹ thuật công nghệ")</f>
        <v>Kỹ thuật công nghệ</v>
      </c>
      <c r="C54" s="4" t="str">
        <f>IFERROR(__xludf.DUMMYFUNCTION("""COMPUTED_VALUE"""),"AI Co-Scientist: A Human-in-the-Loop Automated System for Non-Destructive Testing")</f>
        <v>AI Co-Scientist: A Human-in-the-Loop Automated System for Non-Destructive Testing</v>
      </c>
      <c r="D54" s="4" t="str">
        <f>IFERROR(__xludf.DUMMYFUNCTION("""COMPUTED_VALUE"""),"Lê Đức Hòa")</f>
        <v>Lê Đức Hòa</v>
      </c>
      <c r="E54" s="4" t="str">
        <f>IFERROR(__xludf.DUMMYFUNCTION("""COMPUTED_VALUE"""),"Đại học Phenikaa")</f>
        <v>Đại học Phenikaa</v>
      </c>
      <c r="F54" s="4" t="str">
        <f>IFERROR(__xludf.DUMMYFUNCTION("""COMPUTED_VALUE"""),"KTCN2026-053.png")</f>
        <v>KTCN2026-053.png</v>
      </c>
    </row>
    <row r="55">
      <c r="A55" s="4" t="str">
        <f>IFERROR(__xludf.DUMMYFUNCTION("""COMPUTED_VALUE"""),"KTCN2026-054")</f>
        <v>KTCN2026-054</v>
      </c>
      <c r="B55" s="4" t="str">
        <f>IFERROR(__xludf.DUMMYFUNCTION("""COMPUTED_VALUE"""),"Kỹ thuật công nghệ")</f>
        <v>Kỹ thuật công nghệ</v>
      </c>
      <c r="C55" s="4" t="str">
        <f>IFERROR(__xludf.DUMMYFUNCTION("""COMPUTED_VALUE"""),"NGHIÊN CỨU, THIẾT KẾ VÀ CHẾ TẠO BỘ LỌC TÍCH CỰC MỘT PHA TÍCH HỢP IoT GIÁM SÁT, ĐIỀU KHIỂN VÀ GIẢM SÓNG HÀI TRONG HỆ THỐNG ĐIỆN TÒA NHÀ")</f>
        <v>NGHIÊN CỨU, THIẾT KẾ VÀ CHẾ TẠO BỘ LỌC TÍCH CỰC MỘT PHA TÍCH HỢP IoT GIÁM SÁT, ĐIỀU KHIỂN VÀ GIẢM SÓNG HÀI TRONG HỆ THỐNG ĐIỆN TÒA NHÀ</v>
      </c>
      <c r="D55" s="4" t="str">
        <f>IFERROR(__xludf.DUMMYFUNCTION("""COMPUTED_VALUE"""),"Đăng Xuân Bách; Vũ Anh Đức; Nguyễn Đức Thắng")</f>
        <v>Đăng Xuân Bách; Vũ Anh Đức; Nguyễn Đức Thắng</v>
      </c>
      <c r="E55" s="4" t="str">
        <f>IFERROR(__xludf.DUMMYFUNCTION("""COMPUTED_VALUE"""),"Trường Đại học Công nghiệp TP. Hồ Chí Minh")</f>
        <v>Trường Đại học Công nghiệp TP. Hồ Chí Minh</v>
      </c>
      <c r="F55" s="4" t="str">
        <f>IFERROR(__xludf.DUMMYFUNCTION("""COMPUTED_VALUE"""),"KTCN2026-054.png")</f>
        <v>KTCN2026-054.png</v>
      </c>
    </row>
    <row r="56">
      <c r="A56" s="4" t="str">
        <f>IFERROR(__xludf.DUMMYFUNCTION("""COMPUTED_VALUE"""),"KTCN2026-055")</f>
        <v>KTCN2026-055</v>
      </c>
      <c r="B56" s="4" t="str">
        <f>IFERROR(__xludf.DUMMYFUNCTION("""COMPUTED_VALUE"""),"Kỹ thuật công nghệ")</f>
        <v>Kỹ thuật công nghệ</v>
      </c>
      <c r="C56" s="4" t="str">
        <f>IFERROR(__xludf.DUMMYFUNCTION("""COMPUTED_VALUE"""),"Nghiên cứu thiết kế và chế tạo Drone sử dụng ESP32 và MPU6050")</f>
        <v>Nghiên cứu thiết kế và chế tạo Drone sử dụng ESP32 và MPU6050</v>
      </c>
      <c r="D56" s="4" t="str">
        <f>IFERROR(__xludf.DUMMYFUNCTION("""COMPUTED_VALUE"""),"Nguyễn Hà Nam Khánh; Hoàng Phạm Trung Thái; Trần Anh Quân")</f>
        <v>Nguyễn Hà Nam Khánh; Hoàng Phạm Trung Thái; Trần Anh Quân</v>
      </c>
      <c r="E56" s="4" t="str">
        <f>IFERROR(__xludf.DUMMYFUNCTION("""COMPUTED_VALUE"""),"Trường Đại học CMC")</f>
        <v>Trường Đại học CMC</v>
      </c>
      <c r="F56" s="4" t="str">
        <f>IFERROR(__xludf.DUMMYFUNCTION("""COMPUTED_VALUE"""),"KTCN2026-055.png")</f>
        <v>KTCN2026-055.png</v>
      </c>
    </row>
    <row r="57">
      <c r="A57" s="4" t="str">
        <f>IFERROR(__xludf.DUMMYFUNCTION("""COMPUTED_VALUE"""),"KTCN2026-056")</f>
        <v>KTCN2026-056</v>
      </c>
      <c r="B57" s="4" t="str">
        <f>IFERROR(__xludf.DUMMYFUNCTION("""COMPUTED_VALUE"""),"Kỹ thuật công nghệ")</f>
        <v>Kỹ thuật công nghệ</v>
      </c>
      <c r="C57" s="4" t="str">
        <f>IFERROR(__xludf.DUMMYFUNCTION("""COMPUTED_VALUE"""),"Nghiên cứu, thiết kế bộ KIT vệ sinh tự động dành cho máy pha cà phê.")</f>
        <v>Nghiên cứu, thiết kế bộ KIT vệ sinh tự động dành cho máy pha cà phê.</v>
      </c>
      <c r="D57" s="4" t="str">
        <f>IFERROR(__xludf.DUMMYFUNCTION("""COMPUTED_VALUE"""),"Trần Quang Khải; Nguyễn Hoàng Trung Trực; Nguyễn Thiện Tấn Tài; Đoàn Minh Phương; Nguyễn Thùy Trang")</f>
        <v>Trần Quang Khải; Nguyễn Hoàng Trung Trực; Nguyễn Thiện Tấn Tài; Đoàn Minh Phương; Nguyễn Thùy Trang</v>
      </c>
      <c r="E57" s="4" t="str">
        <f>IFERROR(__xludf.DUMMYFUNCTION("""COMPUTED_VALUE"""),"Trường Đại học Công nghệ Đồng Nai")</f>
        <v>Trường Đại học Công nghệ Đồng Nai</v>
      </c>
      <c r="F57" s="4" t="str">
        <f>IFERROR(__xludf.DUMMYFUNCTION("""COMPUTED_VALUE"""),"KTCN2026-056.png")</f>
        <v>KTCN2026-056.png</v>
      </c>
    </row>
    <row r="58">
      <c r="A58" s="4" t="str">
        <f>IFERROR(__xludf.DUMMYFUNCTION("""COMPUTED_VALUE"""),"KTCN2026-057")</f>
        <v>KTCN2026-057</v>
      </c>
      <c r="B58" s="4" t="str">
        <f>IFERROR(__xludf.DUMMYFUNCTION("""COMPUTED_VALUE"""),"Kỹ thuật công nghệ")</f>
        <v>Kỹ thuật công nghệ</v>
      </c>
      <c r="C58" s="4" t="str">
        <f>IFERROR(__xludf.DUMMYFUNCTION("""COMPUTED_VALUE"""),"Thiết kế vi mạch mã hóa và giải mã AES-128 trên FPGA")</f>
        <v>Thiết kế vi mạch mã hóa và giải mã AES-128 trên FPGA</v>
      </c>
      <c r="D58" s="4" t="str">
        <f>IFERROR(__xludf.DUMMYFUNCTION("""COMPUTED_VALUE"""),"Vũ Như Mạnh; Dương Quốc An")</f>
        <v>Vũ Như Mạnh; Dương Quốc An</v>
      </c>
      <c r="E58" s="4" t="str">
        <f>IFERROR(__xludf.DUMMYFUNCTION("""COMPUTED_VALUE"""),"Trường Đại học Công nghệ TP. Hồ Chí Minh")</f>
        <v>Trường Đại học Công nghệ TP. Hồ Chí Minh</v>
      </c>
      <c r="F58" s="4" t="str">
        <f>IFERROR(__xludf.DUMMYFUNCTION("""COMPUTED_VALUE"""),"KTCN2026-057.png")</f>
        <v>KTCN2026-057.png</v>
      </c>
    </row>
    <row r="59">
      <c r="A59" s="4" t="str">
        <f>IFERROR(__xludf.DUMMYFUNCTION("""COMPUTED_VALUE"""),"KTCN2026-058")</f>
        <v>KTCN2026-058</v>
      </c>
      <c r="B59" s="4" t="str">
        <f>IFERROR(__xludf.DUMMYFUNCTION("""COMPUTED_VALUE"""),"Kỹ thuật công nghệ")</f>
        <v>Kỹ thuật công nghệ</v>
      </c>
      <c r="C59" s="4" t="str">
        <f>IFERROR(__xludf.DUMMYFUNCTION("""COMPUTED_VALUE"""),"Nghiên cứu chế tạo robot cân bằng hai bánh")</f>
        <v>Nghiên cứu chế tạo robot cân bằng hai bánh</v>
      </c>
      <c r="D59" s="4" t="str">
        <f>IFERROR(__xludf.DUMMYFUNCTION("""COMPUTED_VALUE"""),"Bùi Tiến Đạt")</f>
        <v>Bùi Tiến Đạt</v>
      </c>
      <c r="E59" s="4" t="str">
        <f>IFERROR(__xludf.DUMMYFUNCTION("""COMPUTED_VALUE"""),"Trường Đại học CMC")</f>
        <v>Trường Đại học CMC</v>
      </c>
      <c r="F59" s="4" t="str">
        <f>IFERROR(__xludf.DUMMYFUNCTION("""COMPUTED_VALUE"""),"KTCN2026-058.png")</f>
        <v>KTCN2026-058.png</v>
      </c>
    </row>
    <row r="60">
      <c r="A60" s="4" t="str">
        <f>IFERROR(__xludf.DUMMYFUNCTION("""COMPUTED_VALUE"""),"KTCN2026-059")</f>
        <v>KTCN2026-059</v>
      </c>
      <c r="B60" s="4" t="str">
        <f>IFERROR(__xludf.DUMMYFUNCTION("""COMPUTED_VALUE"""),"Kỹ thuật công nghệ")</f>
        <v>Kỹ thuật công nghệ</v>
      </c>
      <c r="C60" s="4" t="str">
        <f>IFERROR(__xludf.DUMMYFUNCTION("""COMPUTED_VALUE"""),"Lượng tử hóa mô hình học sâu cho bài toán đếm và phân loại phương tiện giao thông")</f>
        <v>Lượng tử hóa mô hình học sâu cho bài toán đếm và phân loại phương tiện giao thông</v>
      </c>
      <c r="D60" s="4" t="str">
        <f>IFERROR(__xludf.DUMMYFUNCTION("""COMPUTED_VALUE"""),"Nguyễn Ngọc Mỹ; Lê Ngọc Tuyết My; Nguyễn Thão Trang; Nguyễn Thị Cẩm Nhung; Nguyễn Duy Lâm")</f>
        <v>Nguyễn Ngọc Mỹ; Lê Ngọc Tuyết My; Nguyễn Thão Trang; Nguyễn Thị Cẩm Nhung; Nguyễn Duy Lâm</v>
      </c>
      <c r="E60" s="4" t="str">
        <f>IFERROR(__xludf.DUMMYFUNCTION("""COMPUTED_VALUE"""),"Phân hiệu Trường Đại học Giao thông vận tải tại TP. Hồ Chí Minh")</f>
        <v>Phân hiệu Trường Đại học Giao thông vận tải tại TP. Hồ Chí Minh</v>
      </c>
      <c r="F60" s="4" t="str">
        <f>IFERROR(__xludf.DUMMYFUNCTION("""COMPUTED_VALUE"""),"KTCN2026-059.png")</f>
        <v>KTCN2026-059.png</v>
      </c>
    </row>
    <row r="61">
      <c r="A61" s="4" t="str">
        <f>IFERROR(__xludf.DUMMYFUNCTION("""COMPUTED_VALUE"""),"KTCN2026-060")</f>
        <v>KTCN2026-060</v>
      </c>
      <c r="B61" s="4" t="str">
        <f>IFERROR(__xludf.DUMMYFUNCTION("""COMPUTED_VALUE"""),"Kỹ thuật công nghệ")</f>
        <v>Kỹ thuật công nghệ</v>
      </c>
      <c r="C61" s="4" t="str">
        <f>IFERROR(__xludf.DUMMYFUNCTION("""COMPUTED_VALUE"""),"Nghiên cứu xây dựng bộ giảm áp đa mức ứng dụng trong hệ thống năng lượng tái tạo")</f>
        <v>Nghiên cứu xây dựng bộ giảm áp đa mức ứng dụng trong hệ thống năng lượng tái tạo</v>
      </c>
      <c r="D61" s="4" t="str">
        <f>IFERROR(__xludf.DUMMYFUNCTION("""COMPUTED_VALUE"""),"Nguyễn Văn Tiến; Phan Văn Ninh")</f>
        <v>Nguyễn Văn Tiến; Phan Văn Ninh</v>
      </c>
      <c r="E61" s="4" t="str">
        <f>IFERROR(__xludf.DUMMYFUNCTION("""COMPUTED_VALUE"""),"Phân hiệu Trường Đại học Giao thông vận tải tại TP. Hồ Chí Minh")</f>
        <v>Phân hiệu Trường Đại học Giao thông vận tải tại TP. Hồ Chí Minh</v>
      </c>
      <c r="F61" s="4" t="str">
        <f>IFERROR(__xludf.DUMMYFUNCTION("""COMPUTED_VALUE"""),"KTCN2026-060.png")</f>
        <v>KTCN2026-060.png</v>
      </c>
    </row>
    <row r="62">
      <c r="A62" s="4" t="str">
        <f>IFERROR(__xludf.DUMMYFUNCTION("""COMPUTED_VALUE"""),"KTCN2026-061")</f>
        <v>KTCN2026-061</v>
      </c>
      <c r="B62" s="4" t="str">
        <f>IFERROR(__xludf.DUMMYFUNCTION("""COMPUTED_VALUE"""),"Kỹ thuật công nghệ")</f>
        <v>Kỹ thuật công nghệ</v>
      </c>
      <c r="C62" s="4" t="str">
        <f>IFERROR(__xludf.DUMMYFUNCTION("""COMPUTED_VALUE"""),"Thiết kế, thi công hệ thống ATS dùng LOGO SIEMENS giám sát qua tin nhắn")</f>
        <v>Thiết kế, thi công hệ thống ATS dùng LOGO SIEMENS giám sát qua tin nhắn</v>
      </c>
      <c r="D62" s="4" t="str">
        <f>IFERROR(__xludf.DUMMYFUNCTION("""COMPUTED_VALUE"""),"Huỳnh Gia Bảo")</f>
        <v>Huỳnh Gia Bảo</v>
      </c>
      <c r="E62" s="4" t="str">
        <f>IFERROR(__xludf.DUMMYFUNCTION("""COMPUTED_VALUE"""),"Trường Đại học Công Thương TP. Hồ Chí Minh")</f>
        <v>Trường Đại học Công Thương TP. Hồ Chí Minh</v>
      </c>
      <c r="F62" s="4" t="str">
        <f>IFERROR(__xludf.DUMMYFUNCTION("""COMPUTED_VALUE"""),"KTCN2026-061.png")</f>
        <v>KTCN2026-061.png</v>
      </c>
    </row>
    <row r="63">
      <c r="A63" s="4" t="str">
        <f>IFERROR(__xludf.DUMMYFUNCTION("""COMPUTED_VALUE"""),"KTCN2026-062")</f>
        <v>KTCN2026-062</v>
      </c>
      <c r="B63" s="4" t="str">
        <f>IFERROR(__xludf.DUMMYFUNCTION("""COMPUTED_VALUE"""),"Kỹ thuật công nghệ")</f>
        <v>Kỹ thuật công nghệ</v>
      </c>
      <c r="C63" s="4" t="str">
        <f>IFERROR(__xludf.DUMMYFUNCTION("""COMPUTED_VALUE"""),"Máy thu hoạch và đóng gói rau tự động")</f>
        <v>Máy thu hoạch và đóng gói rau tự động</v>
      </c>
      <c r="D63" s="4" t="str">
        <f>IFERROR(__xludf.DUMMYFUNCTION("""COMPUTED_VALUE"""),"Nguyễn Huỳnh Phúc Lượng; Nguyễn Khánh Duy")</f>
        <v>Nguyễn Huỳnh Phúc Lượng; Nguyễn Khánh Duy</v>
      </c>
      <c r="E63" s="4" t="str">
        <f>IFERROR(__xludf.DUMMYFUNCTION("""COMPUTED_VALUE"""),"Trường Đại học Văn Hiến")</f>
        <v>Trường Đại học Văn Hiến</v>
      </c>
      <c r="F63" s="4" t="str">
        <f>IFERROR(__xludf.DUMMYFUNCTION("""COMPUTED_VALUE"""),"KTCN2026-062.png")</f>
        <v>KTCN2026-062.png</v>
      </c>
    </row>
    <row r="64">
      <c r="A64" s="4" t="str">
        <f>IFERROR(__xludf.DUMMYFUNCTION("""COMPUTED_VALUE"""),"KTCN2026-063")</f>
        <v>KTCN2026-063</v>
      </c>
      <c r="B64" s="4" t="str">
        <f>IFERROR(__xludf.DUMMYFUNCTION("""COMPUTED_VALUE"""),"Kỹ thuật công nghệ")</f>
        <v>Kỹ thuật công nghệ</v>
      </c>
      <c r="C64" s="4" t="str">
        <f>IFERROR(__xludf.DUMMYFUNCTION("""COMPUTED_VALUE"""),"Xuồng vớt rác nổi tự động trên kênh rạch Thành phố Hồ Chí Minh")</f>
        <v>Xuồng vớt rác nổi tự động trên kênh rạch Thành phố Hồ Chí Minh</v>
      </c>
      <c r="D64" s="4" t="str">
        <f>IFERROR(__xludf.DUMMYFUNCTION("""COMPUTED_VALUE"""),"Nguyễn Ngọc Nhiều; Nguyễn Hữu Trọng; Nguyễn Đăng Khoa")</f>
        <v>Nguyễn Ngọc Nhiều; Nguyễn Hữu Trọng; Nguyễn Đăng Khoa</v>
      </c>
      <c r="E64" s="4" t="str">
        <f>IFERROR(__xludf.DUMMYFUNCTION("""COMPUTED_VALUE"""),"Trường Đại học Văn Hiến")</f>
        <v>Trường Đại học Văn Hiến</v>
      </c>
      <c r="F64" s="4" t="str">
        <f>IFERROR(__xludf.DUMMYFUNCTION("""COMPUTED_VALUE"""),"KTCN2026-063.png")</f>
        <v>KTCN2026-063.png</v>
      </c>
    </row>
    <row r="65">
      <c r="A65" s="4" t="str">
        <f>IFERROR(__xludf.DUMMYFUNCTION("""COMPUTED_VALUE"""),"KTCN2026-064")</f>
        <v>KTCN2026-064</v>
      </c>
      <c r="B65" s="4" t="str">
        <f>IFERROR(__xludf.DUMMYFUNCTION("""COMPUTED_VALUE"""),"Kỹ thuật công nghệ")</f>
        <v>Kỹ thuật công nghệ</v>
      </c>
      <c r="C65" s="4" t="str">
        <f>IFERROR(__xludf.DUMMYFUNCTION("""COMPUTED_VALUE"""),"Máy phân loại trái cây tự động")</f>
        <v>Máy phân loại trái cây tự động</v>
      </c>
      <c r="D65" s="4" t="str">
        <f>IFERROR(__xludf.DUMMYFUNCTION("""COMPUTED_VALUE"""),"Nguyễn Khánh Duy; Nguyễn Huỳnh Phúc Lượng; Nguyễn Thanh Duy")</f>
        <v>Nguyễn Khánh Duy; Nguyễn Huỳnh Phúc Lượng; Nguyễn Thanh Duy</v>
      </c>
      <c r="E65" s="4" t="str">
        <f>IFERROR(__xludf.DUMMYFUNCTION("""COMPUTED_VALUE"""),"Trường Đại học Văn Hiến")</f>
        <v>Trường Đại học Văn Hiến</v>
      </c>
      <c r="F65" s="4" t="str">
        <f>IFERROR(__xludf.DUMMYFUNCTION("""COMPUTED_VALUE"""),"KTCN2026-064.png")</f>
        <v>KTCN2026-064.png</v>
      </c>
    </row>
    <row r="66">
      <c r="A66" s="4" t="str">
        <f>IFERROR(__xludf.DUMMYFUNCTION("""COMPUTED_VALUE"""),"KTCN2026-065")</f>
        <v>KTCN2026-065</v>
      </c>
      <c r="B66" s="4" t="str">
        <f>IFERROR(__xludf.DUMMYFUNCTION("""COMPUTED_VALUE"""),"Kỹ thuật công nghệ")</f>
        <v>Kỹ thuật công nghệ</v>
      </c>
      <c r="C66" s="4" t="str">
        <f>IFERROR(__xludf.DUMMYFUNCTION("""COMPUTED_VALUE"""),"Hệ thống đo lường và cảnh báo bụi ứng dụng công nghệ IoT")</f>
        <v>Hệ thống đo lường và cảnh báo bụi ứng dụng công nghệ IoT</v>
      </c>
      <c r="D66" s="4" t="str">
        <f>IFERROR(__xludf.DUMMYFUNCTION("""COMPUTED_VALUE"""),"Huỳnh Thiện Bảo")</f>
        <v>Huỳnh Thiện Bảo</v>
      </c>
      <c r="E66" s="4" t="str">
        <f>IFERROR(__xludf.DUMMYFUNCTION("""COMPUTED_VALUE"""),"Trường Đại học Công Thương TP. Hồ Chí Minh")</f>
        <v>Trường Đại học Công Thương TP. Hồ Chí Minh</v>
      </c>
      <c r="F66" s="4" t="str">
        <f>IFERROR(__xludf.DUMMYFUNCTION("""COMPUTED_VALUE"""),"KTCN2026-065.png")</f>
        <v>KTCN2026-065.png</v>
      </c>
    </row>
    <row r="67">
      <c r="A67" s="4" t="str">
        <f>IFERROR(__xludf.DUMMYFUNCTION("""COMPUTED_VALUE"""),"KTCN2026-066")</f>
        <v>KTCN2026-066</v>
      </c>
      <c r="B67" s="4" t="str">
        <f>IFERROR(__xludf.DUMMYFUNCTION("""COMPUTED_VALUE"""),"Kỹ thuật công nghệ")</f>
        <v>Kỹ thuật công nghệ</v>
      </c>
      <c r="C67" s="4" t="str">
        <f>IFERROR(__xludf.DUMMYFUNCTION("""COMPUTED_VALUE"""),"Thiết kế và chế tạo robot sơn tường tự động")</f>
        <v>Thiết kế và chế tạo robot sơn tường tự động</v>
      </c>
      <c r="D67" s="4" t="str">
        <f>IFERROR(__xludf.DUMMYFUNCTION("""COMPUTED_VALUE"""),"Phan Chí Bảo; Nguyễn Văn Nhân")</f>
        <v>Phan Chí Bảo; Nguyễn Văn Nhân</v>
      </c>
      <c r="E67" s="4" t="str">
        <f>IFERROR(__xludf.DUMMYFUNCTION("""COMPUTED_VALUE"""),"Trường Đại học Công Thương TP. Hồ Chí Minh")</f>
        <v>Trường Đại học Công Thương TP. Hồ Chí Minh</v>
      </c>
      <c r="F67" s="4" t="str">
        <f>IFERROR(__xludf.DUMMYFUNCTION("""COMPUTED_VALUE"""),"KTCN2026-066.png")</f>
        <v>KTCN2026-066.png</v>
      </c>
    </row>
    <row r="68">
      <c r="A68" s="4" t="str">
        <f>IFERROR(__xludf.DUMMYFUNCTION("""COMPUTED_VALUE"""),"KTCN2026-067")</f>
        <v>KTCN2026-067</v>
      </c>
      <c r="B68" s="4" t="str">
        <f>IFERROR(__xludf.DUMMYFUNCTION("""COMPUTED_VALUE"""),"Kỹ thuật công nghệ")</f>
        <v>Kỹ thuật công nghệ</v>
      </c>
      <c r="C68" s="4" t="str">
        <f>IFERROR(__xludf.DUMMYFUNCTION("""COMPUTED_VALUE"""),"Hệ thống trí tuệ nhân tạo trên FPGA xử lý dữ liệu y sinh thời gian thực")</f>
        <v>Hệ thống trí tuệ nhân tạo trên FPGA xử lý dữ liệu y sinh thời gian thực</v>
      </c>
      <c r="D68" s="4" t="str">
        <f>IFERROR(__xludf.DUMMYFUNCTION("""COMPUTED_VALUE"""),"Vũ Hiếu Nghĩa; Võ Nguyễn Cường")</f>
        <v>Vũ Hiếu Nghĩa; Võ Nguyễn Cường</v>
      </c>
      <c r="E68" s="4" t="str">
        <f>IFERROR(__xludf.DUMMYFUNCTION("""COMPUTED_VALUE"""),"Trường Đại học Công nghệ Thông tin và Truyền thông Việt - Hàn, Đại học Đà Nẵng")</f>
        <v>Trường Đại học Công nghệ Thông tin và Truyền thông Việt - Hàn, Đại học Đà Nẵng</v>
      </c>
      <c r="F68" s="4" t="str">
        <f>IFERROR(__xludf.DUMMYFUNCTION("""COMPUTED_VALUE"""),"KTCN2026-067.png")</f>
        <v>KTCN2026-067.png</v>
      </c>
    </row>
    <row r="69">
      <c r="A69" s="4" t="str">
        <f>IFERROR(__xludf.DUMMYFUNCTION("""COMPUTED_VALUE"""),"KTCN2026-068")</f>
        <v>KTCN2026-068</v>
      </c>
      <c r="B69" s="4" t="str">
        <f>IFERROR(__xludf.DUMMYFUNCTION("""COMPUTED_VALUE"""),"Kỹ thuật công nghệ")</f>
        <v>Kỹ thuật công nghệ</v>
      </c>
      <c r="C69" s="4" t="str">
        <f>IFERROR(__xludf.DUMMYFUNCTION("""COMPUTED_VALUE"""),"Thiết kế kiến trúc ánh xạ hai chế độ có nhận biết tái sử dụng cho bộ tăng tốc Folded-SIMD trên các mạng tín hiệu sinh học 1D không đồng nhất.")</f>
        <v>Thiết kế kiến trúc ánh xạ hai chế độ có nhận biết tái sử dụng cho bộ tăng tốc Folded-SIMD trên các mạng tín hiệu sinh học 1D không đồng nhất.</v>
      </c>
      <c r="D69" s="4" t="str">
        <f>IFERROR(__xludf.DUMMYFUNCTION("""COMPUTED_VALUE"""),"Phạm Quốc Thịnh")</f>
        <v>Phạm Quốc Thịnh</v>
      </c>
      <c r="E69" s="4" t="str">
        <f>IFERROR(__xludf.DUMMYFUNCTION("""COMPUTED_VALUE"""),"Trường Đại học Khoa học Tự nhiên, ĐHQG-HCM")</f>
        <v>Trường Đại học Khoa học Tự nhiên, ĐHQG-HCM</v>
      </c>
      <c r="F69" s="4" t="str">
        <f>IFERROR(__xludf.DUMMYFUNCTION("""COMPUTED_VALUE"""),"KTCN2026-068.png")</f>
        <v>KTCN2026-068.png</v>
      </c>
    </row>
    <row r="70">
      <c r="A70" s="4" t="str">
        <f>IFERROR(__xludf.DUMMYFUNCTION("""COMPUTED_VALUE"""),"KTCN2026-069")</f>
        <v>KTCN2026-069</v>
      </c>
      <c r="B70" s="4" t="str">
        <f>IFERROR(__xludf.DUMMYFUNCTION("""COMPUTED_VALUE"""),"Kỹ thuật công nghệ")</f>
        <v>Kỹ thuật công nghệ</v>
      </c>
      <c r="C70" s="4" t="str">
        <f>IFERROR(__xludf.DUMMYFUNCTION("""COMPUTED_VALUE"""),"Ứng dụng phương pháp Entropy Weighting và Simple Additive Weighting phục vụ xếp hạng phụ tải trong lưới điện Microgrid")</f>
        <v>Ứng dụng phương pháp Entropy Weighting và Simple Additive Weighting phục vụ xếp hạng phụ tải trong lưới điện Microgrid</v>
      </c>
      <c r="D70" s="4" t="str">
        <f>IFERROR(__xludf.DUMMYFUNCTION("""COMPUTED_VALUE"""),"Nguyễn Thành Khoa")</f>
        <v>Nguyễn Thành Khoa</v>
      </c>
      <c r="E70" s="4" t="str">
        <f>IFERROR(__xludf.DUMMYFUNCTION("""COMPUTED_VALUE"""),"Trường Đại học Công nghệ Kỹ thuật TP. Hồ Chí Minh")</f>
        <v>Trường Đại học Công nghệ Kỹ thuật TP. Hồ Chí Minh</v>
      </c>
      <c r="F70" s="4" t="str">
        <f>IFERROR(__xludf.DUMMYFUNCTION("""COMPUTED_VALUE"""),"KTCN2026-069.png")</f>
        <v>KTCN2026-069.png</v>
      </c>
    </row>
    <row r="71">
      <c r="A71" s="4" t="str">
        <f>IFERROR(__xludf.DUMMYFUNCTION("""COMPUTED_VALUE"""),"KTCN2026-070")</f>
        <v>KTCN2026-070</v>
      </c>
      <c r="B71" s="4" t="str">
        <f>IFERROR(__xludf.DUMMYFUNCTION("""COMPUTED_VALUE"""),"Kỹ thuật công nghệ")</f>
        <v>Kỹ thuật công nghệ</v>
      </c>
      <c r="C71" s="4" t="str">
        <f>IFERROR(__xludf.DUMMYFUNCTION("""COMPUTED_VALUE"""),"XÂY DỰNG HỆ THỐNG ĐIỀU KHIỂN MÁY TÍNH ỨNG DỤNG ÁNH XẠ TUYẾN TÍNH VÀ MÔ HÌNH NGÔN NGỮ LỚN DÀNH CHO NGƯỜI SUY GIẢM VẬN ĐỘNG TAY")</f>
        <v>XÂY DỰNG HỆ THỐNG ĐIỀU KHIỂN MÁY TÍNH ỨNG DỤNG ÁNH XẠ TUYẾN TÍNH VÀ MÔ HÌNH NGÔN NGỮ LỚN DÀNH CHO NGƯỜI SUY GIẢM VẬN ĐỘNG TAY</v>
      </c>
      <c r="D71" s="4" t="str">
        <f>IFERROR(__xludf.DUMMYFUNCTION("""COMPUTED_VALUE"""),"Đào Đăng Khoa; Tạ Phúc Lâm")</f>
        <v>Đào Đăng Khoa; Tạ Phúc Lâm</v>
      </c>
      <c r="E71" s="4" t="str">
        <f>IFERROR(__xludf.DUMMYFUNCTION("""COMPUTED_VALUE"""),"Trường Đại học Công nghệ Kỹ thuật TP. Hồ Chí Minh")</f>
        <v>Trường Đại học Công nghệ Kỹ thuật TP. Hồ Chí Minh</v>
      </c>
      <c r="F71" s="4" t="str">
        <f>IFERROR(__xludf.DUMMYFUNCTION("""COMPUTED_VALUE"""),"KTCN2026-070.png")</f>
        <v>KTCN2026-070.png</v>
      </c>
    </row>
    <row r="72">
      <c r="A72" s="4" t="str">
        <f>IFERROR(__xludf.DUMMYFUNCTION("""COMPUTED_VALUE"""),"KTCN2026-071")</f>
        <v>KTCN2026-071</v>
      </c>
      <c r="B72" s="4" t="str">
        <f>IFERROR(__xludf.DUMMYFUNCTION("""COMPUTED_VALUE"""),"Kỹ thuật công nghệ")</f>
        <v>Kỹ thuật công nghệ</v>
      </c>
      <c r="C72" s="4" t="str">
        <f>IFERROR(__xludf.DUMMYFUNCTION("""COMPUTED_VALUE"""),"Ứng dụng IOT và PLC trong hệ thống phân loại sản phẩm dựa trên màu sắc")</f>
        <v>Ứng dụng IOT và PLC trong hệ thống phân loại sản phẩm dựa trên màu sắc</v>
      </c>
      <c r="D72" s="4" t="str">
        <f>IFERROR(__xludf.DUMMYFUNCTION("""COMPUTED_VALUE"""),"Nguyễn Thành Đạt; Phạm Nguyễn Minh Tiến")</f>
        <v>Nguyễn Thành Đạt; Phạm Nguyễn Minh Tiến</v>
      </c>
      <c r="E72" s="4" t="str">
        <f>IFERROR(__xludf.DUMMYFUNCTION("""COMPUTED_VALUE"""),"Trường Đại học Thủ Dầu Một")</f>
        <v>Trường Đại học Thủ Dầu Một</v>
      </c>
      <c r="F72" s="4" t="str">
        <f>IFERROR(__xludf.DUMMYFUNCTION("""COMPUTED_VALUE"""),"KTCN2026-071.png")</f>
        <v>KTCN2026-071.png</v>
      </c>
    </row>
    <row r="73">
      <c r="A73" s="4" t="str">
        <f>IFERROR(__xludf.DUMMYFUNCTION("""COMPUTED_VALUE"""),"KTCN2026-072")</f>
        <v>KTCN2026-072</v>
      </c>
      <c r="B73" s="4" t="str">
        <f>IFERROR(__xludf.DUMMYFUNCTION("""COMPUTED_VALUE"""),"Kỹ thuật công nghệ")</f>
        <v>Kỹ thuật công nghệ</v>
      </c>
      <c r="C73" s="4" t="str">
        <f>IFERROR(__xludf.DUMMYFUNCTION("""COMPUTED_VALUE"""),"Nghiên cứu thiết kế bộ tăng tốc phần cứng sử dụng mô hình mạng nơ ron MOBILENETV2-ECA trong ứng dụng phân loại âm thanh tại biên thời gian thực trên FPGA SOC")</f>
        <v>Nghiên cứu thiết kế bộ tăng tốc phần cứng sử dụng mô hình mạng nơ ron MOBILENETV2-ECA trong ứng dụng phân loại âm thanh tại biên thời gian thực trên FPGA SOC</v>
      </c>
      <c r="D73" s="4" t="str">
        <f>IFERROR(__xludf.DUMMYFUNCTION("""COMPUTED_VALUE"""),"Vũ Tiến Quốc; Nguyễn Duyên Huy; Trần Nguyễn Nhật Tân; Phan Quang Hưng; Nguyễn Văn Quyến")</f>
        <v>Vũ Tiến Quốc; Nguyễn Duyên Huy; Trần Nguyễn Nhật Tân; Phan Quang Hưng; Nguyễn Văn Quyến</v>
      </c>
      <c r="E73" s="4" t="str">
        <f>IFERROR(__xludf.DUMMYFUNCTION("""COMPUTED_VALUE"""),"Học viện Công nghệ Bưu chính Viễn thông")</f>
        <v>Học viện Công nghệ Bưu chính Viễn thông</v>
      </c>
      <c r="F73" s="4" t="str">
        <f>IFERROR(__xludf.DUMMYFUNCTION("""COMPUTED_VALUE"""),"KTCN2026-072.png")</f>
        <v>KTCN2026-072.png</v>
      </c>
    </row>
    <row r="74">
      <c r="A74" s="4" t="str">
        <f>IFERROR(__xludf.DUMMYFUNCTION("""COMPUTED_VALUE"""),"KTCN2026-073")</f>
        <v>KTCN2026-073</v>
      </c>
      <c r="B74" s="4" t="str">
        <f>IFERROR(__xludf.DUMMYFUNCTION("""COMPUTED_VALUE"""),"Kỹ thuật công nghệ")</f>
        <v>Kỹ thuật công nghệ</v>
      </c>
      <c r="C74" s="4" t="str">
        <f>IFERROR(__xludf.DUMMYFUNCTION("""COMPUTED_VALUE"""),"Thiết kế bộ tăng tốc Crypto-IDS đa tầng trên FPGA giải mã có xác thực AES-256-CCM theo luồng và lõi điều phối phát hiện xâm nhập thích nghi chống đa hình thức tấn công cho hệ thống AIoT")</f>
        <v>Thiết kế bộ tăng tốc Crypto-IDS đa tầng trên FPGA giải mã có xác thực AES-256-CCM theo luồng và lõi điều phối phát hiện xâm nhập thích nghi chống đa hình thức tấn công cho hệ thống AIoT</v>
      </c>
      <c r="D74" s="4" t="str">
        <f>IFERROR(__xludf.DUMMYFUNCTION("""COMPUTED_VALUE"""),"Vũ Tiến Quốc; Phan Quang Hưng; Nguyễn Văn Quyến; Đặng Thanh Sơn; Lê Tùng Dương")</f>
        <v>Vũ Tiến Quốc; Phan Quang Hưng; Nguyễn Văn Quyến; Đặng Thanh Sơn; Lê Tùng Dương</v>
      </c>
      <c r="E74" s="4" t="str">
        <f>IFERROR(__xludf.DUMMYFUNCTION("""COMPUTED_VALUE"""),"Học viện Công nghệ Bưu chính Viễn thông")</f>
        <v>Học viện Công nghệ Bưu chính Viễn thông</v>
      </c>
      <c r="F74" s="4" t="str">
        <f>IFERROR(__xludf.DUMMYFUNCTION("""COMPUTED_VALUE"""),"KTCN2026-073.png")</f>
        <v>KTCN2026-073.png</v>
      </c>
    </row>
    <row r="75">
      <c r="A75" s="4" t="str">
        <f>IFERROR(__xludf.DUMMYFUNCTION("""COMPUTED_VALUE"""),"KTCN2026-074")</f>
        <v>KTCN2026-074</v>
      </c>
      <c r="B75" s="4" t="str">
        <f>IFERROR(__xludf.DUMMYFUNCTION("""COMPUTED_VALUE"""),"Kỹ thuật công nghệ")</f>
        <v>Kỹ thuật công nghệ</v>
      </c>
      <c r="C75" s="4" t="str">
        <f>IFERROR(__xludf.DUMMYFUNCTION("""COMPUTED_VALUE"""),"KỸ THUẬT PHÂN TÍCH DÒNG ĐIỆN ĐỘNG CƠ ỨNG DỤNG MÔ HÌNH MẠNG NƠ RON CHẬP 1 CHIỀU TRONG CHẨN ĐOÁN SỚM LỖI VÒNG BI Ở ĐỘNG CƠ KHÔNG ĐỒNG BỘ BA PHA")</f>
        <v>KỸ THUẬT PHÂN TÍCH DÒNG ĐIỆN ĐỘNG CƠ ỨNG DỤNG MÔ HÌNH MẠNG NƠ RON CHẬP 1 CHIỀU TRONG CHẨN ĐOÁN SỚM LỖI VÒNG BI Ở ĐỘNG CƠ KHÔNG ĐỒNG BỘ BA PHA</v>
      </c>
      <c r="D75" s="4" t="str">
        <f>IFERROR(__xludf.DUMMYFUNCTION("""COMPUTED_VALUE"""),"Nguyễn Phúc Huy; Trần Minh Huy; Hồ Chu Văn Tài; Nguyễn Quang Minh")</f>
        <v>Nguyễn Phúc Huy; Trần Minh Huy; Hồ Chu Văn Tài; Nguyễn Quang Minh</v>
      </c>
      <c r="E75" s="4" t="str">
        <f>IFERROR(__xludf.DUMMYFUNCTION("""COMPUTED_VALUE"""),"Trường Đại học Bách Khoa, ĐHQG-HCM")</f>
        <v>Trường Đại học Bách Khoa, ĐHQG-HCM</v>
      </c>
      <c r="F75" s="4" t="str">
        <f>IFERROR(__xludf.DUMMYFUNCTION("""COMPUTED_VALUE"""),"KTCN2026-074.png")</f>
        <v>KTCN2026-074.png</v>
      </c>
    </row>
    <row r="76">
      <c r="A76" s="4" t="str">
        <f>IFERROR(__xludf.DUMMYFUNCTION("""COMPUTED_VALUE"""),"KTCN2026-075")</f>
        <v>KTCN2026-075</v>
      </c>
      <c r="B76" s="4" t="str">
        <f>IFERROR(__xludf.DUMMYFUNCTION("""COMPUTED_VALUE"""),"Kỹ thuật công nghệ")</f>
        <v>Kỹ thuật công nghệ</v>
      </c>
      <c r="C76" s="4" t="str">
        <f>IFERROR(__xludf.DUMMYFUNCTION("""COMPUTED_VALUE"""),"THIẾT KẾ ANTEN MẢNG ĐỘ LỢI CAO BĂNG TẦN 5G n78 ỨNG DỤNG TRONG THIẾT BỊ HỖ TRỢ CỨU HỘ CỨU NẠN THIÊN TAI")</f>
        <v>THIẾT KẾ ANTEN MẢNG ĐỘ LỢI CAO BĂNG TẦN 5G n78 ỨNG DỤNG TRONG THIẾT BỊ HỖ TRỢ CỨU HỘ CỨU NẠN THIÊN TAI</v>
      </c>
      <c r="D76" s="4" t="str">
        <f>IFERROR(__xludf.DUMMYFUNCTION("""COMPUTED_VALUE"""),"Lê Phạm Tiến Đạt; Trần Ngọc Xuân Bình; Phạm Minh Quang; Nguyễn Thị Phương Thảo; Nguyễn Huỳnh Đức")</f>
        <v>Lê Phạm Tiến Đạt; Trần Ngọc Xuân Bình; Phạm Minh Quang; Nguyễn Thị Phương Thảo; Nguyễn Huỳnh Đức</v>
      </c>
      <c r="E76" s="4" t="str">
        <f>IFERROR(__xludf.DUMMYFUNCTION("""COMPUTED_VALUE"""),"Trường Đại học Bách Khoa, ĐHQG-HCM")</f>
        <v>Trường Đại học Bách Khoa, ĐHQG-HCM</v>
      </c>
      <c r="F76" s="4" t="str">
        <f>IFERROR(__xludf.DUMMYFUNCTION("""COMPUTED_VALUE"""),"KTCN2026-075.png")</f>
        <v>KTCN2026-075.png</v>
      </c>
    </row>
    <row r="77">
      <c r="A77" s="4" t="str">
        <f>IFERROR(__xludf.DUMMYFUNCTION("""COMPUTED_VALUE"""),"KTCN2026-076")</f>
        <v>KTCN2026-076</v>
      </c>
      <c r="B77" s="4" t="str">
        <f>IFERROR(__xludf.DUMMYFUNCTION("""COMPUTED_VALUE"""),"Kỹ thuật công nghệ")</f>
        <v>Kỹ thuật công nghệ</v>
      </c>
      <c r="C77" s="4" t="str">
        <f>IFERROR(__xludf.DUMMYFUNCTION("""COMPUTED_VALUE"""),"ỨNG DỤNG TRÍ TUỆ NHÂN TẠO DỰ BÁO NHU CẦU HÀNH KHÁCH TUYẾN ĐƯỜNG SẮT TỐC ĐỘ CAO BẮC – NAM TRONG ĐIỀU KIỆN THIẾU DỮ LIỆU VẬN HÀNH")</f>
        <v>ỨNG DỤNG TRÍ TUỆ NHÂN TẠO DỰ BÁO NHU CẦU HÀNH KHÁCH TUYẾN ĐƯỜNG SẮT TỐC ĐỘ CAO BẮC – NAM TRONG ĐIỀU KIỆN THIẾU DỮ LIỆU VẬN HÀNH</v>
      </c>
      <c r="D77" s="4" t="str">
        <f>IFERROR(__xludf.DUMMYFUNCTION("""COMPUTED_VALUE"""),"HỒ THỊ TRANG NHUNG")</f>
        <v>HỒ THỊ TRANG NHUNG</v>
      </c>
      <c r="E77" s="4" t="str">
        <f>IFERROR(__xludf.DUMMYFUNCTION("""COMPUTED_VALUE"""),"Học viện Hàng không Việt Nam")</f>
        <v>Học viện Hàng không Việt Nam</v>
      </c>
      <c r="F77" s="4" t="str">
        <f>IFERROR(__xludf.DUMMYFUNCTION("""COMPUTED_VALUE"""),"KTCN2026-076.png")</f>
        <v>KTCN2026-076.png</v>
      </c>
    </row>
    <row r="78">
      <c r="A78" s="4" t="str">
        <f>IFERROR(__xludf.DUMMYFUNCTION("""COMPUTED_VALUE"""),"KTCN2026-077")</f>
        <v>KTCN2026-077</v>
      </c>
      <c r="B78" s="4" t="str">
        <f>IFERROR(__xludf.DUMMYFUNCTION("""COMPUTED_VALUE"""),"Kỹ thuật công nghệ")</f>
        <v>Kỹ thuật công nghệ</v>
      </c>
      <c r="C78" s="4" t="str">
        <f>IFERROR(__xludf.DUMMYFUNCTION("""COMPUTED_VALUE"""),"MÔ PHỎNG VÀ ĐÁNH GIÁ HIỆU QUẢ HOẠT ĐỘNG LĂN CỦA TÀU BAY SỬ DỤNG FOLLOW-THE-GREENS TẠI SÂN BAY TÂN SƠN NHẤT")</f>
        <v>MÔ PHỎNG VÀ ĐÁNH GIÁ HIỆU QUẢ HOẠT ĐỘNG LĂN CỦA TÀU BAY SỬ DỤNG FOLLOW-THE-GREENS TẠI SÂN BAY TÂN SƠN NHẤT</v>
      </c>
      <c r="D78" s="4" t="str">
        <f>IFERROR(__xludf.DUMMYFUNCTION("""COMPUTED_VALUE"""),"Nguyễn Thị Phương Thảo; Nguyễn Thị Tường Vy; Vũ Ngọc Quỳnh Như; Lê Dương Bảo")</f>
        <v>Nguyễn Thị Phương Thảo; Nguyễn Thị Tường Vy; Vũ Ngọc Quỳnh Như; Lê Dương Bảo</v>
      </c>
      <c r="E78" s="4" t="str">
        <f>IFERROR(__xludf.DUMMYFUNCTION("""COMPUTED_VALUE"""),"Học viện Hàng không Việt Nam")</f>
        <v>Học viện Hàng không Việt Nam</v>
      </c>
      <c r="F78" s="4" t="str">
        <f>IFERROR(__xludf.DUMMYFUNCTION("""COMPUTED_VALUE"""),"KTCN2026-077.png")</f>
        <v>KTCN2026-077.png</v>
      </c>
    </row>
    <row r="79">
      <c r="A79" s="4" t="str">
        <f>IFERROR(__xludf.DUMMYFUNCTION("""COMPUTED_VALUE"""),"KTCN2026-078")</f>
        <v>KTCN2026-078</v>
      </c>
      <c r="B79" s="4" t="str">
        <f>IFERROR(__xludf.DUMMYFUNCTION("""COMPUTED_VALUE"""),"Kỹ thuật công nghệ")</f>
        <v>Kỹ thuật công nghệ</v>
      </c>
      <c r="C79" s="4" t="str">
        <f>IFERROR(__xludf.DUMMYFUNCTION("""COMPUTED_VALUE"""),"LỢI ÍCH CÁ NHÂN VÀ XÃ HỘI CỦA MÔ HÌNH ĐI CHUNG XE CHO SINH VIÊN TẠI TP HỒ CHÍ MINH: NGHIÊN CỨU VỀ MỨC ĐỘ KHẢ THI GIẢI PHÁP ỨNG DỤNG COGO")</f>
        <v>LỢI ÍCH CÁ NHÂN VÀ XÃ HỘI CỦA MÔ HÌNH ĐI CHUNG XE CHO SINH VIÊN TẠI TP HỒ CHÍ MINH: NGHIÊN CỨU VỀ MỨC ĐỘ KHẢ THI GIẢI PHÁP ỨNG DỤNG COGO</v>
      </c>
      <c r="D79" s="4" t="str">
        <f>IFERROR(__xludf.DUMMYFUNCTION("""COMPUTED_VALUE"""),"Hoàng Bảo Hân; Thái Trung Nhớ")</f>
        <v>Hoàng Bảo Hân; Thái Trung Nhớ</v>
      </c>
      <c r="E79" s="4" t="str">
        <f>IFERROR(__xludf.DUMMYFUNCTION("""COMPUTED_VALUE"""),"Trường Đại học Công nghệ Kỹ thuật TP. Hồ Chí Minh")</f>
        <v>Trường Đại học Công nghệ Kỹ thuật TP. Hồ Chí Minh</v>
      </c>
      <c r="F79" s="4" t="str">
        <f>IFERROR(__xludf.DUMMYFUNCTION("""COMPUTED_VALUE"""),"KTCN2026-078.png")</f>
        <v>KTCN2026-078.png</v>
      </c>
    </row>
    <row r="80">
      <c r="A80" s="4" t="str">
        <f>IFERROR(__xludf.DUMMYFUNCTION("""COMPUTED_VALUE"""),"KTCN2026-079")</f>
        <v>KTCN2026-079</v>
      </c>
      <c r="B80" s="4" t="str">
        <f>IFERROR(__xludf.DUMMYFUNCTION("""COMPUTED_VALUE"""),"Kỹ thuật công nghệ")</f>
        <v>Kỹ thuật công nghệ</v>
      </c>
      <c r="C80" s="4" t="str">
        <f>IFERROR(__xludf.DUMMYFUNCTION("""COMPUTED_VALUE"""),"NGHIÊN CỨU HỆ THỐNG DATALINK – TAXI (D-TAXI) TRONG VIỆC NÂNG CAO HIỆU SUẤT VẬN HÀNH VÀ KHAI THÁC AN TOÀN TẠI CẢNG HÀNG KHÔNG QUỐC TẾ TÂN SƠN NHẤT")</f>
        <v>NGHIÊN CỨU HỆ THỐNG DATALINK – TAXI (D-TAXI) TRONG VIỆC NÂNG CAO HIỆU SUẤT VẬN HÀNH VÀ KHAI THÁC AN TOÀN TẠI CẢNG HÀNG KHÔNG QUỐC TẾ TÂN SƠN NHẤT</v>
      </c>
      <c r="D80" s="4" t="str">
        <f>IFERROR(__xludf.DUMMYFUNCTION("""COMPUTED_VALUE"""),"Đinh Tiền Phương Giao; Vũ Hoàng Nhật Phúc")</f>
        <v>Đinh Tiền Phương Giao; Vũ Hoàng Nhật Phúc</v>
      </c>
      <c r="E80" s="4" t="str">
        <f>IFERROR(__xludf.DUMMYFUNCTION("""COMPUTED_VALUE"""),"Học viện Hàng không Việt Nam")</f>
        <v>Học viện Hàng không Việt Nam</v>
      </c>
      <c r="F80" s="4" t="str">
        <f>IFERROR(__xludf.DUMMYFUNCTION("""COMPUTED_VALUE"""),"KTCN2026-079.png")</f>
        <v>KTCN2026-079.png</v>
      </c>
    </row>
    <row r="81">
      <c r="A81" s="4" t="str">
        <f>IFERROR(__xludf.DUMMYFUNCTION("""COMPUTED_VALUE"""),"KTCN2026-080")</f>
        <v>KTCN2026-080</v>
      </c>
      <c r="B81" s="4" t="str">
        <f>IFERROR(__xludf.DUMMYFUNCTION("""COMPUTED_VALUE"""),"Kỹ thuật công nghệ")</f>
        <v>Kỹ thuật công nghệ</v>
      </c>
      <c r="C81" s="4" t="str">
        <f>IFERROR(__xludf.DUMMYFUNCTION("""COMPUTED_VALUE"""),"Tối ưu hoá mạng lưới trạm đổi pin phục vụ hoạt động giao hàng chặng cuối của shipper tại các phường Thạnh Mỹ Tây, Bình Thạnh và Gia Định, TP. HCM")</f>
        <v>Tối ưu hoá mạng lưới trạm đổi pin phục vụ hoạt động giao hàng chặng cuối của shipper tại các phường Thạnh Mỹ Tây, Bình Thạnh và Gia Định, TP. HCM</v>
      </c>
      <c r="D81" s="4" t="str">
        <f>IFERROR(__xludf.DUMMYFUNCTION("""COMPUTED_VALUE"""),"Trần Thị Tuyết Băng; Nguyễn Công Anh Vũ; Võ Thị Ngọc Hân; Đặng Trọng Hiển; Nguyễn Lê Phương Thảo")</f>
        <v>Trần Thị Tuyết Băng; Nguyễn Công Anh Vũ; Võ Thị Ngọc Hân; Đặng Trọng Hiển; Nguyễn Lê Phương Thảo</v>
      </c>
      <c r="E81" s="4" t="str">
        <f>IFERROR(__xludf.DUMMYFUNCTION("""COMPUTED_VALUE"""),"Trường Đại học Giao thông vận tải TP. Hồ Chí Minh")</f>
        <v>Trường Đại học Giao thông vận tải TP. Hồ Chí Minh</v>
      </c>
      <c r="F81" s="4" t="str">
        <f>IFERROR(__xludf.DUMMYFUNCTION("""COMPUTED_VALUE"""),"KTCN2026-080.png")</f>
        <v>KTCN2026-080.png</v>
      </c>
    </row>
    <row r="82">
      <c r="A82" s="4" t="str">
        <f>IFERROR(__xludf.DUMMYFUNCTION("""COMPUTED_VALUE"""),"KTCN2026-081")</f>
        <v>KTCN2026-081</v>
      </c>
      <c r="B82" s="4" t="str">
        <f>IFERROR(__xludf.DUMMYFUNCTION("""COMPUTED_VALUE"""),"Kỹ thuật công nghệ")</f>
        <v>Kỹ thuật công nghệ</v>
      </c>
      <c r="C82" s="4" t="str">
        <f>IFERROR(__xludf.DUMMYFUNCTION("""COMPUTED_VALUE"""),"Giải pháp nâng cao năng lực vận tải thủy nội địa thành phố hồ chí minh theo hướng phát triển logistics xanh và bền vững")</f>
        <v>Giải pháp nâng cao năng lực vận tải thủy nội địa thành phố hồ chí minh theo hướng phát triển logistics xanh và bền vững</v>
      </c>
      <c r="D82" s="4" t="str">
        <f>IFERROR(__xludf.DUMMYFUNCTION("""COMPUTED_VALUE"""),"Nguyễn Thị Anh Thư; Ngô Nguyễn Minh Như; Đặng Trần Hải Thảo; Phạm Trí Tài; Cù Minh Nguyệt")</f>
        <v>Nguyễn Thị Anh Thư; Ngô Nguyễn Minh Như; Đặng Trần Hải Thảo; Phạm Trí Tài; Cù Minh Nguyệt</v>
      </c>
      <c r="E82" s="4" t="str">
        <f>IFERROR(__xludf.DUMMYFUNCTION("""COMPUTED_VALUE"""),"Trường Đại học Giao thông vận tải TP. Hồ Chí Minh")</f>
        <v>Trường Đại học Giao thông vận tải TP. Hồ Chí Minh</v>
      </c>
      <c r="F82" s="4" t="str">
        <f>IFERROR(__xludf.DUMMYFUNCTION("""COMPUTED_VALUE"""),"KTCN2026-081.png")</f>
        <v>KTCN2026-081.png</v>
      </c>
    </row>
    <row r="83">
      <c r="A83" s="4" t="str">
        <f>IFERROR(__xludf.DUMMYFUNCTION("""COMPUTED_VALUE"""),"KTCN2026-082")</f>
        <v>KTCN2026-082</v>
      </c>
      <c r="B83" s="4" t="str">
        <f>IFERROR(__xludf.DUMMYFUNCTION("""COMPUTED_VALUE"""),"Kỹ thuật công nghệ")</f>
        <v>Kỹ thuật công nghệ</v>
      </c>
      <c r="C83" s="4" t="str">
        <f>IFERROR(__xludf.DUMMYFUNCTION("""COMPUTED_VALUE"""),"Xây dựng hệ thống hỗ trợ ra quyết định thời điểm khởi hành cho phương tiện thủy nội địa tại Đồng bằng sông Cửu Long")</f>
        <v>Xây dựng hệ thống hỗ trợ ra quyết định thời điểm khởi hành cho phương tiện thủy nội địa tại Đồng bằng sông Cửu Long</v>
      </c>
      <c r="D83" s="4" t="str">
        <f>IFERROR(__xludf.DUMMYFUNCTION("""COMPUTED_VALUE"""),"Trương Tú Uyên; Hoàng Nguyễn Anh Đức; Hà Lý Tố Như; Phạm Quỳnh Như; Nguyễn Quốc Thống")</f>
        <v>Trương Tú Uyên; Hoàng Nguyễn Anh Đức; Hà Lý Tố Như; Phạm Quỳnh Như; Nguyễn Quốc Thống</v>
      </c>
      <c r="E83" s="4" t="str">
        <f>IFERROR(__xludf.DUMMYFUNCTION("""COMPUTED_VALUE"""),"Trường Đại học Giao thông vận tải TP. Hồ Chí Minh")</f>
        <v>Trường Đại học Giao thông vận tải TP. Hồ Chí Minh</v>
      </c>
      <c r="F83" s="4" t="str">
        <f>IFERROR(__xludf.DUMMYFUNCTION("""COMPUTED_VALUE"""),"KTCN2026-082.png")</f>
        <v>KTCN2026-082.png</v>
      </c>
    </row>
    <row r="84">
      <c r="A84" s="4" t="str">
        <f>IFERROR(__xludf.DUMMYFUNCTION("""COMPUTED_VALUE"""),"KTCN2026-083")</f>
        <v>KTCN2026-083</v>
      </c>
      <c r="B84" s="4" t="str">
        <f>IFERROR(__xludf.DUMMYFUNCTION("""COMPUTED_VALUE"""),"Kỹ thuật công nghệ")</f>
        <v>Kỹ thuật công nghệ</v>
      </c>
      <c r="C84" s="4" t="str">
        <f>IFERROR(__xludf.DUMMYFUNCTION("""COMPUTED_VALUE"""),"Đánh giá tiềm năng ứng dụng nhiên liệu amoniac (NH₃) cho phương tiện thủy nội địa nhằm giảm phát thải, gắn với phát triển cảng xanh tại cụm cảng Cái Mép – Thị Vải")</f>
        <v>Đánh giá tiềm năng ứng dụng nhiên liệu amoniac (NH₃) cho phương tiện thủy nội địa nhằm giảm phát thải, gắn với phát triển cảng xanh tại cụm cảng Cái Mép – Thị Vải</v>
      </c>
      <c r="D84" s="4" t="str">
        <f>IFERROR(__xludf.DUMMYFUNCTION("""COMPUTED_VALUE"""),"Hà Lý Tố Như; Trương Tú Uyên; Phạm Thị Thanh Hương; PHẠM QUỲNH NHƯ; Lê Minh Thư")</f>
        <v>Hà Lý Tố Như; Trương Tú Uyên; Phạm Thị Thanh Hương; PHẠM QUỲNH NHƯ; Lê Minh Thư</v>
      </c>
      <c r="E84" s="4" t="str">
        <f>IFERROR(__xludf.DUMMYFUNCTION("""COMPUTED_VALUE"""),"Trường Đại học Giao thông vận tải TP. Hồ Chí Minh")</f>
        <v>Trường Đại học Giao thông vận tải TP. Hồ Chí Minh</v>
      </c>
      <c r="F84" s="4" t="str">
        <f>IFERROR(__xludf.DUMMYFUNCTION("""COMPUTED_VALUE"""),"KTCN2026-083.png")</f>
        <v>KTCN2026-083.png</v>
      </c>
    </row>
    <row r="85">
      <c r="A85" s="4" t="str">
        <f>IFERROR(__xludf.DUMMYFUNCTION("""COMPUTED_VALUE"""),"KTCN2026-084")</f>
        <v>KTCN2026-084</v>
      </c>
      <c r="B85" s="4" t="str">
        <f>IFERROR(__xludf.DUMMYFUNCTION("""COMPUTED_VALUE"""),"Kỹ thuật công nghệ")</f>
        <v>Kỹ thuật công nghệ</v>
      </c>
      <c r="C85" s="4" t="str">
        <f>IFERROR(__xludf.DUMMYFUNCTION("""COMPUTED_VALUE"""),"Nghiên cứu mô hình M2GA-LM tích hợp metro với phương tiện không người lái và xe điện trong giao hàng chặng cuối thí điểm tại TP. HCM")</f>
        <v>Nghiên cứu mô hình M2GA-LM tích hợp metro với phương tiện không người lái và xe điện trong giao hàng chặng cuối thí điểm tại TP. HCM</v>
      </c>
      <c r="D85" s="4" t="str">
        <f>IFERROR(__xludf.DUMMYFUNCTION("""COMPUTED_VALUE"""),"Phạm Quỳnh Như; Lê Minh Thư; Hà Lý Tố Như; Trương Tú Uyên; Nguyễn Quốc Thống")</f>
        <v>Phạm Quỳnh Như; Lê Minh Thư; Hà Lý Tố Như; Trương Tú Uyên; Nguyễn Quốc Thống</v>
      </c>
      <c r="E85" s="4" t="str">
        <f>IFERROR(__xludf.DUMMYFUNCTION("""COMPUTED_VALUE"""),"Trường Đại học Giao thông vận tải TP. Hồ Chí Minh")</f>
        <v>Trường Đại học Giao thông vận tải TP. Hồ Chí Minh</v>
      </c>
      <c r="F85" s="4" t="str">
        <f>IFERROR(__xludf.DUMMYFUNCTION("""COMPUTED_VALUE"""),"KTCN2026-084.png")</f>
        <v>KTCN2026-084.png</v>
      </c>
    </row>
    <row r="86">
      <c r="A86" s="4" t="str">
        <f>IFERROR(__xludf.DUMMYFUNCTION("""COMPUTED_VALUE"""),"KTCN2026-085")</f>
        <v>KTCN2026-085</v>
      </c>
      <c r="B86" s="4" t="str">
        <f>IFERROR(__xludf.DUMMYFUNCTION("""COMPUTED_VALUE"""),"Kỹ thuật công nghệ")</f>
        <v>Kỹ thuật công nghệ</v>
      </c>
      <c r="C86" s="4" t="str">
        <f>IFERROR(__xludf.DUMMYFUNCTION("""COMPUTED_VALUE"""),"Đánh giá rào cản và đề xuất giải pháp phát triển hạ tầng cảng trung chuyển quốc tế Cần Giờ theo định hướng cảng xanh và bền vững")</f>
        <v>Đánh giá rào cản và đề xuất giải pháp phát triển hạ tầng cảng trung chuyển quốc tế Cần Giờ theo định hướng cảng xanh và bền vững</v>
      </c>
      <c r="D86" s="4" t="str">
        <f>IFERROR(__xludf.DUMMYFUNCTION("""COMPUTED_VALUE"""),"Nguyễn Thị Anh Thư; Nguyễn Như Quỳnh; Trần Quốc Thái")</f>
        <v>Nguyễn Thị Anh Thư; Nguyễn Như Quỳnh; Trần Quốc Thái</v>
      </c>
      <c r="E86" s="4" t="str">
        <f>IFERROR(__xludf.DUMMYFUNCTION("""COMPUTED_VALUE"""),"Trường Đại học Giao thông vận tải TP. Hồ Chí Minh")</f>
        <v>Trường Đại học Giao thông vận tải TP. Hồ Chí Minh</v>
      </c>
      <c r="F86" s="4" t="str">
        <f>IFERROR(__xludf.DUMMYFUNCTION("""COMPUTED_VALUE"""),"KTCN2026-085.png")</f>
        <v>KTCN2026-085.png</v>
      </c>
    </row>
    <row r="87">
      <c r="A87" s="4" t="str">
        <f>IFERROR(__xludf.DUMMYFUNCTION("""COMPUTED_VALUE"""),"KTCN2026-086")</f>
        <v>KTCN2026-086</v>
      </c>
      <c r="B87" s="4" t="str">
        <f>IFERROR(__xludf.DUMMYFUNCTION("""COMPUTED_VALUE"""),"Kỹ thuật công nghệ")</f>
        <v>Kỹ thuật công nghệ</v>
      </c>
      <c r="C87" s="4" t="str">
        <f>IFERROR(__xludf.DUMMYFUNCTION("""COMPUTED_VALUE"""),"Nghiên cứu, thiết kế hệ thống điều tiết giao thông thông minh thời gian thực ứng dụng công nghệ Digital Twin")</f>
        <v>Nghiên cứu, thiết kế hệ thống điều tiết giao thông thông minh thời gian thực ứng dụng công nghệ Digital Twin</v>
      </c>
      <c r="D87" s="4" t="str">
        <f>IFERROR(__xludf.DUMMYFUNCTION("""COMPUTED_VALUE"""),"NGUYỄN TRẦN PHÚ; NGUYỄN THỊ QUỲNH GIAO")</f>
        <v>NGUYỄN TRẦN PHÚ; NGUYỄN THỊ QUỲNH GIAO</v>
      </c>
      <c r="E87" s="4" t="str">
        <f>IFERROR(__xludf.DUMMYFUNCTION("""COMPUTED_VALUE"""),"Trường Đại học Giao thông vận tải TP. Hồ Chí Minh")</f>
        <v>Trường Đại học Giao thông vận tải TP. Hồ Chí Minh</v>
      </c>
      <c r="F87" s="4" t="str">
        <f>IFERROR(__xludf.DUMMYFUNCTION("""COMPUTED_VALUE"""),"KTCN2026-086.png")</f>
        <v>KTCN2026-086.png</v>
      </c>
    </row>
    <row r="88">
      <c r="A88" s="4" t="str">
        <f>IFERROR(__xludf.DUMMYFUNCTION("""COMPUTED_VALUE"""),"KTCN2026-087")</f>
        <v>KTCN2026-087</v>
      </c>
      <c r="B88" s="4" t="str">
        <f>IFERROR(__xludf.DUMMYFUNCTION("""COMPUTED_VALUE"""),"Kỹ thuật công nghệ")</f>
        <v>Kỹ thuật công nghệ</v>
      </c>
      <c r="C88" s="4" t="str">
        <f>IFERROR(__xludf.DUMMYFUNCTION("""COMPUTED_VALUE"""),"Nghiên cứu thiết kế hệ thống giám sát, định vị trong việc phân tích hành vi và nguy cơ tai nạn trong tàu thủy trên nền tảng công nghệ IoT và AI")</f>
        <v>Nghiên cứu thiết kế hệ thống giám sát, định vị trong việc phân tích hành vi và nguy cơ tai nạn trong tàu thủy trên nền tảng công nghệ IoT và AI</v>
      </c>
      <c r="D88" s="4" t="str">
        <f>IFERROR(__xludf.DUMMYFUNCTION("""COMPUTED_VALUE"""),"NGUYỄN ĐÌNH ANH TUẤN; PHẠM QUẾ ANH; NGUYỄN TRẦN KIỀU KHANH")</f>
        <v>NGUYỄN ĐÌNH ANH TUẤN; PHẠM QUẾ ANH; NGUYỄN TRẦN KIỀU KHANH</v>
      </c>
      <c r="E88" s="4" t="str">
        <f>IFERROR(__xludf.DUMMYFUNCTION("""COMPUTED_VALUE"""),"Trường Đại học Giao thông vận tải TP. Hồ Chí Minh")</f>
        <v>Trường Đại học Giao thông vận tải TP. Hồ Chí Minh</v>
      </c>
      <c r="F88" s="4" t="str">
        <f>IFERROR(__xludf.DUMMYFUNCTION("""COMPUTED_VALUE"""),"KTCN2026-087.png")</f>
        <v>KTCN2026-087.png</v>
      </c>
    </row>
    <row r="89">
      <c r="A89" s="4" t="str">
        <f>IFERROR(__xludf.DUMMYFUNCTION("""COMPUTED_VALUE"""),"KTCN2026-088")</f>
        <v>KTCN2026-088</v>
      </c>
      <c r="B89" s="4" t="str">
        <f>IFERROR(__xludf.DUMMYFUNCTION("""COMPUTED_VALUE"""),"Kỹ thuật công nghệ")</f>
        <v>Kỹ thuật công nghệ</v>
      </c>
      <c r="C89" s="4" t="str">
        <f>IFERROR(__xludf.DUMMYFUNCTION("""COMPUTED_VALUE"""),"Lookahead-Aware Hierarchical Reinforcement Learning for Solving FSMVRP")</f>
        <v>Lookahead-Aware Hierarchical Reinforcement Learning for Solving FSMVRP</v>
      </c>
      <c r="D89" s="4" t="str">
        <f>IFERROR(__xludf.DUMMYFUNCTION("""COMPUTED_VALUE"""),"Ngô Gia Phong; Nguyễn Thành Đạt; Nguyễn Tuấn Khôi")</f>
        <v>Ngô Gia Phong; Nguyễn Thành Đạt; Nguyễn Tuấn Khôi</v>
      </c>
      <c r="E89" s="4" t="str">
        <f>IFERROR(__xludf.DUMMYFUNCTION("""COMPUTED_VALUE"""),"Trường Đại học Quốc Tế, ĐHQG-HCM")</f>
        <v>Trường Đại học Quốc Tế, ĐHQG-HCM</v>
      </c>
      <c r="F89" s="4" t="str">
        <f>IFERROR(__xludf.DUMMYFUNCTION("""COMPUTED_VALUE"""),"KTCN2026-088.png")</f>
        <v>KTCN2026-088.png</v>
      </c>
    </row>
    <row r="90">
      <c r="A90" s="4" t="str">
        <f>IFERROR(__xludf.DUMMYFUNCTION("""COMPUTED_VALUE"""),"KTCN2026-089")</f>
        <v>KTCN2026-089</v>
      </c>
      <c r="B90" s="4" t="str">
        <f>IFERROR(__xludf.DUMMYFUNCTION("""COMPUTED_VALUE"""),"Kỹ thuật công nghệ")</f>
        <v>Kỹ thuật công nghệ</v>
      </c>
      <c r="C90" s="4" t="str">
        <f>IFERROR(__xludf.DUMMYFUNCTION("""COMPUTED_VALUE"""),"A Freshness-Aware Cold-Chain Vehicle Routing Problem with Carbon Emission Consideration: An Adaptive Large Neighborhood Search Approach")</f>
        <v>A Freshness-Aware Cold-Chain Vehicle Routing Problem with Carbon Emission Consideration: An Adaptive Large Neighborhood Search Approach</v>
      </c>
      <c r="D90" s="4" t="str">
        <f>IFERROR(__xludf.DUMMYFUNCTION("""COMPUTED_VALUE"""),"Trần Minh Hạnh")</f>
        <v>Trần Minh Hạnh</v>
      </c>
      <c r="E90" s="4" t="str">
        <f>IFERROR(__xludf.DUMMYFUNCTION("""COMPUTED_VALUE"""),"Trường Đại học Quốc Tế, ĐHQG-HCM")</f>
        <v>Trường Đại học Quốc Tế, ĐHQG-HCM</v>
      </c>
      <c r="F90" s="4" t="str">
        <f>IFERROR(__xludf.DUMMYFUNCTION("""COMPUTED_VALUE"""),"KTCN2026-089.png")</f>
        <v>KTCN2026-089.png</v>
      </c>
    </row>
    <row r="91">
      <c r="A91" s="4" t="str">
        <f>IFERROR(__xludf.DUMMYFUNCTION("""COMPUTED_VALUE"""),"KTCN2026-090")</f>
        <v>KTCN2026-090</v>
      </c>
      <c r="B91" s="4" t="str">
        <f>IFERROR(__xludf.DUMMYFUNCTION("""COMPUTED_VALUE"""),"Kỹ thuật công nghệ")</f>
        <v>Kỹ thuật công nghệ</v>
      </c>
      <c r="C91" s="4" t="str">
        <f>IFERROR(__xludf.DUMMYFUNCTION("""COMPUTED_VALUE"""),"GREEN DELIVERY ROUTING OPTIMIZATION FOR WAREHOUSE OPERATIONS CONSIDERING CARBON EMISSIONS AND PENALTY COST")</f>
        <v>GREEN DELIVERY ROUTING OPTIMIZATION FOR WAREHOUSE OPERATIONS CONSIDERING CARBON EMISSIONS AND PENALTY COST</v>
      </c>
      <c r="D91" s="4" t="str">
        <f>IFERROR(__xludf.DUMMYFUNCTION("""COMPUTED_VALUE"""),"Trần Nguyễn Phương Duy; Nguyễn Trần Phúc Anh; Đặng Lê Anh Thư")</f>
        <v>Trần Nguyễn Phương Duy; Nguyễn Trần Phúc Anh; Đặng Lê Anh Thư</v>
      </c>
      <c r="E91" s="4" t="str">
        <f>IFERROR(__xludf.DUMMYFUNCTION("""COMPUTED_VALUE"""),"Trường Đại học Quốc Tế, ĐHQG-HCM")</f>
        <v>Trường Đại học Quốc Tế, ĐHQG-HCM</v>
      </c>
      <c r="F91" s="4" t="str">
        <f>IFERROR(__xludf.DUMMYFUNCTION("""COMPUTED_VALUE"""),"KTCN2026-090.png")</f>
        <v>KTCN2026-090.png</v>
      </c>
    </row>
    <row r="92">
      <c r="A92" s="4" t="str">
        <f>IFERROR(__xludf.DUMMYFUNCTION("""COMPUTED_VALUE"""),"KTCN2026-091")</f>
        <v>KTCN2026-091</v>
      </c>
      <c r="B92" s="4" t="str">
        <f>IFERROR(__xludf.DUMMYFUNCTION("""COMPUTED_VALUE"""),"Kỹ thuật công nghệ")</f>
        <v>Kỹ thuật công nghệ</v>
      </c>
      <c r="C92" s="4" t="str">
        <f>IFERROR(__xludf.DUMMYFUNCTION("""COMPUTED_VALUE"""),"TRANSPORTATION ROUTE OPTIMIZATION USING THE VEHICLE ROUTING PROBLEM WITH BACKHAULS: A CASE STUDY OF GO! SOUTHERN DISTRIBUTION NETWORK")</f>
        <v>TRANSPORTATION ROUTE OPTIMIZATION USING THE VEHICLE ROUTING PROBLEM WITH BACKHAULS: A CASE STUDY OF GO! SOUTHERN DISTRIBUTION NETWORK</v>
      </c>
      <c r="D92" s="4" t="str">
        <f>IFERROR(__xludf.DUMMYFUNCTION("""COMPUTED_VALUE"""),"Lê Ngọc Phương Trâm")</f>
        <v>Lê Ngọc Phương Trâm</v>
      </c>
      <c r="E92" s="4" t="str">
        <f>IFERROR(__xludf.DUMMYFUNCTION("""COMPUTED_VALUE"""),"Trường Đại học Quốc Tế, ĐHQG-HCM")</f>
        <v>Trường Đại học Quốc Tế, ĐHQG-HCM</v>
      </c>
      <c r="F92" s="4" t="str">
        <f>IFERROR(__xludf.DUMMYFUNCTION("""COMPUTED_VALUE"""),"KTCN2026-091.png")</f>
        <v>KTCN2026-091.png</v>
      </c>
    </row>
    <row r="93">
      <c r="A93" s="4" t="str">
        <f>IFERROR(__xludf.DUMMYFUNCTION("""COMPUTED_VALUE"""),"KTCN2026-092")</f>
        <v>KTCN2026-092</v>
      </c>
      <c r="B93" s="4" t="str">
        <f>IFERROR(__xludf.DUMMYFUNCTION("""COMPUTED_VALUE"""),"Kỹ thuật công nghệ")</f>
        <v>Kỹ thuật công nghệ</v>
      </c>
      <c r="C93" s="4" t="str">
        <f>IFERROR(__xludf.DUMMYFUNCTION("""COMPUTED_VALUE"""),"NGHIÊN CỨU THIẾT KẾ, CHẾ TẠO VÀ ĐÁNH GIÁ THỰC NGHIỆM TÍNH KHẢ THI CỦA UAV VTOL TAIL-SITTER HAI ĐỘNG CƠ CỠ NHỎ")</f>
        <v>NGHIÊN CỨU THIẾT KẾ, CHẾ TẠO VÀ ĐÁNH GIÁ THỰC NGHIỆM TÍNH KHẢ THI CỦA UAV VTOL TAIL-SITTER HAI ĐỘNG CƠ CỠ NHỎ</v>
      </c>
      <c r="D93" s="4" t="str">
        <f>IFERROR(__xludf.DUMMYFUNCTION("""COMPUTED_VALUE"""),"Phan Nguyễn Nhất Lam; Nguyễn Tôn Hoàng Quân")</f>
        <v>Phan Nguyễn Nhất Lam; Nguyễn Tôn Hoàng Quân</v>
      </c>
      <c r="E93" s="4" t="str">
        <f>IFERROR(__xludf.DUMMYFUNCTION("""COMPUTED_VALUE"""),"Trường Đại học Bách Khoa, ĐHQG-HCM")</f>
        <v>Trường Đại học Bách Khoa, ĐHQG-HCM</v>
      </c>
      <c r="F93" s="4" t="str">
        <f>IFERROR(__xludf.DUMMYFUNCTION("""COMPUTED_VALUE"""),"KTCN2026-092.png")</f>
        <v>KTCN2026-092.png</v>
      </c>
    </row>
    <row r="94">
      <c r="A94" s="4" t="str">
        <f>IFERROR(__xludf.DUMMYFUNCTION("""COMPUTED_VALUE"""),"KTCN2026-093")</f>
        <v>KTCN2026-093</v>
      </c>
      <c r="B94" s="4" t="str">
        <f>IFERROR(__xludf.DUMMYFUNCTION("""COMPUTED_VALUE"""),"Kỹ thuật công nghệ")</f>
        <v>Kỹ thuật công nghệ</v>
      </c>
      <c r="C94" s="4" t="str">
        <f>IFERROR(__xludf.DUMMYFUNCTION("""COMPUTED_VALUE"""),"ỨNG DỤNG HỌC TĂNG CƯỜNG SÂU TRONG ĐIỀU PHỐI ĐỘNG THU GOM- GIAO HÀNG VỚI ĐỘI XE KHÔNG ĐỒNG NHẤT")</f>
        <v>ỨNG DỤNG HỌC TĂNG CƯỜNG SÂU TRONG ĐIỀU PHỐI ĐỘNG THU GOM- GIAO HÀNG VỚI ĐỘI XE KHÔNG ĐỒNG NHẤT</v>
      </c>
      <c r="D94" s="4" t="str">
        <f>IFERROR(__xludf.DUMMYFUNCTION("""COMPUTED_VALUE"""),"Tăng Gia Khương; Nguyễn Trung Hậu; Phạm Nguyễn Nhật Thành; Nguyễn Ngọc Kim Khánh; Đỗ Hoài Nam")</f>
        <v>Tăng Gia Khương; Nguyễn Trung Hậu; Phạm Nguyễn Nhật Thành; Nguyễn Ngọc Kim Khánh; Đỗ Hoài Nam</v>
      </c>
      <c r="E94" s="4" t="str">
        <f>IFERROR(__xludf.DUMMYFUNCTION("""COMPUTED_VALUE"""),"Trường Đại học Bách Khoa, ĐHQG-HCM")</f>
        <v>Trường Đại học Bách Khoa, ĐHQG-HCM</v>
      </c>
      <c r="F94" s="4" t="str">
        <f>IFERROR(__xludf.DUMMYFUNCTION("""COMPUTED_VALUE"""),"KTCN2026-093.png")</f>
        <v>KTCN2026-093.png</v>
      </c>
    </row>
    <row r="95">
      <c r="A95" s="4" t="str">
        <f>IFERROR(__xludf.DUMMYFUNCTION("""COMPUTED_VALUE"""),"KTCN2026-094")</f>
        <v>KTCN2026-094</v>
      </c>
      <c r="B95" s="4" t="str">
        <f>IFERROR(__xludf.DUMMYFUNCTION("""COMPUTED_VALUE"""),"Kỹ thuật công nghệ")</f>
        <v>Kỹ thuật công nghệ</v>
      </c>
      <c r="C95" s="4" t="str">
        <f>IFERROR(__xludf.DUMMYFUNCTION("""COMPUTED_VALUE"""),"Nghiên cứu, phát triển hệ thống hỗ trợ học tập và biên dịch ngôn ngữ ký hiệu Việt Nam theo thời gian thực")</f>
        <v>Nghiên cứu, phát triển hệ thống hỗ trợ học tập và biên dịch ngôn ngữ ký hiệu Việt Nam theo thời gian thực</v>
      </c>
      <c r="D95" s="4" t="str">
        <f>IFERROR(__xludf.DUMMYFUNCTION("""COMPUTED_VALUE"""),"Phạm Huỳnh Quang; Hoàng Phan Thái An; Cao Dương Duy Khoa; Nguyễn Đăng Khôi")</f>
        <v>Phạm Huỳnh Quang; Hoàng Phan Thái An; Cao Dương Duy Khoa; Nguyễn Đăng Khôi</v>
      </c>
      <c r="E95" s="4" t="str">
        <f>IFERROR(__xludf.DUMMYFUNCTION("""COMPUTED_VALUE"""),"Trường Đại học Tôn Đức Thắng")</f>
        <v>Trường Đại học Tôn Đức Thắng</v>
      </c>
      <c r="F95" s="4" t="str">
        <f>IFERROR(__xludf.DUMMYFUNCTION("""COMPUTED_VALUE"""),"KTCN2026-094.png")</f>
        <v>KTCN2026-094.png</v>
      </c>
    </row>
    <row r="96">
      <c r="A96" s="4" t="str">
        <f>IFERROR(__xludf.DUMMYFUNCTION("""COMPUTED_VALUE"""),"KTCN2026-095")</f>
        <v>KTCN2026-095</v>
      </c>
      <c r="B96" s="4" t="str">
        <f>IFERROR(__xludf.DUMMYFUNCTION("""COMPUTED_VALUE"""),"Kỹ thuật công nghệ")</f>
        <v>Kỹ thuật công nghệ</v>
      </c>
      <c r="C96" s="4" t="str">
        <f>IFERROR(__xludf.DUMMYFUNCTION("""COMPUTED_VALUE"""),"NGHIÊN CỨU MÔ HÌNH UTM HỖ TRỢ CẤP PHÉP BAY VÀ GIÁM SÁT DRONE BẰNG ADS-B TẠI KHU VỰC TIẾP CẬN CẢNG HÀNG KHÔNG QUỐC TẾ TÂN SƠN NHẤT")</f>
        <v>NGHIÊN CỨU MÔ HÌNH UTM HỖ TRỢ CẤP PHÉP BAY VÀ GIÁM SÁT DRONE BẰNG ADS-B TẠI KHU VỰC TIẾP CẬN CẢNG HÀNG KHÔNG QUỐC TẾ TÂN SƠN NHẤT</v>
      </c>
      <c r="D96" s="4" t="str">
        <f>IFERROR(__xludf.DUMMYFUNCTION("""COMPUTED_VALUE"""),"Nguyễn Diệp Thùy Giang")</f>
        <v>Nguyễn Diệp Thùy Giang</v>
      </c>
      <c r="E96" s="4" t="str">
        <f>IFERROR(__xludf.DUMMYFUNCTION("""COMPUTED_VALUE"""),"Học viện Hàng không Việt Nam")</f>
        <v>Học viện Hàng không Việt Nam</v>
      </c>
      <c r="F96" s="4" t="str">
        <f>IFERROR(__xludf.DUMMYFUNCTION("""COMPUTED_VALUE"""),"KTCN2026-095.png")</f>
        <v>KTCN2026-095.png</v>
      </c>
    </row>
    <row r="97">
      <c r="A97" s="4" t="str">
        <f>IFERROR(__xludf.DUMMYFUNCTION("""COMPUTED_VALUE"""),"KTCN2026-096")</f>
        <v>KTCN2026-096</v>
      </c>
      <c r="B97" s="4" t="str">
        <f>IFERROR(__xludf.DUMMYFUNCTION("""COMPUTED_VALUE"""),"Kỹ thuật công nghệ")</f>
        <v>Kỹ thuật công nghệ</v>
      </c>
      <c r="C97" s="4" t="str">
        <f>IFERROR(__xludf.DUMMYFUNCTION("""COMPUTED_VALUE"""),"Nghiên cứu thiết kế - chế tạo UAV hỗ trợ phòng cháy chữa cháy")</f>
        <v>Nghiên cứu thiết kế - chế tạo UAV hỗ trợ phòng cháy chữa cháy</v>
      </c>
      <c r="D97" s="4" t="str">
        <f>IFERROR(__xludf.DUMMYFUNCTION("""COMPUTED_VALUE"""),"PHAN DƯƠNG TRIẾT; NGUYỄN TUẤN AN")</f>
        <v>PHAN DƯƠNG TRIẾT; NGUYỄN TUẤN AN</v>
      </c>
      <c r="E97" s="4" t="str">
        <f>IFERROR(__xludf.DUMMYFUNCTION("""COMPUTED_VALUE"""),"Học viện Hàng không Việt Nam")</f>
        <v>Học viện Hàng không Việt Nam</v>
      </c>
      <c r="F97" s="4" t="str">
        <f>IFERROR(__xludf.DUMMYFUNCTION("""COMPUTED_VALUE"""),"KTCN2026-096.png")</f>
        <v>KTCN2026-096.png</v>
      </c>
    </row>
    <row r="98">
      <c r="A98" s="4" t="str">
        <f>IFERROR(__xludf.DUMMYFUNCTION("""COMPUTED_VALUE"""),"KTCN2026-097")</f>
        <v>KTCN2026-097</v>
      </c>
      <c r="B98" s="4" t="str">
        <f>IFERROR(__xludf.DUMMYFUNCTION("""COMPUTED_VALUE"""),"Kỹ thuật công nghệ")</f>
        <v>Kỹ thuật công nghệ</v>
      </c>
      <c r="C98" s="4" t="str">
        <f>IFERROR(__xludf.DUMMYFUNCTION("""COMPUTED_VALUE"""),"NGHIÊN CỨU THIẾT KẾ VÀ CHẾ TẠO THIẾT BỊ THEO DÕI MỨC ĐỘ PHONG BẾ THẦN KINH - CƠ TRONG GÂY MÊ HỒI SỨC")</f>
        <v>NGHIÊN CỨU THIẾT KẾ VÀ CHẾ TẠO THIẾT BỊ THEO DÕI MỨC ĐỘ PHONG BẾ THẦN KINH - CƠ TRONG GÂY MÊ HỒI SỨC</v>
      </c>
      <c r="D98" s="4" t="str">
        <f>IFERROR(__xludf.DUMMYFUNCTION("""COMPUTED_VALUE"""),"Phạm Thiên Trang")</f>
        <v>Phạm Thiên Trang</v>
      </c>
      <c r="E98" s="4" t="str">
        <f>IFERROR(__xludf.DUMMYFUNCTION("""COMPUTED_VALUE"""),"Trường Đại học Nguyễn Tất Thành")</f>
        <v>Trường Đại học Nguyễn Tất Thành</v>
      </c>
      <c r="F98" s="4" t="str">
        <f>IFERROR(__xludf.DUMMYFUNCTION("""COMPUTED_VALUE"""),"KTCN2026-097.png")</f>
        <v>KTCN2026-097.png</v>
      </c>
    </row>
    <row r="99">
      <c r="A99" s="4" t="str">
        <f>IFERROR(__xludf.DUMMYFUNCTION("""COMPUTED_VALUE"""),"KTCN2026-098")</f>
        <v>KTCN2026-098</v>
      </c>
      <c r="B99" s="4" t="str">
        <f>IFERROR(__xludf.DUMMYFUNCTION("""COMPUTED_VALUE"""),"Kỹ thuật công nghệ")</f>
        <v>Kỹ thuật công nghệ</v>
      </c>
      <c r="C99" s="4" t="str">
        <f>IFERROR(__xludf.DUMMYFUNCTION("""COMPUTED_VALUE"""),"CẢI TIẾN KỸ THUẬT CHẾ TẠO TIÊU BẢN MÁU NGOẠI VI")</f>
        <v>CẢI TIẾN KỸ THUẬT CHẾ TẠO TIÊU BẢN MÁU NGOẠI VI</v>
      </c>
      <c r="D99" s="4" t="str">
        <f>IFERROR(__xludf.DUMMYFUNCTION("""COMPUTED_VALUE"""),"Lê Nguyễn Hiếu; Cao Thị Yến Nhi")</f>
        <v>Lê Nguyễn Hiếu; Cao Thị Yến Nhi</v>
      </c>
      <c r="E99" s="4" t="str">
        <f>IFERROR(__xludf.DUMMYFUNCTION("""COMPUTED_VALUE"""),"Trường Đại học Nguyễn Tất Thành")</f>
        <v>Trường Đại học Nguyễn Tất Thành</v>
      </c>
      <c r="F99" s="4" t="str">
        <f>IFERROR(__xludf.DUMMYFUNCTION("""COMPUTED_VALUE"""),"KTCN2026-098.png")</f>
        <v>KTCN2026-098.png</v>
      </c>
    </row>
    <row r="100">
      <c r="A100" s="4" t="str">
        <f>IFERROR(__xludf.DUMMYFUNCTION("""COMPUTED_VALUE"""),"KTCN2026-099")</f>
        <v>KTCN2026-099</v>
      </c>
      <c r="B100" s="4" t="str">
        <f>IFERROR(__xludf.DUMMYFUNCTION("""COMPUTED_VALUE"""),"Kỹ thuật công nghệ")</f>
        <v>Kỹ thuật công nghệ</v>
      </c>
      <c r="C100" s="4" t="str">
        <f>IFERROR(__xludf.DUMMYFUNCTION("""COMPUTED_VALUE"""),"XÂY DỰNG VÀ MÔ PHỎNG 3D HỆ THỐNG TĨNH MẠCH CHI TRÊN BẰNG SOLIDWORKS PHỤC VỤ NGHIÊN CỨU VÀ ĐÀO TẠO KỸ THUẬT Y SINH")</f>
        <v>XÂY DỰNG VÀ MÔ PHỎNG 3D HỆ THỐNG TĨNH MẠCH CHI TRÊN BẰNG SOLIDWORKS PHỤC VỤ NGHIÊN CỨU VÀ ĐÀO TẠO KỸ THUẬT Y SINH</v>
      </c>
      <c r="D100" s="4" t="str">
        <f>IFERROR(__xludf.DUMMYFUNCTION("""COMPUTED_VALUE"""),"Nguyễn Thị Bích Phượng; Nguyễn Gia Huy")</f>
        <v>Nguyễn Thị Bích Phượng; Nguyễn Gia Huy</v>
      </c>
      <c r="E100" s="4" t="str">
        <f>IFERROR(__xludf.DUMMYFUNCTION("""COMPUTED_VALUE"""),"Trường Đại học Nguyễn Tất Thành")</f>
        <v>Trường Đại học Nguyễn Tất Thành</v>
      </c>
      <c r="F100" s="4" t="str">
        <f>IFERROR(__xludf.DUMMYFUNCTION("""COMPUTED_VALUE"""),"KTCN2026-099.png")</f>
        <v>KTCN2026-099.png</v>
      </c>
    </row>
    <row r="101">
      <c r="A101" s="4" t="str">
        <f>IFERROR(__xludf.DUMMYFUNCTION("""COMPUTED_VALUE"""),"KTCN2026-100")</f>
        <v>KTCN2026-100</v>
      </c>
      <c r="B101" s="4" t="str">
        <f>IFERROR(__xludf.DUMMYFUNCTION("""COMPUTED_VALUE"""),"Kỹ thuật công nghệ")</f>
        <v>Kỹ thuật công nghệ</v>
      </c>
      <c r="C101" s="4" t="str">
        <f>IFERROR(__xludf.DUMMYFUNCTION("""COMPUTED_VALUE"""),"Sử dụng Google Assistant và NodeMCU ESP32 – S để điều khiển các thiết bị thông dụng trong nhà")</f>
        <v>Sử dụng Google Assistant và NodeMCU ESP32 – S để điều khiển các thiết bị thông dụng trong nhà</v>
      </c>
      <c r="D101" s="4" t="str">
        <f>IFERROR(__xludf.DUMMYFUNCTION("""COMPUTED_VALUE"""),"Quách Hương Giang; Nguyễn Minh Khôi; Huỳnh Phước Vinh; Nguyễn Như Ý; Lê Thị Mỷ Kiều")</f>
        <v>Quách Hương Giang; Nguyễn Minh Khôi; Huỳnh Phước Vinh; Nguyễn Như Ý; Lê Thị Mỷ Kiều</v>
      </c>
      <c r="E101" s="4" t="str">
        <f>IFERROR(__xludf.DUMMYFUNCTION("""COMPUTED_VALUE"""),"Trường Đại học Bạc Liêu")</f>
        <v>Trường Đại học Bạc Liêu</v>
      </c>
      <c r="F101" s="4" t="str">
        <f>IFERROR(__xludf.DUMMYFUNCTION("""COMPUTED_VALUE"""),"KTCN2026-100.png")</f>
        <v>KTCN2026-100.png</v>
      </c>
    </row>
    <row r="102">
      <c r="A102" s="4" t="str">
        <f>IFERROR(__xludf.DUMMYFUNCTION("""COMPUTED_VALUE"""),"KTCN2026-101")</f>
        <v>KTCN2026-101</v>
      </c>
      <c r="B102" s="4" t="str">
        <f>IFERROR(__xludf.DUMMYFUNCTION("""COMPUTED_VALUE"""),"Kỹ thuật công nghệ")</f>
        <v>Kỹ thuật công nghệ</v>
      </c>
      <c r="C102" s="4" t="str">
        <f>IFERROR(__xludf.DUMMYFUNCTION("""COMPUTED_VALUE"""),"Quasi-Optimal Decentralised Control for Interconnected Grids with Thyristor Controlled Phase Shifters")</f>
        <v>Quasi-Optimal Decentralised Control for Interconnected Grids with Thyristor Controlled Phase Shifters</v>
      </c>
      <c r="D102" s="4" t="str">
        <f>IFERROR(__xludf.DUMMYFUNCTION("""COMPUTED_VALUE"""),"Đặng Tuấn Phong; Đỗ Doãn Toàn Vinh; Đinh Hoàng Phương; Nguyễn Quốc Bảo")</f>
        <v>Đặng Tuấn Phong; Đỗ Doãn Toàn Vinh; Đinh Hoàng Phương; Nguyễn Quốc Bảo</v>
      </c>
      <c r="E102" s="4" t="str">
        <f>IFERROR(__xludf.DUMMYFUNCTION("""COMPUTED_VALUE"""),"Trường Quốc tế, ĐHQG Hà Nội")</f>
        <v>Trường Quốc tế, ĐHQG Hà Nội</v>
      </c>
      <c r="F102" s="4" t="str">
        <f>IFERROR(__xludf.DUMMYFUNCTION("""COMPUTED_VALUE"""),"KTCN2026-101.png")</f>
        <v>KTCN2026-101.png</v>
      </c>
    </row>
    <row r="103">
      <c r="A103" s="4" t="str">
        <f>IFERROR(__xludf.DUMMYFUNCTION("""COMPUTED_VALUE"""),"KTCN2026-102")</f>
        <v>KTCN2026-102</v>
      </c>
      <c r="B103" s="4" t="str">
        <f>IFERROR(__xludf.DUMMYFUNCTION("""COMPUTED_VALUE"""),"Kỹ thuật công nghệ")</f>
        <v>Kỹ thuật công nghệ</v>
      </c>
      <c r="C103" s="4" t="str">
        <f>IFERROR(__xludf.DUMMYFUNCTION("""COMPUTED_VALUE"""),"Developing a system for collecting and treating personal electronic waste in Hanoi capital area")</f>
        <v>Developing a system for collecting and treating personal electronic waste in Hanoi capital area</v>
      </c>
      <c r="D103" s="4" t="str">
        <f>IFERROR(__xludf.DUMMYFUNCTION("""COMPUTED_VALUE"""),"Hoàng Gia Bảo; Phùng Mai Nga; Nguyễn Tiến Dũng; Đặng Đức Dũng")</f>
        <v>Hoàng Gia Bảo; Phùng Mai Nga; Nguyễn Tiến Dũng; Đặng Đức Dũng</v>
      </c>
      <c r="E103" s="4" t="str">
        <f>IFERROR(__xludf.DUMMYFUNCTION("""COMPUTED_VALUE"""),"Trường Quốc tế, ĐHQG Hà Nội")</f>
        <v>Trường Quốc tế, ĐHQG Hà Nội</v>
      </c>
      <c r="F103" s="4" t="str">
        <f>IFERROR(__xludf.DUMMYFUNCTION("""COMPUTED_VALUE"""),"KTCN2026-102.png")</f>
        <v>KTCN2026-102.png</v>
      </c>
    </row>
    <row r="104">
      <c r="A104" s="4" t="str">
        <f>IFERROR(__xludf.DUMMYFUNCTION("""COMPUTED_VALUE"""),"KTCN2026-103")</f>
        <v>KTCN2026-103</v>
      </c>
      <c r="B104" s="4" t="str">
        <f>IFERROR(__xludf.DUMMYFUNCTION("""COMPUTED_VALUE"""),"Kỹ thuật công nghệ")</f>
        <v>Kỹ thuật công nghệ</v>
      </c>
      <c r="C104" s="4" t="str">
        <f>IFERROR(__xludf.DUMMYFUNCTION("""COMPUTED_VALUE"""),"NGHIÊN CỨU SỰ KHÁC BIỆT TRONG HÀNH XỬ TÍCH TỤ CỦA CÁC AMYLOIDS BẰNG MÔ PHỎNG ĐỘNG LỰC HỌC PHÂN TỬ VÀ HỌC MÁY")</f>
        <v>NGHIÊN CỨU SỰ KHÁC BIỆT TRONG HÀNH XỬ TÍCH TỤ CỦA CÁC AMYLOIDS BẰNG MÔ PHỎNG ĐỘNG LỰC HỌC PHÂN TỬ VÀ HỌC MÁY</v>
      </c>
      <c r="D104" s="4" t="str">
        <f>IFERROR(__xludf.DUMMYFUNCTION("""COMPUTED_VALUE"""),"Bùi Minh Giang; Nguyễn Yến Linh; Phạm Phi Dũng")</f>
        <v>Bùi Minh Giang; Nguyễn Yến Linh; Phạm Phi Dũng</v>
      </c>
      <c r="E104" s="4" t="str">
        <f>IFERROR(__xludf.DUMMYFUNCTION("""COMPUTED_VALUE"""),"Trường Đại học Khoa học Tự nhiên, ĐHQG-HCM")</f>
        <v>Trường Đại học Khoa học Tự nhiên, ĐHQG-HCM</v>
      </c>
      <c r="F104" s="4" t="str">
        <f>IFERROR(__xludf.DUMMYFUNCTION("""COMPUTED_VALUE"""),"KTCN2026-103.png")</f>
        <v>KTCN2026-103.png</v>
      </c>
    </row>
    <row r="105">
      <c r="A105" s="4" t="str">
        <f>IFERROR(__xludf.DUMMYFUNCTION("""COMPUTED_VALUE"""),"KTCN2026-104")</f>
        <v>KTCN2026-104</v>
      </c>
      <c r="B105" s="4" t="str">
        <f>IFERROR(__xludf.DUMMYFUNCTION("""COMPUTED_VALUE"""),"Kỹ thuật công nghệ")</f>
        <v>Kỹ thuật công nghệ</v>
      </c>
      <c r="C105" s="4" t="str">
        <f>IFERROR(__xludf.DUMMYFUNCTION("""COMPUTED_VALUE"""),"NGHIÊN CỨU VÀ PHÁT TRIỂN CÁC MÔ HÌNH HỌC SÂU NHẰM NÂNG CAO CHẤT LƯỢNG TÁCH NGUỒN ÂM NHẠC VÀ GIỌNG HÁT")</f>
        <v>NGHIÊN CỨU VÀ PHÁT TRIỂN CÁC MÔ HÌNH HỌC SÂU NHẰM NÂNG CAO CHẤT LƯỢNG TÁCH NGUỒN ÂM NHẠC VÀ GIỌNG HÁT</v>
      </c>
      <c r="D105" s="4" t="str">
        <f>IFERROR(__xludf.DUMMYFUNCTION("""COMPUTED_VALUE"""),"Mai Anh Khoa; Trần Huy Hoàng Anh; Hà Tuấn Anh")</f>
        <v>Mai Anh Khoa; Trần Huy Hoàng Anh; Hà Tuấn Anh</v>
      </c>
      <c r="E105" s="4" t="str">
        <f>IFERROR(__xludf.DUMMYFUNCTION("""COMPUTED_VALUE"""),"Trường Đại học Công nghệ Thông tin, ĐHQG-HCM")</f>
        <v>Trường Đại học Công nghệ Thông tin, ĐHQG-HCM</v>
      </c>
      <c r="F105" s="4" t="str">
        <f>IFERROR(__xludf.DUMMYFUNCTION("""COMPUTED_VALUE"""),"KTCN2026-104.png")</f>
        <v>KTCN2026-104.png</v>
      </c>
    </row>
    <row r="106">
      <c r="A106" s="4" t="str">
        <f>IFERROR(__xludf.DUMMYFUNCTION("""COMPUTED_VALUE"""),"KTCN2026-105")</f>
        <v>KTCN2026-105</v>
      </c>
      <c r="B106" s="4" t="str">
        <f>IFERROR(__xludf.DUMMYFUNCTION("""COMPUTED_VALUE"""),"Kỹ thuật công nghệ")</f>
        <v>Kỹ thuật công nghệ</v>
      </c>
      <c r="C106" s="4" t="str">
        <f>IFERROR(__xludf.DUMMYFUNCTION("""COMPUTED_VALUE"""),"PHÁT TRIỂN GIẢI PHÁP THEO DÕI ĐA ĐỐI TƯỢNG CHO CÁC ỨNG DỤNG GIÁM SÁT THÔNG MINH")</f>
        <v>PHÁT TRIỂN GIẢI PHÁP THEO DÕI ĐA ĐỐI TƯỢNG CHO CÁC ỨNG DỤNG GIÁM SÁT THÔNG MINH</v>
      </c>
      <c r="D106" s="4" t="str">
        <f>IFERROR(__xludf.DUMMYFUNCTION("""COMPUTED_VALUE"""),"Huỳnh Chí Nhân; Huỳnh Trung Nghĩa")</f>
        <v>Huỳnh Chí Nhân; Huỳnh Trung Nghĩa</v>
      </c>
      <c r="E106" s="4" t="str">
        <f>IFERROR(__xludf.DUMMYFUNCTION("""COMPUTED_VALUE"""),"Trường Đại học Công nghệ Thông tin, ĐHQG-HCM")</f>
        <v>Trường Đại học Công nghệ Thông tin, ĐHQG-HCM</v>
      </c>
      <c r="F106" s="4" t="str">
        <f>IFERROR(__xludf.DUMMYFUNCTION("""COMPUTED_VALUE"""),"KTCN2026-105.png")</f>
        <v>KTCN2026-105.png</v>
      </c>
    </row>
    <row r="107">
      <c r="A107" s="4" t="str">
        <f>IFERROR(__xludf.DUMMYFUNCTION("""COMPUTED_VALUE"""),"KTCN2026-106")</f>
        <v>KTCN2026-106</v>
      </c>
      <c r="B107" s="4" t="str">
        <f>IFERROR(__xludf.DUMMYFUNCTION("""COMPUTED_VALUE"""),"Kỹ thuật công nghệ")</f>
        <v>Kỹ thuật công nghệ</v>
      </c>
      <c r="C107" s="4" t="str">
        <f>IFERROR(__xludf.DUMMYFUNCTION("""COMPUTED_VALUE"""),"PHÂN LOẠI BÚT TỪ ẢNH BẰNG ĐẶC TRƯNG THỊ GIÁC - VẬT LÝ VÀ CHÚ Ý KHÔNG GIAN THÍCH NGHI")</f>
        <v>PHÂN LOẠI BÚT TỪ ẢNH BẰNG ĐẶC TRƯNG THỊ GIÁC - VẬT LÝ VÀ CHÚ Ý KHÔNG GIAN THÍCH NGHI</v>
      </c>
      <c r="D107" s="4" t="str">
        <f>IFERROR(__xludf.DUMMYFUNCTION("""COMPUTED_VALUE"""),"Nguyễn Phạm Gia Huy; Ngô Viết Tuệ Đăng; Phạm Duy Hiển; Tạ Cao Nguyên Bảo")</f>
        <v>Nguyễn Phạm Gia Huy; Ngô Viết Tuệ Đăng; Phạm Duy Hiển; Tạ Cao Nguyên Bảo</v>
      </c>
      <c r="E107" s="4" t="str">
        <f>IFERROR(__xludf.DUMMYFUNCTION("""COMPUTED_VALUE"""),"Trường Đại học Công nghệ Thông tin, ĐHQG-HCM")</f>
        <v>Trường Đại học Công nghệ Thông tin, ĐHQG-HCM</v>
      </c>
      <c r="F107" s="4" t="str">
        <f>IFERROR(__xludf.DUMMYFUNCTION("""COMPUTED_VALUE"""),"KTCN2026-106.png")</f>
        <v>KTCN2026-106.png</v>
      </c>
    </row>
    <row r="108">
      <c r="A108" s="4" t="str">
        <f>IFERROR(__xludf.DUMMYFUNCTION("""COMPUTED_VALUE"""),"KTCN2026-107")</f>
        <v>KTCN2026-107</v>
      </c>
      <c r="B108" s="4" t="str">
        <f>IFERROR(__xludf.DUMMYFUNCTION("""COMPUTED_VALUE"""),"Kỹ thuật công nghệ")</f>
        <v>Kỹ thuật công nghệ</v>
      </c>
      <c r="C108" s="4" t="str">
        <f>IFERROR(__xludf.DUMMYFUNCTION("""COMPUTED_VALUE"""),"Thiết kế và chế tạo lò đốt nhiều loại dầu thải, hiệu suất cao, giảm phát thải")</f>
        <v>Thiết kế và chế tạo lò đốt nhiều loại dầu thải, hiệu suất cao, giảm phát thải</v>
      </c>
      <c r="D108" s="4" t="str">
        <f>IFERROR(__xludf.DUMMYFUNCTION("""COMPUTED_VALUE"""),"Nguyễn Văn Chí Nguyên; Lê Ngọc Thiên Sơn")</f>
        <v>Nguyễn Văn Chí Nguyên; Lê Ngọc Thiên Sơn</v>
      </c>
      <c r="E108" s="4" t="str">
        <f>IFERROR(__xludf.DUMMYFUNCTION("""COMPUTED_VALUE"""),"Trường Đại học Cửu Long")</f>
        <v>Trường Đại học Cửu Long</v>
      </c>
      <c r="F108" s="4" t="str">
        <f>IFERROR(__xludf.DUMMYFUNCTION("""COMPUTED_VALUE"""),"KTCN2026-107.png")</f>
        <v>KTCN2026-107.png</v>
      </c>
    </row>
    <row r="109">
      <c r="A109" s="4" t="str">
        <f>IFERROR(__xludf.DUMMYFUNCTION("""COMPUTED_VALUE"""),"KTCN2026-108")</f>
        <v>KTCN2026-108</v>
      </c>
      <c r="B109" s="4" t="str">
        <f>IFERROR(__xludf.DUMMYFUNCTION("""COMPUTED_VALUE"""),"Kỹ thuật công nghệ")</f>
        <v>Kỹ thuật công nghệ</v>
      </c>
      <c r="C109" s="4" t="str">
        <f>IFERROR(__xludf.DUMMYFUNCTION("""COMPUTED_VALUE"""),"KHAI THÁC TRẠNG THÁI NGỮ NGHĨA ĐỂ GIẢM KHÁC BIỆT MIỀN TRONG PHÂN TÍCH TƯƠNG TÁC GIỮA NGƯỜI ĐI BỘ VÀ PHƯƠNG TIỆN")</f>
        <v>KHAI THÁC TRẠNG THÁI NGỮ NGHĨA ĐỂ GIẢM KHÁC BIỆT MIỀN TRONG PHÂN TÍCH TƯƠNG TÁC GIỮA NGƯỜI ĐI BỘ VÀ PHƯƠNG TIỆN</v>
      </c>
      <c r="D109" s="4" t="str">
        <f>IFERROR(__xludf.DUMMYFUNCTION("""COMPUTED_VALUE"""),"Đỗ Minh Nhật; Nguyễn Hữu Tuấn Minh; Hoàng Lê Kim Lâm; Võ Nguyễn Minh Long; Phan Đình Minh Huấn")</f>
        <v>Đỗ Minh Nhật; Nguyễn Hữu Tuấn Minh; Hoàng Lê Kim Lâm; Võ Nguyễn Minh Long; Phan Đình Minh Huấn</v>
      </c>
      <c r="E109" s="4" t="str">
        <f>IFERROR(__xludf.DUMMYFUNCTION("""COMPUTED_VALUE"""),"Trường Đại học Công nghệ Thông tin, ĐHQG-HCM")</f>
        <v>Trường Đại học Công nghệ Thông tin, ĐHQG-HCM</v>
      </c>
      <c r="F109" s="4" t="str">
        <f>IFERROR(__xludf.DUMMYFUNCTION("""COMPUTED_VALUE"""),"KTCN2026-108.png")</f>
        <v>KTCN2026-108.png</v>
      </c>
    </row>
    <row r="110">
      <c r="A110" s="4" t="str">
        <f>IFERROR(__xludf.DUMMYFUNCTION("""COMPUTED_VALUE"""),"KTCN2026-109")</f>
        <v>KTCN2026-109</v>
      </c>
      <c r="B110" s="4" t="str">
        <f>IFERROR(__xludf.DUMMYFUNCTION("""COMPUTED_VALUE"""),"Kỹ thuật công nghệ")</f>
        <v>Kỹ thuật công nghệ</v>
      </c>
      <c r="C110" s="4" t="str">
        <f>IFERROR(__xludf.DUMMYFUNCTION("""COMPUTED_VALUE"""),"Nền tảng tương tác người-máy thời gian thực ứng dụng MoCap trong giảng dạy trực quan")</f>
        <v>Nền tảng tương tác người-máy thời gian thực ứng dụng MoCap trong giảng dạy trực quan</v>
      </c>
      <c r="D110" s="4" t="str">
        <f>IFERROR(__xludf.DUMMYFUNCTION("""COMPUTED_VALUE"""),"Trần Thiện Vương")</f>
        <v>Trần Thiện Vương</v>
      </c>
      <c r="E110" s="4" t="str">
        <f>IFERROR(__xludf.DUMMYFUNCTION("""COMPUTED_VALUE"""),"Trường Đại học Khoa học Tự nhiên, ĐHQG-HCM")</f>
        <v>Trường Đại học Khoa học Tự nhiên, ĐHQG-HCM</v>
      </c>
      <c r="F110" s="4" t="str">
        <f>IFERROR(__xludf.DUMMYFUNCTION("""COMPUTED_VALUE"""),"KTCN2026-109.png")</f>
        <v>KTCN2026-109.png</v>
      </c>
    </row>
    <row r="111">
      <c r="A111" s="4" t="str">
        <f>IFERROR(__xludf.DUMMYFUNCTION("""COMPUTED_VALUE"""),"KTCN2026-110")</f>
        <v>KTCN2026-110</v>
      </c>
      <c r="B111" s="4" t="str">
        <f>IFERROR(__xludf.DUMMYFUNCTION("""COMPUTED_VALUE"""),"Kỹ thuật công nghệ")</f>
        <v>Kỹ thuật công nghệ</v>
      </c>
      <c r="C111" s="4" t="str">
        <f>IFERROR(__xludf.DUMMYFUNCTION("""COMPUTED_VALUE"""),"Khảo sát và xây dựng quy trình huấn luyện mô hình nhận dạng độ nhàu vải nhị phân bằng Teachable Machine")</f>
        <v>Khảo sát và xây dựng quy trình huấn luyện mô hình nhận dạng độ nhàu vải nhị phân bằng Teachable Machine</v>
      </c>
      <c r="D111" s="4" t="str">
        <f>IFERROR(__xludf.DUMMYFUNCTION("""COMPUTED_VALUE"""),"Nguyễn Thị Thu Lài")</f>
        <v>Nguyễn Thị Thu Lài</v>
      </c>
      <c r="E111" s="4" t="str">
        <f>IFERROR(__xludf.DUMMYFUNCTION("""COMPUTED_VALUE"""),"Trường Đại học Công Thương TP. Hồ Chí Minh")</f>
        <v>Trường Đại học Công Thương TP. Hồ Chí Minh</v>
      </c>
      <c r="F111" s="4" t="str">
        <f>IFERROR(__xludf.DUMMYFUNCTION("""COMPUTED_VALUE"""),"KTCN2026-110.png")</f>
        <v>KTCN2026-110.png</v>
      </c>
    </row>
    <row r="112">
      <c r="A112" s="4" t="str">
        <f>IFERROR(__xludf.DUMMYFUNCTION("""COMPUTED_VALUE"""),"KTCN2026-111")</f>
        <v>KTCN2026-111</v>
      </c>
      <c r="B112" s="4" t="str">
        <f>IFERROR(__xludf.DUMMYFUNCTION("""COMPUTED_VALUE"""),"Kỹ thuật công nghệ")</f>
        <v>Kỹ thuật công nghệ</v>
      </c>
      <c r="C112" s="4" t="str">
        <f>IFERROR(__xludf.DUMMYFUNCTION("""COMPUTED_VALUE"""),"Mô phỏng số độ bền va đập của mũi tàu composite có bọc inox")</f>
        <v>Mô phỏng số độ bền va đập của mũi tàu composite có bọc inox</v>
      </c>
      <c r="D112" s="4" t="str">
        <f>IFERROR(__xludf.DUMMYFUNCTION("""COMPUTED_VALUE"""),"Dương Ngọc Quý")</f>
        <v>Dương Ngọc Quý</v>
      </c>
      <c r="E112" s="4" t="str">
        <f>IFERROR(__xludf.DUMMYFUNCTION("""COMPUTED_VALUE"""),"Trường Đại học Nha Trang")</f>
        <v>Trường Đại học Nha Trang</v>
      </c>
      <c r="F112" s="4" t="str">
        <f>IFERROR(__xludf.DUMMYFUNCTION("""COMPUTED_VALUE"""),"KTCN2026-111.png")</f>
        <v>KTCN2026-111.png</v>
      </c>
    </row>
    <row r="113">
      <c r="A113" s="4" t="str">
        <f>IFERROR(__xludf.DUMMYFUNCTION("""COMPUTED_VALUE"""),"KTCN2026-112")</f>
        <v>KTCN2026-112</v>
      </c>
      <c r="B113" s="4" t="str">
        <f>IFERROR(__xludf.DUMMYFUNCTION("""COMPUTED_VALUE"""),"Kỹ thuật công nghệ")</f>
        <v>Kỹ thuật công nghệ</v>
      </c>
      <c r="C113" s="4" t="str">
        <f>IFERROR(__xludf.DUMMYFUNCTION("""COMPUTED_VALUE"""),"NGHIÊN CỨU PHÁT TRIỂN HỆ THỐNG QUẢN LÝ PALLET TRONG KHO HÀNG THEO THỜI GIAN THỰC ỨNG DỤNG CÔNG NGHỆ BẢN SAO SỐ")</f>
        <v>NGHIÊN CỨU PHÁT TRIỂN HỆ THỐNG QUẢN LÝ PALLET TRONG KHO HÀNG THEO THỜI GIAN THỰC ỨNG DỤNG CÔNG NGHỆ BẢN SAO SỐ</v>
      </c>
      <c r="D113" s="4" t="str">
        <f>IFERROR(__xludf.DUMMYFUNCTION("""COMPUTED_VALUE"""),"BÙI QUANG MINH; PHẠM THÁI HÀ; PHẠM NGỌC LINH; NGUYỄN THỊ THU PHƯƠNG; LÊ THỊ THU HIỀN")</f>
        <v>BÙI QUANG MINH; PHẠM THÁI HÀ; PHẠM NGỌC LINH; NGUYỄN THỊ THU PHƯƠNG; LÊ THỊ THU HIỀN</v>
      </c>
      <c r="E113" s="4" t="str">
        <f>IFERROR(__xludf.DUMMYFUNCTION("""COMPUTED_VALUE"""),"Trường Đại học Hàng hải Việt Nam")</f>
        <v>Trường Đại học Hàng hải Việt Nam</v>
      </c>
      <c r="F113" s="4" t="str">
        <f>IFERROR(__xludf.DUMMYFUNCTION("""COMPUTED_VALUE"""),"KTCN2026-112.png")</f>
        <v>KTCN2026-112.png</v>
      </c>
    </row>
    <row r="114">
      <c r="A114" s="4" t="str">
        <f>IFERROR(__xludf.DUMMYFUNCTION("""COMPUTED_VALUE"""),"KTCN2026-113")</f>
        <v>KTCN2026-113</v>
      </c>
      <c r="B114" s="4" t="str">
        <f>IFERROR(__xludf.DUMMYFUNCTION("""COMPUTED_VALUE"""),"Kỹ thuật công nghệ")</f>
        <v>Kỹ thuật công nghệ</v>
      </c>
      <c r="C114" s="4" t="str">
        <f>IFERROR(__xludf.DUMMYFUNCTION("""COMPUTED_VALUE"""),"Tối ưu hóa Macro Placement trong OpenROAD bằng Deep Reinforcement Learning")</f>
        <v>Tối ưu hóa Macro Placement trong OpenROAD bằng Deep Reinforcement Learning</v>
      </c>
      <c r="D114" s="4" t="str">
        <f>IFERROR(__xludf.DUMMYFUNCTION("""COMPUTED_VALUE"""),"Huỳnh Mỹ Ngọc")</f>
        <v>Huỳnh Mỹ Ngọc</v>
      </c>
      <c r="E114" s="4" t="str">
        <f>IFERROR(__xludf.DUMMYFUNCTION("""COMPUTED_VALUE"""),"Trường Đại học Khoa học Tự nhiên, ĐHQG-HCM")</f>
        <v>Trường Đại học Khoa học Tự nhiên, ĐHQG-HCM</v>
      </c>
      <c r="F114" s="4" t="str">
        <f>IFERROR(__xludf.DUMMYFUNCTION("""COMPUTED_VALUE"""),"KTCN2026-113.png")</f>
        <v>KTCN2026-113.png</v>
      </c>
    </row>
    <row r="115">
      <c r="A115" s="4" t="str">
        <f>IFERROR(__xludf.DUMMYFUNCTION("""COMPUTED_VALUE"""),"KTCN2026-114")</f>
        <v>KTCN2026-114</v>
      </c>
      <c r="B115" s="4" t="str">
        <f>IFERROR(__xludf.DUMMYFUNCTION("""COMPUTED_VALUE"""),"Kỹ thuật công nghệ")</f>
        <v>Kỹ thuật công nghệ</v>
      </c>
      <c r="C115" s="4" t="str">
        <f>IFERROR(__xludf.DUMMYFUNCTION("""COMPUTED_VALUE"""),"Nghiên cứu phát triển sản phẩm khử mùi dạng viên từ tinh dầu Long não (Cinnamomum Camphora)")</f>
        <v>Nghiên cứu phát triển sản phẩm khử mùi dạng viên từ tinh dầu Long não (Cinnamomum Camphora)</v>
      </c>
      <c r="D115" s="4" t="str">
        <f>IFERROR(__xludf.DUMMYFUNCTION("""COMPUTED_VALUE"""),"Phạm Linh Chi; Nguyễn Thị Giang; Mai Văn Khánh; Nguyễn Quốc Cường")</f>
        <v>Phạm Linh Chi; Nguyễn Thị Giang; Mai Văn Khánh; Nguyễn Quốc Cường</v>
      </c>
      <c r="E115" s="4" t="str">
        <f>IFERROR(__xludf.DUMMYFUNCTION("""COMPUTED_VALUE"""),"Trường Đại học Vinh")</f>
        <v>Trường Đại học Vinh</v>
      </c>
      <c r="F115" s="4" t="str">
        <f>IFERROR(__xludf.DUMMYFUNCTION("""COMPUTED_VALUE"""),"KTCN2026-114.png")</f>
        <v>KTCN2026-114.png</v>
      </c>
    </row>
    <row r="116">
      <c r="A116" s="4" t="str">
        <f>IFERROR(__xludf.DUMMYFUNCTION("""COMPUTED_VALUE"""),"KTCN2026-115")</f>
        <v>KTCN2026-115</v>
      </c>
      <c r="B116" s="4" t="str">
        <f>IFERROR(__xludf.DUMMYFUNCTION("""COMPUTED_VALUE"""),"Kỹ thuật công nghệ")</f>
        <v>Kỹ thuật công nghệ</v>
      </c>
      <c r="C116" s="4" t="str">
        <f>IFERROR(__xludf.DUMMYFUNCTION("""COMPUTED_VALUE"""),"ỨNG DỤNG XỬ LÝ ẢNH TRONG VIỆC PHÁT HIỆN LỖI VẢI")</f>
        <v>ỨNG DỤNG XỬ LÝ ẢNH TRONG VIỆC PHÁT HIỆN LỖI VẢI</v>
      </c>
      <c r="D116" s="4" t="str">
        <f>IFERROR(__xludf.DUMMYFUNCTION("""COMPUTED_VALUE"""),"NGUYỄN THANH NAM; PHẠM GIA KHÁNH")</f>
        <v>NGUYỄN THANH NAM; PHẠM GIA KHÁNH</v>
      </c>
      <c r="E116" s="4" t="str">
        <f>IFERROR(__xludf.DUMMYFUNCTION("""COMPUTED_VALUE"""),"Trường Đại học Công nghệ Kỹ thuật TP. Hồ Chí Minh")</f>
        <v>Trường Đại học Công nghệ Kỹ thuật TP. Hồ Chí Minh</v>
      </c>
      <c r="F116" s="4" t="str">
        <f>IFERROR(__xludf.DUMMYFUNCTION("""COMPUTED_VALUE"""),"KTCN2026-115.png")</f>
        <v>KTCN2026-115.png</v>
      </c>
    </row>
    <row r="117">
      <c r="A117" s="4" t="str">
        <f>IFERROR(__xludf.DUMMYFUNCTION("""COMPUTED_VALUE"""),"KTCN2026-116")</f>
        <v>KTCN2026-116</v>
      </c>
      <c r="B117" s="4" t="str">
        <f>IFERROR(__xludf.DUMMYFUNCTION("""COMPUTED_VALUE"""),"Kỹ thuật công nghệ")</f>
        <v>Kỹ thuật công nghệ</v>
      </c>
      <c r="C117" s="4" t="str">
        <f>IFERROR(__xludf.DUMMYFUNCTION("""COMPUTED_VALUE"""),"XÂY DỰNG KHUNG HỖ TRỢ RA QUYẾT ĐỊNH CẢI TIẾN CÂN BẰNG CHUYÊN TÍCH HỢP MÔ PHỎNG VÀ PHƯƠNG PHÁP RA QUYẾT ĐỊNH ĐA TIÊU CHÍ")</f>
        <v>XÂY DỰNG KHUNG HỖ TRỢ RA QUYẾT ĐỊNH CẢI TIẾN CÂN BẰNG CHUYÊN TÍCH HỢP MÔ PHỎNG VÀ PHƯƠNG PHÁP RA QUYẾT ĐỊNH ĐA TIÊU CHÍ</v>
      </c>
      <c r="D117" s="4" t="str">
        <f>IFERROR(__xludf.DUMMYFUNCTION("""COMPUTED_VALUE"""),"Hoàng Phi Hùng; Trần Ngọc Bảo Khánh")</f>
        <v>Hoàng Phi Hùng; Trần Ngọc Bảo Khánh</v>
      </c>
      <c r="E117" s="4" t="str">
        <f>IFERROR(__xludf.DUMMYFUNCTION("""COMPUTED_VALUE"""),"Trường Đại học Công nghệ Kỹ thuật TP. Hồ Chí Minh")</f>
        <v>Trường Đại học Công nghệ Kỹ thuật TP. Hồ Chí Minh</v>
      </c>
      <c r="F117" s="4" t="str">
        <f>IFERROR(__xludf.DUMMYFUNCTION("""COMPUTED_VALUE"""),"KTCN2026-116.png")</f>
        <v>KTCN2026-116.png</v>
      </c>
    </row>
    <row r="118">
      <c r="A118" s="4" t="str">
        <f>IFERROR(__xludf.DUMMYFUNCTION("""COMPUTED_VALUE"""),"KTCN2026-117")</f>
        <v>KTCN2026-117</v>
      </c>
      <c r="B118" s="4" t="str">
        <f>IFERROR(__xludf.DUMMYFUNCTION("""COMPUTED_VALUE"""),"Kỹ thuật công nghệ")</f>
        <v>Kỹ thuật công nghệ</v>
      </c>
      <c r="C118" s="4" t="str">
        <f>IFERROR(__xludf.DUMMYFUNCTION("""COMPUTED_VALUE"""),"Nghiên cứu mô phòng dòng xe bằng mô hình tế bào Nagel - Schrenkenberg kết hợp thuật toán Dijkstra động nhằm tối ưu hóa phân luồng tại nút giao Hàng Xanh, TPHCM")</f>
        <v>Nghiên cứu mô phòng dòng xe bằng mô hình tế bào Nagel - Schrenkenberg kết hợp thuật toán Dijkstra động nhằm tối ưu hóa phân luồng tại nút giao Hàng Xanh, TPHCM</v>
      </c>
      <c r="D118" s="4" t="str">
        <f>IFERROR(__xludf.DUMMYFUNCTION("""COMPUTED_VALUE"""),"Đỗ Bùi Trọng Khôi; Lê Song Toàn")</f>
        <v>Đỗ Bùi Trọng Khôi; Lê Song Toàn</v>
      </c>
      <c r="E118" s="4" t="str">
        <f>IFERROR(__xludf.DUMMYFUNCTION("""COMPUTED_VALUE"""),"Trường Đại học Khoa học Tự nhiên, ĐHQG-HCM")</f>
        <v>Trường Đại học Khoa học Tự nhiên, ĐHQG-HCM</v>
      </c>
      <c r="F118" s="4" t="str">
        <f>IFERROR(__xludf.DUMMYFUNCTION("""COMPUTED_VALUE"""),"KTCN2026-117.png")</f>
        <v>KTCN2026-117.png</v>
      </c>
    </row>
    <row r="119">
      <c r="A119" s="4" t="str">
        <f>IFERROR(__xludf.DUMMYFUNCTION("""COMPUTED_VALUE"""),"KTCN2026-118")</f>
        <v>KTCN2026-118</v>
      </c>
      <c r="B119" s="4" t="str">
        <f>IFERROR(__xludf.DUMMYFUNCTION("""COMPUTED_VALUE"""),"Kỹ thuật công nghệ")</f>
        <v>Kỹ thuật công nghệ</v>
      </c>
      <c r="C119" s="4" t="str">
        <f>IFERROR(__xludf.DUMMYFUNCTION("""COMPUTED_VALUE"""),"Xây dựng nền tảng thực nghiệm phân phối khóa lượng tử dựa trên giao thức BB84")</f>
        <v>Xây dựng nền tảng thực nghiệm phân phối khóa lượng tử dựa trên giao thức BB84</v>
      </c>
      <c r="D119" s="4" t="str">
        <f>IFERROR(__xludf.DUMMYFUNCTION("""COMPUTED_VALUE"""),"Nguyễn Văn Dương; Nguyễn Bình Minh; Bùi Quốc Hùng")</f>
        <v>Nguyễn Văn Dương; Nguyễn Bình Minh; Bùi Quốc Hùng</v>
      </c>
      <c r="E119" s="4" t="str">
        <f>IFERROR(__xludf.DUMMYFUNCTION("""COMPUTED_VALUE"""),"Học viện Công nghệ Bưu chính Viễn thông")</f>
        <v>Học viện Công nghệ Bưu chính Viễn thông</v>
      </c>
      <c r="F119" s="4" t="str">
        <f>IFERROR(__xludf.DUMMYFUNCTION("""COMPUTED_VALUE"""),"KTCN2026-118.png")</f>
        <v>KTCN2026-118.png</v>
      </c>
    </row>
    <row r="120">
      <c r="A120" s="4" t="str">
        <f>IFERROR(__xludf.DUMMYFUNCTION("""COMPUTED_VALUE"""),"KTCN2026-119")</f>
        <v>KTCN2026-119</v>
      </c>
      <c r="B120" s="4" t="str">
        <f>IFERROR(__xludf.DUMMYFUNCTION("""COMPUTED_VALUE"""),"Kỹ thuật công nghệ")</f>
        <v>Kỹ thuật công nghệ</v>
      </c>
      <c r="C120" s="4" t="str">
        <f>IFERROR(__xludf.DUMMYFUNCTION("""COMPUTED_VALUE"""),"EXPERIMENTAL CHARACTERIZATION OF FDM-PRINTED PLA+ AND COMPARISON WITH A SIMPLIFIED HOMOGENIZED ANSYS SIMULATION")</f>
        <v>EXPERIMENTAL CHARACTERIZATION OF FDM-PRINTED PLA+ AND COMPARISON WITH A SIMPLIFIED HOMOGENIZED ANSYS SIMULATION</v>
      </c>
      <c r="D120" s="4" t="str">
        <f>IFERROR(__xludf.DUMMYFUNCTION("""COMPUTED_VALUE"""),"Grolleau Devaine Enzo; Dayron Camille Nathalie Marie; Nguyễn Lê Thành Đức; Trương Trọng Hiếu; Mai Quốc Việt")</f>
        <v>Grolleau Devaine Enzo; Dayron Camille Nathalie Marie; Nguyễn Lê Thành Đức; Trương Trọng Hiếu; Mai Quốc Việt</v>
      </c>
      <c r="E120" s="4" t="str">
        <f>IFERROR(__xludf.DUMMYFUNCTION("""COMPUTED_VALUE"""),"Trường Đại học Bách Khoa, ĐHQG-HCM")</f>
        <v>Trường Đại học Bách Khoa, ĐHQG-HCM</v>
      </c>
      <c r="F120" s="4" t="str">
        <f>IFERROR(__xludf.DUMMYFUNCTION("""COMPUTED_VALUE"""),"KTCN2026-119.png")</f>
        <v>KTCN2026-119.png</v>
      </c>
    </row>
    <row r="121">
      <c r="A121" s="4" t="str">
        <f>IFERROR(__xludf.DUMMYFUNCTION("""COMPUTED_VALUE"""),"KTCN2026-120")</f>
        <v>KTCN2026-120</v>
      </c>
      <c r="B121" s="4" t="str">
        <f>IFERROR(__xludf.DUMMYFUNCTION("""COMPUTED_VALUE"""),"Kỹ thuật công nghệ")</f>
        <v>Kỹ thuật công nghệ</v>
      </c>
      <c r="C121" s="4" t="str">
        <f>IFERROR(__xludf.DUMMYFUNCTION("""COMPUTED_VALUE"""),"YANA – Mô hình bạn ảo AR ứng dụng trí tuệ nhân tạo nhằm hỗ trợ tinh thần, giảm áp lực tâm lý cho người trẻ trong môi trường học tập và làm việc.")</f>
        <v>YANA – Mô hình bạn ảo AR ứng dụng trí tuệ nhân tạo nhằm hỗ trợ tinh thần, giảm áp lực tâm lý cho người trẻ trong môi trường học tập và làm việc.</v>
      </c>
      <c r="D121" s="4" t="str">
        <f>IFERROR(__xludf.DUMMYFUNCTION("""COMPUTED_VALUE"""),"Phan Thị Hải Yến; Nguyên Thiên Lam; Nguyễn Thế Duy")</f>
        <v>Phan Thị Hải Yến; Nguyên Thiên Lam; Nguyễn Thế Duy</v>
      </c>
      <c r="E121" s="4" t="str">
        <f>IFERROR(__xludf.DUMMYFUNCTION("""COMPUTED_VALUE"""),"Trường Đại học Khoa học Tự nhiên, ĐHQG-HCM")</f>
        <v>Trường Đại học Khoa học Tự nhiên, ĐHQG-HCM</v>
      </c>
      <c r="F121" s="4" t="str">
        <f>IFERROR(__xludf.DUMMYFUNCTION("""COMPUTED_VALUE"""),"KTCN2026-120.png")</f>
        <v>KTCN2026-120.png</v>
      </c>
    </row>
    <row r="122">
      <c r="A122" s="4" t="str">
        <f>IFERROR(__xludf.DUMMYFUNCTION("""COMPUTED_VALUE"""),"KTCN2026-121")</f>
        <v>KTCN2026-121</v>
      </c>
      <c r="B122" s="4" t="str">
        <f>IFERROR(__xludf.DUMMYFUNCTION("""COMPUTED_VALUE"""),"Kỹ thuật công nghệ")</f>
        <v>Kỹ thuật công nghệ</v>
      </c>
      <c r="C122" s="4" t="str">
        <f>IFERROR(__xludf.DUMMYFUNCTION("""COMPUTED_VALUE"""),"Nghiên cứu điều khiển quỹ đạo chuyển động và ổn định của ô tô tự lái")</f>
        <v>Nghiên cứu điều khiển quỹ đạo chuyển động và ổn định của ô tô tự lái</v>
      </c>
      <c r="D122" s="4" t="str">
        <f>IFERROR(__xludf.DUMMYFUNCTION("""COMPUTED_VALUE"""),"Đỗ Văn Huy; Đào Đức Thiện; Đặng Hải Đăng; Vũ Văn Tuấn; Nguyễn Thái Dương")</f>
        <v>Đỗ Văn Huy; Đào Đức Thiện; Đặng Hải Đăng; Vũ Văn Tuấn; Nguyễn Thái Dương</v>
      </c>
      <c r="E122" s="4" t="str">
        <f>IFERROR(__xludf.DUMMYFUNCTION("""COMPUTED_VALUE"""),"Trường Đại học Giao thông Vận tải")</f>
        <v>Trường Đại học Giao thông Vận tải</v>
      </c>
      <c r="F122" s="4" t="str">
        <f>IFERROR(__xludf.DUMMYFUNCTION("""COMPUTED_VALUE"""),"KTCN2026-121.png")</f>
        <v>KTCN2026-121.png</v>
      </c>
    </row>
    <row r="123">
      <c r="A123" s="4" t="str">
        <f>IFERROR(__xludf.DUMMYFUNCTION("""COMPUTED_VALUE"""),"KTCN2026-122")</f>
        <v>KTCN2026-122</v>
      </c>
      <c r="B123" s="4" t="str">
        <f>IFERROR(__xludf.DUMMYFUNCTION("""COMPUTED_VALUE"""),"Kỹ thuật công nghệ")</f>
        <v>Kỹ thuật công nghệ</v>
      </c>
      <c r="C123" s="4" t="str">
        <f>IFERROR(__xludf.DUMMYFUNCTION("""COMPUTED_VALUE"""),"Thiết kế và tối ưu hóa bộ điều khiển LQR thích nghi với bộ bù suy giảm tuổi thọ pin cho hệ truyền động xe điện cỡ nhỏ (MICRO-EV)")</f>
        <v>Thiết kế và tối ưu hóa bộ điều khiển LQR thích nghi với bộ bù suy giảm tuổi thọ pin cho hệ truyền động xe điện cỡ nhỏ (MICRO-EV)</v>
      </c>
      <c r="D123" s="4" t="str">
        <f>IFERROR(__xludf.DUMMYFUNCTION("""COMPUTED_VALUE"""),"Lê Đức Hùng; Nguyễn Hải Yến; Vũ Hữu Trí; Vũ Bình Dương; Phạm Đồng Khánh")</f>
        <v>Lê Đức Hùng; Nguyễn Hải Yến; Vũ Hữu Trí; Vũ Bình Dương; Phạm Đồng Khánh</v>
      </c>
      <c r="E123" s="4" t="str">
        <f>IFERROR(__xludf.DUMMYFUNCTION("""COMPUTED_VALUE"""),"Trường Quốc tế, ĐHQG Hà Nội")</f>
        <v>Trường Quốc tế, ĐHQG Hà Nội</v>
      </c>
      <c r="F123" s="4" t="str">
        <f>IFERROR(__xludf.DUMMYFUNCTION("""COMPUTED_VALUE"""),"KTCN2026-122.png")</f>
        <v>KTCN2026-122.png</v>
      </c>
    </row>
    <row r="124">
      <c r="A124" s="4" t="str">
        <f>IFERROR(__xludf.DUMMYFUNCTION("""COMPUTED_VALUE"""),"KTCN2026-123")</f>
        <v>KTCN2026-123</v>
      </c>
      <c r="B124" s="4" t="str">
        <f>IFERROR(__xludf.DUMMYFUNCTION("""COMPUTED_VALUE"""),"Kỹ thuật công nghệ")</f>
        <v>Kỹ thuật công nghệ</v>
      </c>
      <c r="C124" s="4" t="str">
        <f>IFERROR(__xludf.DUMMYFUNCTION("""COMPUTED_VALUE"""),"Nghiên cứu chuyển đổi xe hai bánh dùng năng lượng truyền thống sang sử dụng năng lượng điện")</f>
        <v>Nghiên cứu chuyển đổi xe hai bánh dùng năng lượng truyền thống sang sử dụng năng lượng điện</v>
      </c>
      <c r="D124" s="4" t="str">
        <f>IFERROR(__xludf.DUMMYFUNCTION("""COMPUTED_VALUE"""),"Nguyễn Phú Tuấn; Nguyễn Phúc Long; Phạm Hồ Khánh Nguyên")</f>
        <v>Nguyễn Phú Tuấn; Nguyễn Phúc Long; Phạm Hồ Khánh Nguyên</v>
      </c>
      <c r="E124" s="4" t="str">
        <f>IFERROR(__xludf.DUMMYFUNCTION("""COMPUTED_VALUE"""),"Trường Đại học Công nghệ TP. Hồ Chí Minh")</f>
        <v>Trường Đại học Công nghệ TP. Hồ Chí Minh</v>
      </c>
      <c r="F124" s="4" t="str">
        <f>IFERROR(__xludf.DUMMYFUNCTION("""COMPUTED_VALUE"""),"KTCN2026-123.png")</f>
        <v>KTCN2026-123.png</v>
      </c>
    </row>
    <row r="125">
      <c r="A125" s="4" t="str">
        <f>IFERROR(__xludf.DUMMYFUNCTION("""COMPUTED_VALUE"""),"KTCN2026-124")</f>
        <v>KTCN2026-124</v>
      </c>
      <c r="B125" s="4" t="str">
        <f>IFERROR(__xludf.DUMMYFUNCTION("""COMPUTED_VALUE"""),"Kỹ thuật công nghệ")</f>
        <v>Kỹ thuật công nghệ</v>
      </c>
      <c r="C125" s="4" t="str">
        <f>IFERROR(__xludf.DUMMYFUNCTION("""COMPUTED_VALUE"""),"Nghiên cứu giải pháp cải thiện cảm giác lái trong hệ thống lái điện trên ô tô bằng phanh lưu biến từ MRF")</f>
        <v>Nghiên cứu giải pháp cải thiện cảm giác lái trong hệ thống lái điện trên ô tô bằng phanh lưu biến từ MRF</v>
      </c>
      <c r="D125" s="4" t="str">
        <f>IFERROR(__xludf.DUMMYFUNCTION("""COMPUTED_VALUE"""),"Phạm Tuấn Đạt; Phan Phạm Tiến")</f>
        <v>Phạm Tuấn Đạt; Phan Phạm Tiến</v>
      </c>
      <c r="E125" s="4" t="str">
        <f>IFERROR(__xludf.DUMMYFUNCTION("""COMPUTED_VALUE"""),"Trường Đại học Công nghệ TP. Hồ Chí Minh")</f>
        <v>Trường Đại học Công nghệ TP. Hồ Chí Minh</v>
      </c>
      <c r="F125" s="4" t="str">
        <f>IFERROR(__xludf.DUMMYFUNCTION("""COMPUTED_VALUE"""),"KTCN2026-124.png")</f>
        <v>KTCN2026-124.png</v>
      </c>
    </row>
    <row r="126">
      <c r="A126" s="4" t="str">
        <f>IFERROR(__xludf.DUMMYFUNCTION("""COMPUTED_VALUE"""),"KTCN2026-125")</f>
        <v>KTCN2026-125</v>
      </c>
      <c r="B126" s="4" t="str">
        <f>IFERROR(__xludf.DUMMYFUNCTION("""COMPUTED_VALUE"""),"Kỹ thuật công nghệ")</f>
        <v>Kỹ thuật công nghệ</v>
      </c>
      <c r="C126" s="4" t="str">
        <f>IFERROR(__xludf.DUMMYFUNCTION("""COMPUTED_VALUE"""),"Nghiên cứu thiết kế và chế tạo hộp điều khiển điện tử cho hệ thống lái Steer-by-Wire")</f>
        <v>Nghiên cứu thiết kế và chế tạo hộp điều khiển điện tử cho hệ thống lái Steer-by-Wire</v>
      </c>
      <c r="D126" s="4" t="str">
        <f>IFERROR(__xludf.DUMMYFUNCTION("""COMPUTED_VALUE"""),"Phan Phạm Tiến; Phạm Tuấn Đạt; Lê Phước Nhật; Trần Văn Phước; Phạm Đỗ Long Nhật")</f>
        <v>Phan Phạm Tiến; Phạm Tuấn Đạt; Lê Phước Nhật; Trần Văn Phước; Phạm Đỗ Long Nhật</v>
      </c>
      <c r="E126" s="4" t="str">
        <f>IFERROR(__xludf.DUMMYFUNCTION("""COMPUTED_VALUE"""),"Trường Đại học Công nghệ TP. Hồ Chí Minh")</f>
        <v>Trường Đại học Công nghệ TP. Hồ Chí Minh</v>
      </c>
      <c r="F126" s="4" t="str">
        <f>IFERROR(__xludf.DUMMYFUNCTION("""COMPUTED_VALUE"""),"KTCN2026-125.png")</f>
        <v>KTCN2026-125.png</v>
      </c>
    </row>
    <row r="127">
      <c r="A127" s="4" t="str">
        <f>IFERROR(__xludf.DUMMYFUNCTION("""COMPUTED_VALUE"""),"KTCN2026-126")</f>
        <v>KTCN2026-126</v>
      </c>
      <c r="B127" s="4" t="str">
        <f>IFERROR(__xludf.DUMMYFUNCTION("""COMPUTED_VALUE"""),"Kỹ thuật công nghệ")</f>
        <v>Kỹ thuật công nghệ</v>
      </c>
      <c r="C127" s="4" t="str">
        <f>IFERROR(__xludf.DUMMYFUNCTION("""COMPUTED_VALUE"""),"Nghiên cứu thiết kế chương trình điều khiển sử dụng bộ điều khiển MPC-LTI cho ô tô tự lái")</f>
        <v>Nghiên cứu thiết kế chương trình điều khiển sử dụng bộ điều khiển MPC-LTI cho ô tô tự lái</v>
      </c>
      <c r="D127" s="4" t="str">
        <f>IFERROR(__xludf.DUMMYFUNCTION("""COMPUTED_VALUE"""),"Mai Thế Hiển; Lưu Văn Hiểu")</f>
        <v>Mai Thế Hiển; Lưu Văn Hiểu</v>
      </c>
      <c r="E127" s="4" t="str">
        <f>IFERROR(__xludf.DUMMYFUNCTION("""COMPUTED_VALUE"""),"Phân hiệu Trường Đại học Giao thông vận tải tại TP. Hồ Chí Minh")</f>
        <v>Phân hiệu Trường Đại học Giao thông vận tải tại TP. Hồ Chí Minh</v>
      </c>
      <c r="F127" s="4" t="str">
        <f>IFERROR(__xludf.DUMMYFUNCTION("""COMPUTED_VALUE"""),"KTCN2026-126.png")</f>
        <v>KTCN2026-126.png</v>
      </c>
    </row>
    <row r="128">
      <c r="A128" s="4" t="str">
        <f>IFERROR(__xludf.DUMMYFUNCTION("""COMPUTED_VALUE"""),"KTCN2026-127")</f>
        <v>KTCN2026-127</v>
      </c>
      <c r="B128" s="4" t="str">
        <f>IFERROR(__xludf.DUMMYFUNCTION("""COMPUTED_VALUE"""),"Kỹ thuật công nghệ")</f>
        <v>Kỹ thuật công nghệ</v>
      </c>
      <c r="C128" s="4" t="str">
        <f>IFERROR(__xludf.DUMMYFUNCTION("""COMPUTED_VALUE"""),"NGHIÊN CỨU VÀ PHÁT TRIỂN NỀN TẢNG ROBOT AGV 4WIS–4WD HƯỚNG ĐẾN VẬN CHUYỂN TỰ HÀNH")</f>
        <v>NGHIÊN CỨU VÀ PHÁT TRIỂN NỀN TẢNG ROBOT AGV 4WIS–4WD HƯỚNG ĐẾN VẬN CHUYỂN TỰ HÀNH</v>
      </c>
      <c r="D128" s="4" t="str">
        <f>IFERROR(__xludf.DUMMYFUNCTION("""COMPUTED_VALUE"""),"Nguyễn Trường Vũ; Phan Minh Tấn; Nguyễn Hoàng Thịnh")</f>
        <v>Nguyễn Trường Vũ; Phan Minh Tấn; Nguyễn Hoàng Thịnh</v>
      </c>
      <c r="E128" s="4" t="str">
        <f>IFERROR(__xludf.DUMMYFUNCTION("""COMPUTED_VALUE"""),"Trường Đại học Nam Cần Thơ")</f>
        <v>Trường Đại học Nam Cần Thơ</v>
      </c>
      <c r="F128" s="4" t="str">
        <f>IFERROR(__xludf.DUMMYFUNCTION("""COMPUTED_VALUE"""),"KTCN2026-127.png")</f>
        <v>KTCN2026-127.png</v>
      </c>
    </row>
    <row r="129">
      <c r="A129" s="4" t="str">
        <f>IFERROR(__xludf.DUMMYFUNCTION("""COMPUTED_VALUE"""),"KTCN2026-128")</f>
        <v>KTCN2026-128</v>
      </c>
      <c r="B129" s="4" t="str">
        <f>IFERROR(__xludf.DUMMYFUNCTION("""COMPUTED_VALUE"""),"Kỹ thuật công nghệ")</f>
        <v>Kỹ thuật công nghệ</v>
      </c>
      <c r="C129" s="4" t="str">
        <f>IFERROR(__xludf.DUMMYFUNCTION("""COMPUTED_VALUE"""),"Thiết kế và thực nghiệm Hệ thống mở khoá xe thông minh từ xa")</f>
        <v>Thiết kế và thực nghiệm Hệ thống mở khoá xe thông minh từ xa</v>
      </c>
      <c r="D129" s="4" t="str">
        <f>IFERROR(__xludf.DUMMYFUNCTION("""COMPUTED_VALUE"""),"Lê Minh Hiếu; Lâm Kim Bảo; Dương Trung Hiền; Lê Huỳnh Nhân")</f>
        <v>Lê Minh Hiếu; Lâm Kim Bảo; Dương Trung Hiền; Lê Huỳnh Nhân</v>
      </c>
      <c r="E129" s="4" t="str">
        <f>IFERROR(__xludf.DUMMYFUNCTION("""COMPUTED_VALUE"""),"Trường Đại học Công nghệ Kỹ thuật TP. Hồ Chí Minh")</f>
        <v>Trường Đại học Công nghệ Kỹ thuật TP. Hồ Chí Minh</v>
      </c>
      <c r="F129" s="4" t="str">
        <f>IFERROR(__xludf.DUMMYFUNCTION("""COMPUTED_VALUE"""),"KTCN2026-128.png")</f>
        <v>KTCN2026-128.png</v>
      </c>
    </row>
    <row r="130">
      <c r="A130" s="4" t="str">
        <f>IFERROR(__xludf.DUMMYFUNCTION("""COMPUTED_VALUE"""),"KTCN2026-129")</f>
        <v>KTCN2026-129</v>
      </c>
      <c r="B130" s="4" t="str">
        <f>IFERROR(__xludf.DUMMYFUNCTION("""COMPUTED_VALUE"""),"Kỹ thuật công nghệ")</f>
        <v>Kỹ thuật công nghệ</v>
      </c>
      <c r="C130" s="4" t="str">
        <f>IFERROR(__xludf.DUMMYFUNCTION("""COMPUTED_VALUE"""),"THIẾT KẾ VÀ XÂY DỰNG MÔ HÌNH HỆ THỐNG GIÁM SÁT VÀ CẢNH BÁO PIN TRÊN NỀN TẢNG HỆ THỐNG NHÚNG SỬ DỤNG CAN BUS")</f>
        <v>THIẾT KẾ VÀ XÂY DỰNG MÔ HÌNH HỆ THỐNG GIÁM SÁT VÀ CẢNH BÁO PIN TRÊN NỀN TẢNG HỆ THỐNG NHÚNG SỬ DỤNG CAN BUS</v>
      </c>
      <c r="D130" s="4" t="str">
        <f>IFERROR(__xludf.DUMMYFUNCTION("""COMPUTED_VALUE"""),"Phạm Minh Đức; Lê Thành Phát")</f>
        <v>Phạm Minh Đức; Lê Thành Phát</v>
      </c>
      <c r="E130" s="4" t="str">
        <f>IFERROR(__xludf.DUMMYFUNCTION("""COMPUTED_VALUE"""),"Trường Đại học Công nghệ Kỹ thuật TP. Hồ Chí Minh")</f>
        <v>Trường Đại học Công nghệ Kỹ thuật TP. Hồ Chí Minh</v>
      </c>
      <c r="F130" s="4" t="str">
        <f>IFERROR(__xludf.DUMMYFUNCTION("""COMPUTED_VALUE"""),"KTCN2026-129.png")</f>
        <v>KTCN2026-129.png</v>
      </c>
    </row>
    <row r="131">
      <c r="A131" s="4" t="str">
        <f>IFERROR(__xludf.DUMMYFUNCTION("""COMPUTED_VALUE"""),"KTCN2026-130")</f>
        <v>KTCN2026-130</v>
      </c>
      <c r="B131" s="4" t="str">
        <f>IFERROR(__xludf.DUMMYFUNCTION("""COMPUTED_VALUE"""),"Kỹ thuật công nghệ")</f>
        <v>Kỹ thuật công nghệ</v>
      </c>
      <c r="C131" s="4" t="str">
        <f>IFERROR(__xludf.DUMMYFUNCTION("""COMPUTED_VALUE"""),"NGHIÊN CỨU THIẾT KẾ VÀ CHẾ TẠO ROBOT DI DỘNG PHÁT HIỆN, TIẾP CẬN VÀ DẬP LỬA QUY MÔ NHỎ")</f>
        <v>NGHIÊN CỨU THIẾT KẾ VÀ CHẾ TẠO ROBOT DI DỘNG PHÁT HIỆN, TIẾP CẬN VÀ DẬP LỬA QUY MÔ NHỎ</v>
      </c>
      <c r="D131" s="4" t="str">
        <f>IFERROR(__xludf.DUMMYFUNCTION("""COMPUTED_VALUE"""),"Trần Đức Huy")</f>
        <v>Trần Đức Huy</v>
      </c>
      <c r="E131" s="4" t="str">
        <f>IFERROR(__xludf.DUMMYFUNCTION("""COMPUTED_VALUE"""),"Trường Đại học Kinh tế - Kỹ thuật Bình Dương")</f>
        <v>Trường Đại học Kinh tế - Kỹ thuật Bình Dương</v>
      </c>
      <c r="F131" s="4" t="str">
        <f>IFERROR(__xludf.DUMMYFUNCTION("""COMPUTED_VALUE"""),"KTCN2026-130.png")</f>
        <v>KTCN2026-130.png</v>
      </c>
    </row>
    <row r="132">
      <c r="A132" s="4" t="str">
        <f>IFERROR(__xludf.DUMMYFUNCTION("""COMPUTED_VALUE"""),"KTCN2026-131")</f>
        <v>KTCN2026-131</v>
      </c>
      <c r="B132" s="4" t="str">
        <f>IFERROR(__xludf.DUMMYFUNCTION("""COMPUTED_VALUE"""),"Kỹ thuật công nghệ")</f>
        <v>Kỹ thuật công nghệ</v>
      </c>
      <c r="C132" s="4" t="str">
        <f>IFERROR(__xludf.DUMMYFUNCTION("""COMPUTED_VALUE"""),"Nghiên cứu mô hình hóa và giám sát trạng thái kết hợp xây dựng hộ chiếu pin số cho cụm pin Lithium-ion 3S")</f>
        <v>Nghiên cứu mô hình hóa và giám sát trạng thái kết hợp xây dựng hộ chiếu pin số cho cụm pin Lithium-ion 3S</v>
      </c>
      <c r="D132" s="4" t="str">
        <f>IFERROR(__xludf.DUMMYFUNCTION("""COMPUTED_VALUE"""),"Văn Bá Dương; Nguyễn Đức Vinh; Nguyễn Lê Gia Huy; Nguyễn Mạnh Triết")</f>
        <v>Văn Bá Dương; Nguyễn Đức Vinh; Nguyễn Lê Gia Huy; Nguyễn Mạnh Triết</v>
      </c>
      <c r="E132" s="4" t="str">
        <f>IFERROR(__xludf.DUMMYFUNCTION("""COMPUTED_VALUE"""),"Trường Đại học Giao thông vận tải TP. Hồ Chí Minh")</f>
        <v>Trường Đại học Giao thông vận tải TP. Hồ Chí Minh</v>
      </c>
      <c r="F132" s="4" t="str">
        <f>IFERROR(__xludf.DUMMYFUNCTION("""COMPUTED_VALUE"""),"KTCN2026-131.png")</f>
        <v>KTCN2026-131.png</v>
      </c>
    </row>
    <row r="133">
      <c r="A133" s="4" t="str">
        <f>IFERROR(__xludf.DUMMYFUNCTION("""COMPUTED_VALUE"""),"KTCN2026-132")</f>
        <v>KTCN2026-132</v>
      </c>
      <c r="B133" s="4" t="str">
        <f>IFERROR(__xludf.DUMMYFUNCTION("""COMPUTED_VALUE"""),"Kỹ thuật công nghệ")</f>
        <v>Kỹ thuật công nghệ</v>
      </c>
      <c r="C133" s="4" t="str">
        <f>IFERROR(__xludf.DUMMYFUNCTION("""COMPUTED_VALUE"""),"Thiết kế và thi công hệ thống Drive-by-Wire tích hợp điều khiển an toàn và ADAS cho xe điện mô hình")</f>
        <v>Thiết kế và thi công hệ thống Drive-by-Wire tích hợp điều khiển an toàn và ADAS cho xe điện mô hình</v>
      </c>
      <c r="D133" s="4" t="str">
        <f>IFERROR(__xludf.DUMMYFUNCTION("""COMPUTED_VALUE"""),"Lê Phú Quý; Nguyễn Văn Tuấn Phát; Nguyễn Trương Quân; Trịnh Việt Lào; Đinh Văn Hiếu")</f>
        <v>Lê Phú Quý; Nguyễn Văn Tuấn Phát; Nguyễn Trương Quân; Trịnh Việt Lào; Đinh Văn Hiếu</v>
      </c>
      <c r="E133" s="4" t="str">
        <f>IFERROR(__xludf.DUMMYFUNCTION("""COMPUTED_VALUE"""),"Đại học Duy Tân")</f>
        <v>Đại học Duy Tân</v>
      </c>
      <c r="F133" s="4" t="str">
        <f>IFERROR(__xludf.DUMMYFUNCTION("""COMPUTED_VALUE"""),"KTCN2026-132.png")</f>
        <v>KTCN2026-132.png</v>
      </c>
    </row>
    <row r="134">
      <c r="A134" s="4" t="str">
        <f>IFERROR(__xludf.DUMMYFUNCTION("""COMPUTED_VALUE"""),"KTCN2026-133")</f>
        <v>KTCN2026-133</v>
      </c>
      <c r="B134" s="4" t="str">
        <f>IFERROR(__xludf.DUMMYFUNCTION("""COMPUTED_VALUE"""),"Kỹ thuật công nghệ")</f>
        <v>Kỹ thuật công nghệ</v>
      </c>
      <c r="C134" s="4" t="str">
        <f>IFERROR(__xludf.DUMMYFUNCTION("""COMPUTED_VALUE"""),"Mô phỏng môi trường và huấn luyện thuật toán học tăng cường sâu SAC kết hợp với bộ lọc mờ fuzzy safety trong thu hồi phanh tái sinh trên ô tô điện")</f>
        <v>Mô phỏng môi trường và huấn luyện thuật toán học tăng cường sâu SAC kết hợp với bộ lọc mờ fuzzy safety trong thu hồi phanh tái sinh trên ô tô điện</v>
      </c>
      <c r="D134" s="4" t="str">
        <f>IFERROR(__xludf.DUMMYFUNCTION("""COMPUTED_VALUE"""),"LÝ CHÍ VINH; LƯƠNG THÀNH DANH")</f>
        <v>LÝ CHÍ VINH; LƯƠNG THÀNH DANH</v>
      </c>
      <c r="E134" s="4" t="str">
        <f>IFERROR(__xludf.DUMMYFUNCTION("""COMPUTED_VALUE"""),"Trường Đại học Giao thông vận tải TP. Hồ Chí Minh")</f>
        <v>Trường Đại học Giao thông vận tải TP. Hồ Chí Minh</v>
      </c>
      <c r="F134" s="4" t="str">
        <f>IFERROR(__xludf.DUMMYFUNCTION("""COMPUTED_VALUE"""),"KTCN2026-133.png")</f>
        <v>KTCN2026-133.png</v>
      </c>
    </row>
    <row r="135">
      <c r="A135" s="4" t="str">
        <f>IFERROR(__xludf.DUMMYFUNCTION("""COMPUTED_VALUE"""),"KTCN2026-134")</f>
        <v>KTCN2026-134</v>
      </c>
      <c r="B135" s="4" t="str">
        <f>IFERROR(__xludf.DUMMYFUNCTION("""COMPUTED_VALUE"""),"Kỹ thuật công nghệ")</f>
        <v>Kỹ thuật công nghệ</v>
      </c>
      <c r="C135" s="4" t="str">
        <f>IFERROR(__xludf.DUMMYFUNCTION("""COMPUTED_VALUE"""),"ỨNG DỤNG NĂNG LƯỢNG MẶT TRỜI TRÊN XE GIAO HÀNG ĐÔ THỊ")</f>
        <v>ỨNG DỤNG NĂNG LƯỢNG MẶT TRỜI TRÊN XE GIAO HÀNG ĐÔ THỊ</v>
      </c>
      <c r="D135" s="4" t="str">
        <f>IFERROR(__xludf.DUMMYFUNCTION("""COMPUTED_VALUE"""),"Bùi Đức Nghĩa; Tạ Công Hoàng Sơn; Nguyễn Văn Thoại")</f>
        <v>Bùi Đức Nghĩa; Tạ Công Hoàng Sơn; Nguyễn Văn Thoại</v>
      </c>
      <c r="E135" s="4" t="str">
        <f>IFERROR(__xludf.DUMMYFUNCTION("""COMPUTED_VALUE"""),"Trường Đại học Kinh tế - Kỹ thuật Bình Dương")</f>
        <v>Trường Đại học Kinh tế - Kỹ thuật Bình Dương</v>
      </c>
      <c r="F135" s="4" t="str">
        <f>IFERROR(__xludf.DUMMYFUNCTION("""COMPUTED_VALUE"""),"KTCN2026-134.png")</f>
        <v>KTCN2026-134.png</v>
      </c>
    </row>
    <row r="136">
      <c r="A136" s="4" t="str">
        <f>IFERROR(__xludf.DUMMYFUNCTION("""COMPUTED_VALUE"""),"KTCN2026-135")</f>
        <v>KTCN2026-135</v>
      </c>
      <c r="B136" s="4" t="str">
        <f>IFERROR(__xludf.DUMMYFUNCTION("""COMPUTED_VALUE"""),"Kỹ thuật công nghệ")</f>
        <v>Kỹ thuật công nghệ</v>
      </c>
      <c r="C136" s="4" t="str">
        <f>IFERROR(__xludf.DUMMYFUNCTION("""COMPUTED_VALUE"""),"Phát triển hệ thống ADAS dựa trên công nghệ biên: Kết hợp cảm biến thị giác và IMU để phát hiện tình trạng buồn ngủ và lái xe thiếu an toàn.")</f>
        <v>Phát triển hệ thống ADAS dựa trên công nghệ biên: Kết hợp cảm biến thị giác và IMU để phát hiện tình trạng buồn ngủ và lái xe thiếu an toàn.</v>
      </c>
      <c r="D136" s="4" t="str">
        <f>IFERROR(__xludf.DUMMYFUNCTION("""COMPUTED_VALUE"""),"Phan Nguyễn Đăng Khoa; Lê Nguyên Đạt; Võ Minh Đăng")</f>
        <v>Phan Nguyễn Đăng Khoa; Lê Nguyên Đạt; Võ Minh Đăng</v>
      </c>
      <c r="E136" s="4" t="str">
        <f>IFERROR(__xludf.DUMMYFUNCTION("""COMPUTED_VALUE"""),"Trường Đại học Việt Đức")</f>
        <v>Trường Đại học Việt Đức</v>
      </c>
      <c r="F136" s="4" t="str">
        <f>IFERROR(__xludf.DUMMYFUNCTION("""COMPUTED_VALUE"""),"KTCN2026-135.png")</f>
        <v>KTCN2026-135.png</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31.29"/>
    <col customWidth="1" min="3" max="3" width="225.57"/>
    <col customWidth="1" min="4" max="4" width="105.86"/>
    <col customWidth="1" min="5" max="5" width="58.86"/>
    <col customWidth="1" min="6" max="6" width="19.0"/>
  </cols>
  <sheetData>
    <row r="1">
      <c r="A1" s="1" t="s">
        <v>0</v>
      </c>
      <c r="B1" s="1" t="s">
        <v>1</v>
      </c>
      <c r="C1" s="1" t="s">
        <v>2</v>
      </c>
      <c r="D1" s="1" t="s">
        <v>3</v>
      </c>
      <c r="E1" s="1" t="s">
        <v>4</v>
      </c>
      <c r="F1" s="1" t="s">
        <v>5</v>
      </c>
    </row>
    <row r="2">
      <c r="A2" s="4" t="str">
        <f>IFERROR(__xludf.DUMMYFUNCTION("FILTER('Danh sach'!A2:F2184, 'Danh sach'!B2:B2184=""Quy hoạch, Kiến trúc và Xây dựng"")"),"QHKT2026-001")</f>
        <v>QHKT2026-001</v>
      </c>
      <c r="B2" s="4" t="str">
        <f>IFERROR(__xludf.DUMMYFUNCTION("""COMPUTED_VALUE"""),"Quy hoạch, Kiến trúc và Xây dựng")</f>
        <v>Quy hoạch, Kiến trúc và Xây dựng</v>
      </c>
      <c r="C2" s="4" t="str">
        <f>IFERROR(__xludf.DUMMYFUNCTION("""COMPUTED_VALUE"""),"ỨNG DỤNG SPACE SYNTAX TRONG ĐÁNH GIÁ VÀ PHÂN TÍCH CẤU TRÚC KHÔNG GIAN NHẰM TĂNG TÍNH TIỆN NGHI TRONG CĂN HỘ CHUNG CƯ CAO TẦNG Ở TP. HCM")</f>
        <v>ỨNG DỤNG SPACE SYNTAX TRONG ĐÁNH GIÁ VÀ PHÂN TÍCH CẤU TRÚC KHÔNG GIAN NHẰM TĂNG TÍNH TIỆN NGHI TRONG CĂN HỘ CHUNG CƯ CAO TẦNG Ở TP. HCM</v>
      </c>
      <c r="D2" s="4" t="str">
        <f>IFERROR(__xludf.DUMMYFUNCTION("""COMPUTED_VALUE"""),"Nguyễn Thị Xuân Mai; Cao Thị Bích Nhi; Nguyễn Phúc Quý Châu")</f>
        <v>Nguyễn Thị Xuân Mai; Cao Thị Bích Nhi; Nguyễn Phúc Quý Châu</v>
      </c>
      <c r="E2" s="4" t="str">
        <f>IFERROR(__xludf.DUMMYFUNCTION("""COMPUTED_VALUE"""),"Trường Đại học Tôn Đức Thắng")</f>
        <v>Trường Đại học Tôn Đức Thắng</v>
      </c>
      <c r="F2" s="4" t="str">
        <f>IFERROR(__xludf.DUMMYFUNCTION("""COMPUTED_VALUE"""),"QHKT2026-001.png")</f>
        <v>QHKT2026-001.png</v>
      </c>
    </row>
    <row r="3">
      <c r="A3" s="4" t="str">
        <f>IFERROR(__xludf.DUMMYFUNCTION("""COMPUTED_VALUE"""),"QHKT2026-002")</f>
        <v>QHKT2026-002</v>
      </c>
      <c r="B3" s="4" t="str">
        <f>IFERROR(__xludf.DUMMYFUNCTION("""COMPUTED_VALUE"""),"Quy hoạch, Kiến trúc và Xây dựng")</f>
        <v>Quy hoạch, Kiến trúc và Xây dựng</v>
      </c>
      <c r="C3" s="4" t="str">
        <f>IFERROR(__xludf.DUMMYFUNCTION("""COMPUTED_VALUE"""),"ĐÁNH GIÁ HIỆU QUẢ CỦA KẾT CẤU CHE NẮNG HIỆN TRẠNG TRONG KIẾN TRÚC")</f>
        <v>ĐÁNH GIÁ HIỆU QUẢ CỦA KẾT CẤU CHE NẮNG HIỆN TRẠNG TRONG KIẾN TRÚC</v>
      </c>
      <c r="D3" s="4" t="str">
        <f>IFERROR(__xludf.DUMMYFUNCTION("""COMPUTED_VALUE"""),"Nguyễn Bùi Ngọc Dung; Trần Duy Lợi; Nguyễn Thị Thúy Duyên")</f>
        <v>Nguyễn Bùi Ngọc Dung; Trần Duy Lợi; Nguyễn Thị Thúy Duyên</v>
      </c>
      <c r="E3" s="4" t="str">
        <f>IFERROR(__xludf.DUMMYFUNCTION("""COMPUTED_VALUE"""),"Trường Đại học Tôn Đức Thắng")</f>
        <v>Trường Đại học Tôn Đức Thắng</v>
      </c>
      <c r="F3" s="4" t="str">
        <f>IFERROR(__xludf.DUMMYFUNCTION("""COMPUTED_VALUE"""),"QHKT2026-002.png")</f>
        <v>QHKT2026-002.png</v>
      </c>
    </row>
    <row r="4">
      <c r="A4" s="4" t="str">
        <f>IFERROR(__xludf.DUMMYFUNCTION("""COMPUTED_VALUE"""),"QHKT2026-003")</f>
        <v>QHKT2026-003</v>
      </c>
      <c r="B4" s="4" t="str">
        <f>IFERROR(__xludf.DUMMYFUNCTION("""COMPUTED_VALUE"""),"Quy hoạch, Kiến trúc và Xây dựng")</f>
        <v>Quy hoạch, Kiến trúc và Xây dựng</v>
      </c>
      <c r="C4" s="4" t="str">
        <f>IFERROR(__xludf.DUMMYFUNCTION("""COMPUTED_VALUE"""),"Khảo sát hiện trạng nhà máy xe lửa Dĩ An, đề xuất giải pháp bảo tồn si sản kiến trúc công nghiệp.")</f>
        <v>Khảo sát hiện trạng nhà máy xe lửa Dĩ An, đề xuất giải pháp bảo tồn si sản kiến trúc công nghiệp.</v>
      </c>
      <c r="D4" s="4" t="str">
        <f>IFERROR(__xludf.DUMMYFUNCTION("""COMPUTED_VALUE"""),"Trần Thảo Ly; Trần Quốc Tưởng")</f>
        <v>Trần Thảo Ly; Trần Quốc Tưởng</v>
      </c>
      <c r="E4" s="4" t="str">
        <f>IFERROR(__xludf.DUMMYFUNCTION("""COMPUTED_VALUE"""),"Trường Đại học Tôn Đức Thắng")</f>
        <v>Trường Đại học Tôn Đức Thắng</v>
      </c>
      <c r="F4" s="4" t="str">
        <f>IFERROR(__xludf.DUMMYFUNCTION("""COMPUTED_VALUE"""),"QHKT2026-003.png")</f>
        <v>QHKT2026-003.png</v>
      </c>
    </row>
    <row r="5">
      <c r="A5" s="4" t="str">
        <f>IFERROR(__xludf.DUMMYFUNCTION("""COMPUTED_VALUE"""),"QHKT2026-004")</f>
        <v>QHKT2026-004</v>
      </c>
      <c r="B5" s="4" t="str">
        <f>IFERROR(__xludf.DUMMYFUNCTION("""COMPUTED_VALUE"""),"Quy hoạch, Kiến trúc và Xây dựng")</f>
        <v>Quy hoạch, Kiến trúc và Xây dựng</v>
      </c>
      <c r="C5" s="4" t="str">
        <f>IFERROR(__xludf.DUMMYFUNCTION("""COMPUTED_VALUE"""),"Đề xuất giải pháp kiến trúc trị liệu nhằm nâng cao khả năng phục hồi tinh thần trong môi trường học đường.")</f>
        <v>Đề xuất giải pháp kiến trúc trị liệu nhằm nâng cao khả năng phục hồi tinh thần trong môi trường học đường.</v>
      </c>
      <c r="D5" s="4" t="str">
        <f>IFERROR(__xludf.DUMMYFUNCTION("""COMPUTED_VALUE"""),"Thái Trần Ngọc Minh; Nguyễn Thành Quân; Huỳnh Mỹ Thanh")</f>
        <v>Thái Trần Ngọc Minh; Nguyễn Thành Quân; Huỳnh Mỹ Thanh</v>
      </c>
      <c r="E5" s="4" t="str">
        <f>IFERROR(__xludf.DUMMYFUNCTION("""COMPUTED_VALUE"""),"Trường Đại học Tôn Đức Thắng")</f>
        <v>Trường Đại học Tôn Đức Thắng</v>
      </c>
      <c r="F5" s="4" t="str">
        <f>IFERROR(__xludf.DUMMYFUNCTION("""COMPUTED_VALUE"""),"QHKT2026-004.png")</f>
        <v>QHKT2026-004.png</v>
      </c>
    </row>
    <row r="6">
      <c r="A6" s="4" t="str">
        <f>IFERROR(__xludf.DUMMYFUNCTION("""COMPUTED_VALUE"""),"QHKT2026-005")</f>
        <v>QHKT2026-005</v>
      </c>
      <c r="B6" s="4" t="str">
        <f>IFERROR(__xludf.DUMMYFUNCTION("""COMPUTED_VALUE"""),"Quy hoạch, Kiến trúc và Xây dựng")</f>
        <v>Quy hoạch, Kiến trúc và Xây dựng</v>
      </c>
      <c r="C6" s="4" t="str">
        <f>IFERROR(__xludf.DUMMYFUNCTION("""COMPUTED_VALUE"""),"Ứng dụng trí tuệ nhân tạo trong thiết kế kiến trúc nhà sơ tán chống lũ - Trường hợp nghiên cứu tại xã Đông Hòa")</f>
        <v>Ứng dụng trí tuệ nhân tạo trong thiết kế kiến trúc nhà sơ tán chống lũ - Trường hợp nghiên cứu tại xã Đông Hòa</v>
      </c>
      <c r="D6" s="4" t="str">
        <f>IFERROR(__xludf.DUMMYFUNCTION("""COMPUTED_VALUE"""),"Nguyễn Thị Kim Ngân; Phạm Thanh Tiên; Nguyễn Thị Thuyên Nhã")</f>
        <v>Nguyễn Thị Kim Ngân; Phạm Thanh Tiên; Nguyễn Thị Thuyên Nhã</v>
      </c>
      <c r="E6" s="4" t="str">
        <f>IFERROR(__xludf.DUMMYFUNCTION("""COMPUTED_VALUE"""),"Trường Đại học Tôn Đức Thắng")</f>
        <v>Trường Đại học Tôn Đức Thắng</v>
      </c>
      <c r="F6" s="4" t="str">
        <f>IFERROR(__xludf.DUMMYFUNCTION("""COMPUTED_VALUE"""),"QHKT2026-005.png")</f>
        <v>QHKT2026-005.png</v>
      </c>
    </row>
    <row r="7">
      <c r="A7" s="4" t="str">
        <f>IFERROR(__xludf.DUMMYFUNCTION("""COMPUTED_VALUE"""),"QHKT2026-006")</f>
        <v>QHKT2026-006</v>
      </c>
      <c r="B7" s="4" t="str">
        <f>IFERROR(__xludf.DUMMYFUNCTION("""COMPUTED_VALUE"""),"Quy hoạch, Kiến trúc và Xây dựng")</f>
        <v>Quy hoạch, Kiến trúc và Xây dựng</v>
      </c>
      <c r="C7" s="4" t="str">
        <f>IFERROR(__xludf.DUMMYFUNCTION("""COMPUTED_VALUE"""),"ĐÁNH GIÁ ẢNH HƯỞNG NỒNG ĐỘ CO2 TRONG VIỆC XÂY DỰNG BIỂU ĐỒ SINH KHÍ HẬU VỀ CẢM NHẬN NHIỆT TẠI TP.HCM")</f>
        <v>ĐÁNH GIÁ ẢNH HƯỞNG NỒNG ĐỘ CO2 TRONG VIỆC XÂY DỰNG BIỂU ĐỒ SINH KHÍ HẬU VỀ CẢM NHẬN NHIỆT TẠI TP.HCM</v>
      </c>
      <c r="D7" s="4" t="str">
        <f>IFERROR(__xludf.DUMMYFUNCTION("""COMPUTED_VALUE"""),"Võ Tuấn Anh; Lê Nguyễn Thiên Thanh; Nguyễn Hữu Quốc Vương")</f>
        <v>Võ Tuấn Anh; Lê Nguyễn Thiên Thanh; Nguyễn Hữu Quốc Vương</v>
      </c>
      <c r="E7" s="4" t="str">
        <f>IFERROR(__xludf.DUMMYFUNCTION("""COMPUTED_VALUE"""),"Trường Đại học Tôn Đức Thắng")</f>
        <v>Trường Đại học Tôn Đức Thắng</v>
      </c>
      <c r="F7" s="4" t="str">
        <f>IFERROR(__xludf.DUMMYFUNCTION("""COMPUTED_VALUE"""),"QHKT2026-006.png")</f>
        <v>QHKT2026-006.png</v>
      </c>
    </row>
    <row r="8">
      <c r="A8" s="4" t="str">
        <f>IFERROR(__xludf.DUMMYFUNCTION("""COMPUTED_VALUE"""),"QHKT2026-007")</f>
        <v>QHKT2026-007</v>
      </c>
      <c r="B8" s="4" t="str">
        <f>IFERROR(__xludf.DUMMYFUNCTION("""COMPUTED_VALUE"""),"Quy hoạch, Kiến trúc và Xây dựng")</f>
        <v>Quy hoạch, Kiến trúc và Xây dựng</v>
      </c>
      <c r="C8" s="4" t="str">
        <f>IFERROR(__xludf.DUMMYFUNCTION("""COMPUTED_VALUE"""),"Nghiên cứu mô hình thiết bị đón gió dựa trên nguyên lý Venturi để giảm nhiệt độ không khí đầu vào trong điều kiện khí hậu nhiệt đới gió mùa- áp dụng cho công trình thấp tầng")</f>
        <v>Nghiên cứu mô hình thiết bị đón gió dựa trên nguyên lý Venturi để giảm nhiệt độ không khí đầu vào trong điều kiện khí hậu nhiệt đới gió mùa- áp dụng cho công trình thấp tầng</v>
      </c>
      <c r="D8" s="4" t="str">
        <f>IFERROR(__xludf.DUMMYFUNCTION("""COMPUTED_VALUE"""),"Nguyễn Văn Minh; Nguyễn Gia Hân")</f>
        <v>Nguyễn Văn Minh; Nguyễn Gia Hân</v>
      </c>
      <c r="E8" s="4" t="str">
        <f>IFERROR(__xludf.DUMMYFUNCTION("""COMPUTED_VALUE"""),"Trường Đại học Kiến trúc TP. Hồ Chí Minh")</f>
        <v>Trường Đại học Kiến trúc TP. Hồ Chí Minh</v>
      </c>
      <c r="F8" s="4" t="str">
        <f>IFERROR(__xludf.DUMMYFUNCTION("""COMPUTED_VALUE"""),"QHKT2026-007.png")</f>
        <v>QHKT2026-007.png</v>
      </c>
    </row>
    <row r="9">
      <c r="A9" s="4" t="str">
        <f>IFERROR(__xludf.DUMMYFUNCTION("""COMPUTED_VALUE"""),"QHKT2026-008")</f>
        <v>QHKT2026-008</v>
      </c>
      <c r="B9" s="4" t="str">
        <f>IFERROR(__xludf.DUMMYFUNCTION("""COMPUTED_VALUE"""),"Quy hoạch, Kiến trúc và Xây dựng")</f>
        <v>Quy hoạch, Kiến trúc và Xây dựng</v>
      </c>
      <c r="C9" s="4" t="str">
        <f>IFERROR(__xludf.DUMMYFUNCTION("""COMPUTED_VALUE"""),"Bảo tồn và phát huy giá trị di tích chùa Bửu Phong trong bối cảnh ngày nay")</f>
        <v>Bảo tồn và phát huy giá trị di tích chùa Bửu Phong trong bối cảnh ngày nay</v>
      </c>
      <c r="D9" s="4" t="str">
        <f>IFERROR(__xludf.DUMMYFUNCTION("""COMPUTED_VALUE"""),"Nguyễn Thị Bảo Vy; Nguyễn Thị Ngọc Huyền; Nguyễn Thị Trà My; Giang Cảnh Tuấn")</f>
        <v>Nguyễn Thị Bảo Vy; Nguyễn Thị Ngọc Huyền; Nguyễn Thị Trà My; Giang Cảnh Tuấn</v>
      </c>
      <c r="E9" s="4" t="str">
        <f>IFERROR(__xludf.DUMMYFUNCTION("""COMPUTED_VALUE"""),"Trường Đại học Kiến trúc TP. Hồ Chí Minh")</f>
        <v>Trường Đại học Kiến trúc TP. Hồ Chí Minh</v>
      </c>
      <c r="F9" s="4" t="str">
        <f>IFERROR(__xludf.DUMMYFUNCTION("""COMPUTED_VALUE"""),"QHKT2026-008.png")</f>
        <v>QHKT2026-008.png</v>
      </c>
    </row>
    <row r="10">
      <c r="A10" s="4" t="str">
        <f>IFERROR(__xludf.DUMMYFUNCTION("""COMPUTED_VALUE"""),"QHKT2026-009")</f>
        <v>QHKT2026-009</v>
      </c>
      <c r="B10" s="4" t="str">
        <f>IFERROR(__xludf.DUMMYFUNCTION("""COMPUTED_VALUE"""),"Quy hoạch, Kiến trúc và Xây dựng")</f>
        <v>Quy hoạch, Kiến trúc và Xây dựng</v>
      </c>
      <c r="C10" s="4" t="str">
        <f>IFERROR(__xludf.DUMMYFUNCTION("""COMPUTED_VALUE"""),"Thực trạng và khả năng ứng dụng trí tuệ nhân tạo trong đồ án sinh viên ngành Kiến trúc Trường Đại học Kiến trúc TP.HCM")</f>
        <v>Thực trạng và khả năng ứng dụng trí tuệ nhân tạo trong đồ án sinh viên ngành Kiến trúc Trường Đại học Kiến trúc TP.HCM</v>
      </c>
      <c r="D10" s="4" t="str">
        <f>IFERROR(__xludf.DUMMYFUNCTION("""COMPUTED_VALUE"""),"Nguyễn Mỹ Vân Anh; Phạm Hải Anh; Võ Thị Kiều Diễm")</f>
        <v>Nguyễn Mỹ Vân Anh; Phạm Hải Anh; Võ Thị Kiều Diễm</v>
      </c>
      <c r="E10" s="4" t="str">
        <f>IFERROR(__xludf.DUMMYFUNCTION("""COMPUTED_VALUE"""),"Trường Đại học Kiến trúc TP. Hồ Chí Minh")</f>
        <v>Trường Đại học Kiến trúc TP. Hồ Chí Minh</v>
      </c>
      <c r="F10" s="4" t="str">
        <f>IFERROR(__xludf.DUMMYFUNCTION("""COMPUTED_VALUE"""),"QHKT2026-009.png")</f>
        <v>QHKT2026-009.png</v>
      </c>
    </row>
    <row r="11">
      <c r="A11" s="4" t="str">
        <f>IFERROR(__xludf.DUMMYFUNCTION("""COMPUTED_VALUE"""),"QHKT2026-010")</f>
        <v>QHKT2026-010</v>
      </c>
      <c r="B11" s="4" t="str">
        <f>IFERROR(__xludf.DUMMYFUNCTION("""COMPUTED_VALUE"""),"Quy hoạch, Kiến trúc và Xây dựng")</f>
        <v>Quy hoạch, Kiến trúc và Xây dựng</v>
      </c>
      <c r="C11" s="4" t="str">
        <f>IFERROR(__xludf.DUMMYFUNCTION("""COMPUTED_VALUE"""),"Kiến trúc nhà ở thích ứng biến đổi khí hậu vùng ngập nước Hồng Ngự, Đồng Tháp: mô hình nhà sàn lưỡng cư")</f>
        <v>Kiến trúc nhà ở thích ứng biến đổi khí hậu vùng ngập nước Hồng Ngự, Đồng Tháp: mô hình nhà sàn lưỡng cư</v>
      </c>
      <c r="D11" s="4" t="str">
        <f>IFERROR(__xludf.DUMMYFUNCTION("""COMPUTED_VALUE"""),"Nguyễn Thị Thùy Duyên; Nguyễn Khánh Vy")</f>
        <v>Nguyễn Thị Thùy Duyên; Nguyễn Khánh Vy</v>
      </c>
      <c r="E11" s="4" t="str">
        <f>IFERROR(__xludf.DUMMYFUNCTION("""COMPUTED_VALUE"""),"Trường Đại học Quốc tế Hồng Bàng")</f>
        <v>Trường Đại học Quốc tế Hồng Bàng</v>
      </c>
      <c r="F11" s="4" t="str">
        <f>IFERROR(__xludf.DUMMYFUNCTION("""COMPUTED_VALUE"""),"QHKT2026-010.png")</f>
        <v>QHKT2026-010.png</v>
      </c>
    </row>
    <row r="12">
      <c r="A12" s="4" t="str">
        <f>IFERROR(__xludf.DUMMYFUNCTION("""COMPUTED_VALUE"""),"QHKT2026-011")</f>
        <v>QHKT2026-011</v>
      </c>
      <c r="B12" s="4" t="str">
        <f>IFERROR(__xludf.DUMMYFUNCTION("""COMPUTED_VALUE"""),"Quy hoạch, Kiến trúc và Xây dựng")</f>
        <v>Quy hoạch, Kiến trúc và Xây dựng</v>
      </c>
      <c r="C12" s="4" t="str">
        <f>IFERROR(__xludf.DUMMYFUNCTION("""COMPUTED_VALUE"""),"Giữ gìn, phát huy giá trị bản sắc văn hóa kiến trúc chùa Khmer An Giang trong bối cảnh phát triển mới")</f>
        <v>Giữ gìn, phát huy giá trị bản sắc văn hóa kiến trúc chùa Khmer An Giang trong bối cảnh phát triển mới</v>
      </c>
      <c r="D12" s="4" t="str">
        <f>IFERROR(__xludf.DUMMYFUNCTION("""COMPUTED_VALUE"""),"Trần Triệu Minh; Lê Đoan Bảo Nghi; Nguyễn Khánh Vy")</f>
        <v>Trần Triệu Minh; Lê Đoan Bảo Nghi; Nguyễn Khánh Vy</v>
      </c>
      <c r="E12" s="4" t="str">
        <f>IFERROR(__xludf.DUMMYFUNCTION("""COMPUTED_VALUE"""),"Trường Đại học Quốc tế Hồng Bàng")</f>
        <v>Trường Đại học Quốc tế Hồng Bàng</v>
      </c>
      <c r="F12" s="4" t="str">
        <f>IFERROR(__xludf.DUMMYFUNCTION("""COMPUTED_VALUE"""),"QHKT2026-011.png")</f>
        <v>QHKT2026-011.png</v>
      </c>
    </row>
    <row r="13">
      <c r="A13" s="4" t="str">
        <f>IFERROR(__xludf.DUMMYFUNCTION("""COMPUTED_VALUE"""),"QHKT2026-012")</f>
        <v>QHKT2026-012</v>
      </c>
      <c r="B13" s="4" t="str">
        <f>IFERROR(__xludf.DUMMYFUNCTION("""COMPUTED_VALUE"""),"Quy hoạch, Kiến trúc và Xây dựng")</f>
        <v>Quy hoạch, Kiến trúc và Xây dựng</v>
      </c>
      <c r="C13" s="4" t="str">
        <f>IFERROR(__xludf.DUMMYFUNCTION("""COMPUTED_VALUE"""),"Nghiên cứu hình thức mặt đứng kiến trúc các ga trung tâm đường sắt thời kỳ 1880–1954 tại Việt Nam.")</f>
        <v>Nghiên cứu hình thức mặt đứng kiến trúc các ga trung tâm đường sắt thời kỳ 1880–1954 tại Việt Nam.</v>
      </c>
      <c r="D13" s="4" t="str">
        <f>IFERROR(__xludf.DUMMYFUNCTION("""COMPUTED_VALUE"""),"Phan Đặng Phú An; Phan Ngọc Khánh Linh; Nguyễn Thị Diễm Quỳnh; Lê Thị Yến Trang")</f>
        <v>Phan Đặng Phú An; Phan Ngọc Khánh Linh; Nguyễn Thị Diễm Quỳnh; Lê Thị Yến Trang</v>
      </c>
      <c r="E13" s="4" t="str">
        <f>IFERROR(__xludf.DUMMYFUNCTION("""COMPUTED_VALUE"""),"Phân hiệu Trường Đại học Giao thông vận tải tại TP. Hồ Chí Minh")</f>
        <v>Phân hiệu Trường Đại học Giao thông vận tải tại TP. Hồ Chí Minh</v>
      </c>
      <c r="F13" s="4" t="str">
        <f>IFERROR(__xludf.DUMMYFUNCTION("""COMPUTED_VALUE"""),"QHKT2026-012.png")</f>
        <v>QHKT2026-012.png</v>
      </c>
    </row>
    <row r="14">
      <c r="A14" s="4" t="str">
        <f>IFERROR(__xludf.DUMMYFUNCTION("""COMPUTED_VALUE"""),"QHKT2026-013")</f>
        <v>QHKT2026-013</v>
      </c>
      <c r="B14" s="4" t="str">
        <f>IFERROR(__xludf.DUMMYFUNCTION("""COMPUTED_VALUE"""),"Quy hoạch, Kiến trúc và Xây dựng")</f>
        <v>Quy hoạch, Kiến trúc và Xây dựng</v>
      </c>
      <c r="C14" s="4" t="str">
        <f>IFERROR(__xludf.DUMMYFUNCTION("""COMPUTED_VALUE"""),"Đề xuất bộ tiêu chí đánh giá giải pháp ứng dụng cảnh quan sân vườn trong nhà phố phù hợp với đặc điểm tính cách người hướng nội nhằm góp phần cải thiện chất lượng sống của người dân Thành phố Hồ Chí Minh")</f>
        <v>Đề xuất bộ tiêu chí đánh giá giải pháp ứng dụng cảnh quan sân vườn trong nhà phố phù hợp với đặc điểm tính cách người hướng nội nhằm góp phần cải thiện chất lượng sống của người dân Thành phố Hồ Chí Minh</v>
      </c>
      <c r="D14" s="4" t="str">
        <f>IFERROR(__xludf.DUMMYFUNCTION("""COMPUTED_VALUE"""),"Trần Đỗ Diệu My; Trương Nguyễn Minh Ánh")</f>
        <v>Trần Đỗ Diệu My; Trương Nguyễn Minh Ánh</v>
      </c>
      <c r="E14" s="4" t="str">
        <f>IFERROR(__xludf.DUMMYFUNCTION("""COMPUTED_VALUE"""),"Trường Đại học Văn Lang")</f>
        <v>Trường Đại học Văn Lang</v>
      </c>
      <c r="F14" s="4" t="str">
        <f>IFERROR(__xludf.DUMMYFUNCTION("""COMPUTED_VALUE"""),"QHKT2026-013.png")</f>
        <v>QHKT2026-013.png</v>
      </c>
    </row>
    <row r="15">
      <c r="A15" s="4" t="str">
        <f>IFERROR(__xludf.DUMMYFUNCTION("""COMPUTED_VALUE"""),"QHKT2026-014")</f>
        <v>QHKT2026-014</v>
      </c>
      <c r="B15" s="4" t="str">
        <f>IFERROR(__xludf.DUMMYFUNCTION("""COMPUTED_VALUE"""),"Quy hoạch, Kiến trúc và Xây dựng")</f>
        <v>Quy hoạch, Kiến trúc và Xây dựng</v>
      </c>
      <c r="C15" s="4" t="str">
        <f>IFERROR(__xludf.DUMMYFUNCTION("""COMPUTED_VALUE"""),"Giải pháp thiết kế không gian cộng đồng trong viện dưỡng lão tư nhân cho người trên 65 tuổi nhằm nâng cao đời sống tinh thần ở TP. HCM")</f>
        <v>Giải pháp thiết kế không gian cộng đồng trong viện dưỡng lão tư nhân cho người trên 65 tuổi nhằm nâng cao đời sống tinh thần ở TP. HCM</v>
      </c>
      <c r="D15" s="4" t="str">
        <f>IFERROR(__xludf.DUMMYFUNCTION("""COMPUTED_VALUE"""),"Huỳnh Hồ Mỹ Tâm; Lâm Nhu Liễu; Võ Nguyễn Anh Thư")</f>
        <v>Huỳnh Hồ Mỹ Tâm; Lâm Nhu Liễu; Võ Nguyễn Anh Thư</v>
      </c>
      <c r="E15" s="4" t="str">
        <f>IFERROR(__xludf.DUMMYFUNCTION("""COMPUTED_VALUE"""),"Trường Đại học Văn Lang")</f>
        <v>Trường Đại học Văn Lang</v>
      </c>
      <c r="F15" s="4" t="str">
        <f>IFERROR(__xludf.DUMMYFUNCTION("""COMPUTED_VALUE"""),"QHKT2026-014.png")</f>
        <v>QHKT2026-014.png</v>
      </c>
    </row>
    <row r="16">
      <c r="A16" s="4" t="str">
        <f>IFERROR(__xludf.DUMMYFUNCTION("""COMPUTED_VALUE"""),"QHKT2026-015")</f>
        <v>QHKT2026-015</v>
      </c>
      <c r="B16" s="4" t="str">
        <f>IFERROR(__xludf.DUMMYFUNCTION("""COMPUTED_VALUE"""),"Quy hoạch, Kiến trúc và Xây dựng")</f>
        <v>Quy hoạch, Kiến trúc và Xây dựng</v>
      </c>
      <c r="C16" s="4" t="str">
        <f>IFERROR(__xludf.DUMMYFUNCTION("""COMPUTED_VALUE"""),"Tre truyền thống: Giải pháp xanh cho công trình kiến trúc nhỏ trong bối cảnh đô thị hóa tại TP. HCM")</f>
        <v>Tre truyền thống: Giải pháp xanh cho công trình kiến trúc nhỏ trong bối cảnh đô thị hóa tại TP. HCM</v>
      </c>
      <c r="D16" s="4" t="str">
        <f>IFERROR(__xludf.DUMMYFUNCTION("""COMPUTED_VALUE"""),"Đinh Bình Phương Anh; Trần Thị Anh Thư; Nguyễn Hoàng Minh Tú; Nguyễn Nguyễn Anh Trúc")</f>
        <v>Đinh Bình Phương Anh; Trần Thị Anh Thư; Nguyễn Hoàng Minh Tú; Nguyễn Nguyễn Anh Trúc</v>
      </c>
      <c r="E16" s="4" t="str">
        <f>IFERROR(__xludf.DUMMYFUNCTION("""COMPUTED_VALUE"""),"Trường Đại học Văn Lang")</f>
        <v>Trường Đại học Văn Lang</v>
      </c>
      <c r="F16" s="4" t="str">
        <f>IFERROR(__xludf.DUMMYFUNCTION("""COMPUTED_VALUE"""),"QHKT2026-015.png")</f>
        <v>QHKT2026-015.png</v>
      </c>
    </row>
    <row r="17">
      <c r="A17" s="4" t="str">
        <f>IFERROR(__xludf.DUMMYFUNCTION("""COMPUTED_VALUE"""),"QHKT2026-016")</f>
        <v>QHKT2026-016</v>
      </c>
      <c r="B17" s="4" t="str">
        <f>IFERROR(__xludf.DUMMYFUNCTION("""COMPUTED_VALUE"""),"Quy hoạch, Kiến trúc và Xây dựng")</f>
        <v>Quy hoạch, Kiến trúc và Xây dựng</v>
      </c>
      <c r="C17" s="4" t="str">
        <f>IFERROR(__xludf.DUMMYFUNCTION("""COMPUTED_VALUE"""),"Đề xuất quy trình thực hiện đồ án chuyên ngành kiến trúc có nghiên cứu khai thác yếu tố bản địa nhằm nâng cao tính truyền thống trong thiết kế")</f>
        <v>Đề xuất quy trình thực hiện đồ án chuyên ngành kiến trúc có nghiên cứu khai thác yếu tố bản địa nhằm nâng cao tính truyền thống trong thiết kế</v>
      </c>
      <c r="D17" s="4" t="str">
        <f>IFERROR(__xludf.DUMMYFUNCTION("""COMPUTED_VALUE"""),"Hà Linh Vy; Nguyễn Linh Thùy; Nguyễn Đăng Huy")</f>
        <v>Hà Linh Vy; Nguyễn Linh Thùy; Nguyễn Đăng Huy</v>
      </c>
      <c r="E17" s="4" t="str">
        <f>IFERROR(__xludf.DUMMYFUNCTION("""COMPUTED_VALUE"""),"Trường Đại học Văn Lang")</f>
        <v>Trường Đại học Văn Lang</v>
      </c>
      <c r="F17" s="4" t="str">
        <f>IFERROR(__xludf.DUMMYFUNCTION("""COMPUTED_VALUE"""),"QHKT2026-016.png")</f>
        <v>QHKT2026-016.png</v>
      </c>
    </row>
    <row r="18">
      <c r="A18" s="4" t="str">
        <f>IFERROR(__xludf.DUMMYFUNCTION("""COMPUTED_VALUE"""),"QHKT2026-017")</f>
        <v>QHKT2026-017</v>
      </c>
      <c r="B18" s="4" t="str">
        <f>IFERROR(__xludf.DUMMYFUNCTION("""COMPUTED_VALUE"""),"Quy hoạch, Kiến trúc và Xây dựng")</f>
        <v>Quy hoạch, Kiến trúc và Xây dựng</v>
      </c>
      <c r="C18" s="4" t="str">
        <f>IFERROR(__xludf.DUMMYFUNCTION("""COMPUTED_VALUE"""),"NGHIÊN CỨU TỔ CHỨC KHÔNG GIAN KIẾN TRÚC VÀ KHẢ NĂNG THÍCH ỨNG CỦA CHỢ TRUYỀN THỐNG TRONG BỐI CẢNH ĐÔ THỊ ĐƯƠNG ĐẠI")</f>
        <v>NGHIÊN CỨU TỔ CHỨC KHÔNG GIAN KIẾN TRÚC VÀ KHẢ NĂNG THÍCH ỨNG CỦA CHỢ TRUYỀN THỐNG TRONG BỐI CẢNH ĐÔ THỊ ĐƯƠNG ĐẠI</v>
      </c>
      <c r="D18" s="4" t="str">
        <f>IFERROR(__xludf.DUMMYFUNCTION("""COMPUTED_VALUE"""),"Lê Thùy Trang; Trần Kha; Nguyễn Minh Thuận")</f>
        <v>Lê Thùy Trang; Trần Kha; Nguyễn Minh Thuận</v>
      </c>
      <c r="E18" s="4" t="str">
        <f>IFERROR(__xludf.DUMMYFUNCTION("""COMPUTED_VALUE"""),"Trường Đại học Công nghệ Kỹ thuật TP. Hồ Chí Minh")</f>
        <v>Trường Đại học Công nghệ Kỹ thuật TP. Hồ Chí Minh</v>
      </c>
      <c r="F18" s="4" t="str">
        <f>IFERROR(__xludf.DUMMYFUNCTION("""COMPUTED_VALUE"""),"QHKT2026-017.png")</f>
        <v>QHKT2026-017.png</v>
      </c>
    </row>
    <row r="19">
      <c r="A19" s="4" t="str">
        <f>IFERROR(__xludf.DUMMYFUNCTION("""COMPUTED_VALUE"""),"QHKT2026-018")</f>
        <v>QHKT2026-018</v>
      </c>
      <c r="B19" s="4" t="str">
        <f>IFERROR(__xludf.DUMMYFUNCTION("""COMPUTED_VALUE"""),"Quy hoạch, Kiến trúc và Xây dựng")</f>
        <v>Quy hoạch, Kiến trúc và Xây dựng</v>
      </c>
      <c r="C19" s="4" t="str">
        <f>IFERROR(__xludf.DUMMYFUNCTION("""COMPUTED_VALUE"""),"Giải pháp kiến trúc tích hợp công nghệ xanh trong tổ chức không gian tập kết và trung chuyển rác thải sinh hoạt tại phường Cửa Nam, thành phố Hà Nội")</f>
        <v>Giải pháp kiến trúc tích hợp công nghệ xanh trong tổ chức không gian tập kết và trung chuyển rác thải sinh hoạt tại phường Cửa Nam, thành phố Hà Nội</v>
      </c>
      <c r="D19" s="4" t="str">
        <f>IFERROR(__xludf.DUMMYFUNCTION("""COMPUTED_VALUE"""),"Phạm Minh Hoàng; Bùi Ngọc Trân; Nguyễn Chí Đình Sang; Lê Hoàng Hải Đăng")</f>
        <v>Phạm Minh Hoàng; Bùi Ngọc Trân; Nguyễn Chí Đình Sang; Lê Hoàng Hải Đăng</v>
      </c>
      <c r="E19" s="4" t="str">
        <f>IFERROR(__xludf.DUMMYFUNCTION("""COMPUTED_VALUE"""),"Trường Đại học Kiến trúc Hà Nội")</f>
        <v>Trường Đại học Kiến trúc Hà Nội</v>
      </c>
      <c r="F19" s="4" t="str">
        <f>IFERROR(__xludf.DUMMYFUNCTION("""COMPUTED_VALUE"""),"QHKT2026-018.png")</f>
        <v>QHKT2026-018.png</v>
      </c>
    </row>
    <row r="20">
      <c r="A20" s="4" t="str">
        <f>IFERROR(__xludf.DUMMYFUNCTION("""COMPUTED_VALUE"""),"QHKT2026-019")</f>
        <v>QHKT2026-019</v>
      </c>
      <c r="B20" s="4" t="str">
        <f>IFERROR(__xludf.DUMMYFUNCTION("""COMPUTED_VALUE"""),"Quy hoạch, Kiến trúc và Xây dựng")</f>
        <v>Quy hoạch, Kiến trúc và Xây dựng</v>
      </c>
      <c r="C20" s="4" t="str">
        <f>IFERROR(__xludf.DUMMYFUNCTION("""COMPUTED_VALUE"""),"Tổ chức không gian trải nghiệm đa giác quan tích hợp công nghệ số tại làng gốm Phù Lãng tỉnh Bắc Ninh")</f>
        <v>Tổ chức không gian trải nghiệm đa giác quan tích hợp công nghệ số tại làng gốm Phù Lãng tỉnh Bắc Ninh</v>
      </c>
      <c r="D20" s="4" t="str">
        <f>IFERROR(__xludf.DUMMYFUNCTION("""COMPUTED_VALUE"""),"Nguyễn Quỳnh Thy; Đào Hồng Ngọc; Nguyễn Thị Hồng Nhung")</f>
        <v>Nguyễn Quỳnh Thy; Đào Hồng Ngọc; Nguyễn Thị Hồng Nhung</v>
      </c>
      <c r="E20" s="4" t="str">
        <f>IFERROR(__xludf.DUMMYFUNCTION("""COMPUTED_VALUE"""),"Trường Đại học Kiến trúc Hà Nội")</f>
        <v>Trường Đại học Kiến trúc Hà Nội</v>
      </c>
      <c r="F20" s="4" t="str">
        <f>IFERROR(__xludf.DUMMYFUNCTION("""COMPUTED_VALUE"""),"QHKT2026-019.png")</f>
        <v>QHKT2026-019.png</v>
      </c>
    </row>
    <row r="21">
      <c r="A21" s="4" t="str">
        <f>IFERROR(__xludf.DUMMYFUNCTION("""COMPUTED_VALUE"""),"QHKT2026-020")</f>
        <v>QHKT2026-020</v>
      </c>
      <c r="B21" s="4" t="str">
        <f>IFERROR(__xludf.DUMMYFUNCTION("""COMPUTED_VALUE"""),"Quy hoạch, Kiến trúc và Xây dựng")</f>
        <v>Quy hoạch, Kiến trúc và Xây dựng</v>
      </c>
      <c r="C21" s="4" t="str">
        <f>IFERROR(__xludf.DUMMYFUNCTION("""COMPUTED_VALUE"""),"Sổ tay hướng dẫn ký họa cơ bản dành cho sinh viên Kiến trúc Trường Đại học Xây dựng Miền Tây")</f>
        <v>Sổ tay hướng dẫn ký họa cơ bản dành cho sinh viên Kiến trúc Trường Đại học Xây dựng Miền Tây</v>
      </c>
      <c r="D21" s="4" t="str">
        <f>IFERROR(__xludf.DUMMYFUNCTION("""COMPUTED_VALUE"""),"Phạm Trí Nhân; Võ Phương Thảo; Phạm Ngọc Tuyền")</f>
        <v>Phạm Trí Nhân; Võ Phương Thảo; Phạm Ngọc Tuyền</v>
      </c>
      <c r="E21" s="4" t="str">
        <f>IFERROR(__xludf.DUMMYFUNCTION("""COMPUTED_VALUE"""),"Trường Đại học Xây dựng Miền Tây")</f>
        <v>Trường Đại học Xây dựng Miền Tây</v>
      </c>
      <c r="F21" s="4" t="str">
        <f>IFERROR(__xludf.DUMMYFUNCTION("""COMPUTED_VALUE"""),"QHKT2026-020.png")</f>
        <v>QHKT2026-020.png</v>
      </c>
    </row>
    <row r="22">
      <c r="A22" s="4" t="str">
        <f>IFERROR(__xludf.DUMMYFUNCTION("""COMPUTED_VALUE"""),"QHKT2026-021")</f>
        <v>QHKT2026-021</v>
      </c>
      <c r="B22" s="4" t="str">
        <f>IFERROR(__xludf.DUMMYFUNCTION("""COMPUTED_VALUE"""),"Quy hoạch, Kiến trúc và Xây dựng")</f>
        <v>Quy hoạch, Kiến trúc và Xây dựng</v>
      </c>
      <c r="C22" s="4" t="str">
        <f>IFERROR(__xludf.DUMMYFUNCTION("""COMPUTED_VALUE"""),"Kiến tạo không gian đường phố lấy cảm hứng từ mô hình Siêu ô phố (Superblock) thân thiện với người đi bộ tại khu vực trung tâm đô thị, áp dụng tại một phần phường Sài Gòn, TP.HCM")</f>
        <v>Kiến tạo không gian đường phố lấy cảm hứng từ mô hình Siêu ô phố (Superblock) thân thiện với người đi bộ tại khu vực trung tâm đô thị, áp dụng tại một phần phường Sài Gòn, TP.HCM</v>
      </c>
      <c r="D22" s="4" t="str">
        <f>IFERROR(__xludf.DUMMYFUNCTION("""COMPUTED_VALUE"""),"Phạm Tấn Phúc; Đặng Nguyễn Khánh Vy; Nguyễn Quốc Thịnh; Trương Ngọc Kim Ngân")</f>
        <v>Phạm Tấn Phúc; Đặng Nguyễn Khánh Vy; Nguyễn Quốc Thịnh; Trương Ngọc Kim Ngân</v>
      </c>
      <c r="E22" s="4" t="str">
        <f>IFERROR(__xludf.DUMMYFUNCTION("""COMPUTED_VALUE"""),"Trường Đại học Kiến trúc TP. Hồ Chí Minh")</f>
        <v>Trường Đại học Kiến trúc TP. Hồ Chí Minh</v>
      </c>
      <c r="F22" s="4" t="str">
        <f>IFERROR(__xludf.DUMMYFUNCTION("""COMPUTED_VALUE"""),"QHKT2026-021.png")</f>
        <v>QHKT2026-021.png</v>
      </c>
    </row>
    <row r="23">
      <c r="A23" s="4" t="str">
        <f>IFERROR(__xludf.DUMMYFUNCTION("""COMPUTED_VALUE"""),"QHKT2026-022")</f>
        <v>QHKT2026-022</v>
      </c>
      <c r="B23" s="4" t="str">
        <f>IFERROR(__xludf.DUMMYFUNCTION("""COMPUTED_VALUE"""),"Quy hoạch, Kiến trúc và Xây dựng")</f>
        <v>Quy hoạch, Kiến trúc và Xây dựng</v>
      </c>
      <c r="C23" s="4" t="str">
        <f>IFERROR(__xludf.DUMMYFUNCTION("""COMPUTED_VALUE"""),"XÂY DỰNG CÁC KỊCH BẢN THIẾT KẾ GIẢI PHÁP DỰA VÀO TỰ NHIÊN (NBS) THÍCH ỨNG VỚI HÌNH THÁI KHOẢNG TRỐNG ĐÔ THỊ NHẰM TỐI ƯU HÓA KHẢ NĂNG LÀM MÁT TẠI CÁC KHU VỰC NGHIÊN CỨU ĐIỂN HÌNH CHO THÀNH PHỐ HỒ CHÍ MINH")</f>
        <v>XÂY DỰNG CÁC KỊCH BẢN THIẾT KẾ GIẢI PHÁP DỰA VÀO TỰ NHIÊN (NBS) THÍCH ỨNG VỚI HÌNH THÁI KHOẢNG TRỐNG ĐÔ THỊ NHẰM TỐI ƯU HÓA KHẢ NĂNG LÀM MÁT TẠI CÁC KHU VỰC NGHIÊN CỨU ĐIỂN HÌNH CHO THÀNH PHỐ HỒ CHÍ MINH</v>
      </c>
      <c r="D23" s="4" t="str">
        <f>IFERROR(__xludf.DUMMYFUNCTION("""COMPUTED_VALUE"""),"Trần Thanh Phát; Nguyễn Trần Khải Hân; Nguyễn Ngọc Thiên Thanh; Chung Kha Nhi")</f>
        <v>Trần Thanh Phát; Nguyễn Trần Khải Hân; Nguyễn Ngọc Thiên Thanh; Chung Kha Nhi</v>
      </c>
      <c r="E23" s="4" t="str">
        <f>IFERROR(__xludf.DUMMYFUNCTION("""COMPUTED_VALUE"""),"Đại học Kinh tế TP. Hồ Chí Minh")</f>
        <v>Đại học Kinh tế TP. Hồ Chí Minh</v>
      </c>
      <c r="F23" s="4" t="str">
        <f>IFERROR(__xludf.DUMMYFUNCTION("""COMPUTED_VALUE"""),"QHKT2026-022.png")</f>
        <v>QHKT2026-022.png</v>
      </c>
    </row>
    <row r="24">
      <c r="A24" s="4" t="str">
        <f>IFERROR(__xludf.DUMMYFUNCTION("""COMPUTED_VALUE"""),"QHKT2026-023")</f>
        <v>QHKT2026-023</v>
      </c>
      <c r="B24" s="4" t="str">
        <f>IFERROR(__xludf.DUMMYFUNCTION("""COMPUTED_VALUE"""),"Quy hoạch, Kiến trúc và Xây dựng")</f>
        <v>Quy hoạch, Kiến trúc và Xây dựng</v>
      </c>
      <c r="C24" s="4" t="str">
        <f>IFERROR(__xludf.DUMMYFUNCTION("""COMPUTED_VALUE"""),"RECONCEPTUALIZING WALKABILITY THROUGH VISUAL-THERMAL DISSONANCE: A GEOAI FRAMEWORK FOR MOTORCYCLE-DOMINANT TROPICAL STREETSCAPES IN HO CHI MINH CITY")</f>
        <v>RECONCEPTUALIZING WALKABILITY THROUGH VISUAL-THERMAL DISSONANCE: A GEOAI FRAMEWORK FOR MOTORCYCLE-DOMINANT TROPICAL STREETSCAPES IN HO CHI MINH CITY</v>
      </c>
      <c r="D24" s="4" t="str">
        <f>IFERROR(__xludf.DUMMYFUNCTION("""COMPUTED_VALUE"""),"Nguyễn Đức Minh; Trần Thanh Phát")</f>
        <v>Nguyễn Đức Minh; Trần Thanh Phát</v>
      </c>
      <c r="E24" s="4" t="str">
        <f>IFERROR(__xludf.DUMMYFUNCTION("""COMPUTED_VALUE"""),"Đại học Kinh tế TP. Hồ Chí Minh")</f>
        <v>Đại học Kinh tế TP. Hồ Chí Minh</v>
      </c>
      <c r="F24" s="4" t="str">
        <f>IFERROR(__xludf.DUMMYFUNCTION("""COMPUTED_VALUE"""),"QHKT2026-023.png")</f>
        <v>QHKT2026-023.png</v>
      </c>
    </row>
    <row r="25">
      <c r="A25" s="4" t="str">
        <f>IFERROR(__xludf.DUMMYFUNCTION("""COMPUTED_VALUE"""),"QHKT2026-024")</f>
        <v>QHKT2026-024</v>
      </c>
      <c r="B25" s="4" t="str">
        <f>IFERROR(__xludf.DUMMYFUNCTION("""COMPUTED_VALUE"""),"Quy hoạch, Kiến trúc và Xây dựng")</f>
        <v>Quy hoạch, Kiến trúc và Xây dựng</v>
      </c>
      <c r="C25" s="4" t="str">
        <f>IFERROR(__xludf.DUMMYFUNCTION("""COMPUTED_VALUE"""),"THE EFFECT OF HOUSING PLANNING PERIOD STARTS ON AFFORDABLE HOUSING PERMITTING: EVIDENCE FROM CALIFORNIA")</f>
        <v>THE EFFECT OF HOUSING PLANNING PERIOD STARTS ON AFFORDABLE HOUSING PERMITTING: EVIDENCE FROM CALIFORNIA</v>
      </c>
      <c r="D25" s="4" t="str">
        <f>IFERROR(__xludf.DUMMYFUNCTION("""COMPUTED_VALUE"""),"Vũ Hoài Hương; Đỗ Khải; Lê Nguyễn Thục Oanh")</f>
        <v>Vũ Hoài Hương; Đỗ Khải; Lê Nguyễn Thục Oanh</v>
      </c>
      <c r="E25" s="4" t="str">
        <f>IFERROR(__xludf.DUMMYFUNCTION("""COMPUTED_VALUE"""),"Đại học Kinh tế TP. Hồ Chí Minh")</f>
        <v>Đại học Kinh tế TP. Hồ Chí Minh</v>
      </c>
      <c r="F25" s="4" t="str">
        <f>IFERROR(__xludf.DUMMYFUNCTION("""COMPUTED_VALUE"""),"QHKT2026-024.png")</f>
        <v>QHKT2026-024.png</v>
      </c>
    </row>
    <row r="26">
      <c r="A26" s="4" t="str">
        <f>IFERROR(__xludf.DUMMYFUNCTION("""COMPUTED_VALUE"""),"QHKT2026-025")</f>
        <v>QHKT2026-025</v>
      </c>
      <c r="B26" s="4" t="str">
        <f>IFERROR(__xludf.DUMMYFUNCTION("""COMPUTED_VALUE"""),"Quy hoạch, Kiến trúc và Xây dựng")</f>
        <v>Quy hoạch, Kiến trúc và Xây dựng</v>
      </c>
      <c r="C26" s="4" t="str">
        <f>IFERROR(__xludf.DUMMYFUNCTION("""COMPUTED_VALUE"""),"Ứng dụng GIS và trí tuệ nhân tạo vào quá trình đánh giá quỹ đất xây dựng trong lập đồ án quy hoach chi tiết.")</f>
        <v>Ứng dụng GIS và trí tuệ nhân tạo vào quá trình đánh giá quỹ đất xây dựng trong lập đồ án quy hoach chi tiết.</v>
      </c>
      <c r="D26" s="4" t="str">
        <f>IFERROR(__xludf.DUMMYFUNCTION("""COMPUTED_VALUE"""),"Nguyễn Thị Quỳnh Anh; Hà Minh Ngọc; Đào Minh Quang; Nguyễn Đăng Khoa")</f>
        <v>Nguyễn Thị Quỳnh Anh; Hà Minh Ngọc; Đào Minh Quang; Nguyễn Đăng Khoa</v>
      </c>
      <c r="E26" s="4" t="str">
        <f>IFERROR(__xludf.DUMMYFUNCTION("""COMPUTED_VALUE"""),"Trường Đại học Kiến trúc Hà Nội")</f>
        <v>Trường Đại học Kiến trúc Hà Nội</v>
      </c>
      <c r="F26" s="4" t="str">
        <f>IFERROR(__xludf.DUMMYFUNCTION("""COMPUTED_VALUE"""),"QHKT2026-025.png")</f>
        <v>QHKT2026-025.png</v>
      </c>
    </row>
    <row r="27">
      <c r="A27" s="4" t="str">
        <f>IFERROR(__xludf.DUMMYFUNCTION("""COMPUTED_VALUE"""),"QHKT2026-026")</f>
        <v>QHKT2026-026</v>
      </c>
      <c r="B27" s="4" t="str">
        <f>IFERROR(__xludf.DUMMYFUNCTION("""COMPUTED_VALUE"""),"Quy hoạch, Kiến trúc và Xây dựng")</f>
        <v>Quy hoạch, Kiến trúc và Xây dựng</v>
      </c>
      <c r="C27" s="4" t="str">
        <f>IFERROR(__xludf.DUMMYFUNCTION("""COMPUTED_VALUE"""),"Nghiên cứu khai thác giá trị văn hoá vùng Tây Nguyên vào tổ chức không gian kiến trúc cảnh quan công cộng Buôn Đôn, Đắk Lắk")</f>
        <v>Nghiên cứu khai thác giá trị văn hoá vùng Tây Nguyên vào tổ chức không gian kiến trúc cảnh quan công cộng Buôn Đôn, Đắk Lắk</v>
      </c>
      <c r="D27" s="4" t="str">
        <f>IFERROR(__xludf.DUMMYFUNCTION("""COMPUTED_VALUE"""),"Dương Thị Bình; Quách Minh Ngọc; Trần Minh Đức")</f>
        <v>Dương Thị Bình; Quách Minh Ngọc; Trần Minh Đức</v>
      </c>
      <c r="E27" s="4" t="str">
        <f>IFERROR(__xludf.DUMMYFUNCTION("""COMPUTED_VALUE"""),"Trường Đại học Kiến trúc Hà Nội")</f>
        <v>Trường Đại học Kiến trúc Hà Nội</v>
      </c>
      <c r="F27" s="4" t="str">
        <f>IFERROR(__xludf.DUMMYFUNCTION("""COMPUTED_VALUE"""),"QHKT2026-026.png")</f>
        <v>QHKT2026-026.png</v>
      </c>
    </row>
    <row r="28">
      <c r="A28" s="4" t="str">
        <f>IFERROR(__xludf.DUMMYFUNCTION("""COMPUTED_VALUE"""),"QHKT2026-027")</f>
        <v>QHKT2026-027</v>
      </c>
      <c r="B28" s="4" t="str">
        <f>IFERROR(__xludf.DUMMYFUNCTION("""COMPUTED_VALUE"""),"Quy hoạch, Kiến trúc và Xây dựng")</f>
        <v>Quy hoạch, Kiến trúc và Xây dựng</v>
      </c>
      <c r="C28" s="4" t="str">
        <f>IFERROR(__xludf.DUMMYFUNCTION("""COMPUTED_VALUE"""),"Mạng không gian nhà ở xã hội trợ giúp đánh giá quy hoạch: Case study chuỗi khu đô thị mới phía Bắc sông Hồng")</f>
        <v>Mạng không gian nhà ở xã hội trợ giúp đánh giá quy hoạch: Case study chuỗi khu đô thị mới phía Bắc sông Hồng</v>
      </c>
      <c r="D28" s="4" t="str">
        <f>IFERROR(__xludf.DUMMYFUNCTION("""COMPUTED_VALUE"""),"Lê Thị Lan Nhi; Hoàng Duy Anh; Bùi Dương Vân Trang; Nguyễn Hương Giang; Phạm Thị Hiền")</f>
        <v>Lê Thị Lan Nhi; Hoàng Duy Anh; Bùi Dương Vân Trang; Nguyễn Hương Giang; Phạm Thị Hiền</v>
      </c>
      <c r="E28" s="4" t="str">
        <f>IFERROR(__xludf.DUMMYFUNCTION("""COMPUTED_VALUE"""),"Trường Khoa học liên ngành và Nghệ thuật, ĐHQG Hà Nội")</f>
        <v>Trường Khoa học liên ngành và Nghệ thuật, ĐHQG Hà Nội</v>
      </c>
      <c r="F28" s="4" t="str">
        <f>IFERROR(__xludf.DUMMYFUNCTION("""COMPUTED_VALUE"""),"QHKT2026-027.png")</f>
        <v>QHKT2026-027.png</v>
      </c>
    </row>
    <row r="29">
      <c r="A29" s="4" t="str">
        <f>IFERROR(__xludf.DUMMYFUNCTION("""COMPUTED_VALUE"""),"QHKT2026-028")</f>
        <v>QHKT2026-028</v>
      </c>
      <c r="B29" s="4" t="str">
        <f>IFERROR(__xludf.DUMMYFUNCTION("""COMPUTED_VALUE"""),"Quy hoạch, Kiến trúc và Xây dựng")</f>
        <v>Quy hoạch, Kiến trúc và Xây dựng</v>
      </c>
      <c r="C29" s="4" t="str">
        <f>IFERROR(__xludf.DUMMYFUNCTION("""COMPUTED_VALUE"""),"FROM MICRODISTRICTS TO NEW URBAN AREAS: THE TRANSFORMATION OF PUBLIC HOUSING PLANNING IN HANOI, 1954 - 2025")</f>
        <v>FROM MICRODISTRICTS TO NEW URBAN AREAS: THE TRANSFORMATION OF PUBLIC HOUSING PLANNING IN HANOI, 1954 - 2025</v>
      </c>
      <c r="D29" s="4" t="str">
        <f>IFERROR(__xludf.DUMMYFUNCTION("""COMPUTED_VALUE"""),"Bùi Dương Vân Trang; Lê Thị Hoa; Hoàng Duy Anh; Phạm Thị Hiền; Nguyễn Hương Giang")</f>
        <v>Bùi Dương Vân Trang; Lê Thị Hoa; Hoàng Duy Anh; Phạm Thị Hiền; Nguyễn Hương Giang</v>
      </c>
      <c r="E29" s="4" t="str">
        <f>IFERROR(__xludf.DUMMYFUNCTION("""COMPUTED_VALUE"""),"Trường Khoa học liên ngành và Nghệ thuật, ĐHQG Hà Nội")</f>
        <v>Trường Khoa học liên ngành và Nghệ thuật, ĐHQG Hà Nội</v>
      </c>
      <c r="F29" s="4" t="str">
        <f>IFERROR(__xludf.DUMMYFUNCTION("""COMPUTED_VALUE"""),"QHKT2026-028.png")</f>
        <v>QHKT2026-028.png</v>
      </c>
    </row>
    <row r="30">
      <c r="A30" s="4" t="str">
        <f>IFERROR(__xludf.DUMMYFUNCTION("""COMPUTED_VALUE"""),"QHKT2026-029")</f>
        <v>QHKT2026-029</v>
      </c>
      <c r="B30" s="4" t="str">
        <f>IFERROR(__xludf.DUMMYFUNCTION("""COMPUTED_VALUE"""),"Quy hoạch, Kiến trúc và Xây dựng")</f>
        <v>Quy hoạch, Kiến trúc và Xây dựng</v>
      </c>
      <c r="C30" s="4" t="str">
        <f>IFERROR(__xludf.DUMMYFUNCTION("""COMPUTED_VALUE"""),"Sự thay đổi hình thái không gian và suy giảm ký ức nơi chốn cộng đồng trong bối cảnh đô thị hóa: Nghiên cứu trường hợp phường Lái Thiêu, Thành phố Hồ Chí Minh")</f>
        <v>Sự thay đổi hình thái không gian và suy giảm ký ức nơi chốn cộng đồng trong bối cảnh đô thị hóa: Nghiên cứu trường hợp phường Lái Thiêu, Thành phố Hồ Chí Minh</v>
      </c>
      <c r="D30" s="4" t="str">
        <f>IFERROR(__xludf.DUMMYFUNCTION("""COMPUTED_VALUE"""),"Nguyễn Cửu Quỳnh Hương; Nguyễn Ngọc Thùy Linh; Biện Gia Ngọc")</f>
        <v>Nguyễn Cửu Quỳnh Hương; Nguyễn Ngọc Thùy Linh; Biện Gia Ngọc</v>
      </c>
      <c r="E30" s="4" t="str">
        <f>IFERROR(__xludf.DUMMYFUNCTION("""COMPUTED_VALUE"""),"Trường Đại học Kiến trúc TP. Hồ Chí Minh")</f>
        <v>Trường Đại học Kiến trúc TP. Hồ Chí Minh</v>
      </c>
      <c r="F30" s="4" t="str">
        <f>IFERROR(__xludf.DUMMYFUNCTION("""COMPUTED_VALUE"""),"QHKT2026-029.png")</f>
        <v>QHKT2026-029.png</v>
      </c>
    </row>
    <row r="31">
      <c r="A31" s="4" t="str">
        <f>IFERROR(__xludf.DUMMYFUNCTION("""COMPUTED_VALUE"""),"QHKT2026-030")</f>
        <v>QHKT2026-030</v>
      </c>
      <c r="B31" s="4" t="str">
        <f>IFERROR(__xludf.DUMMYFUNCTION("""COMPUTED_VALUE"""),"Quy hoạch, Kiến trúc và Xây dựng")</f>
        <v>Quy hoạch, Kiến trúc và Xây dựng</v>
      </c>
      <c r="C31" s="4" t="str">
        <f>IFERROR(__xludf.DUMMYFUNCTION("""COMPUTED_VALUE"""),"Nghiên cứu định hướng tổ chức không gian nông nghiệp trong quá trình đô thị hóa tại xã Bình Mỹ, Thành phố Hồ Chí Minh")</f>
        <v>Nghiên cứu định hướng tổ chức không gian nông nghiệp trong quá trình đô thị hóa tại xã Bình Mỹ, Thành phố Hồ Chí Minh</v>
      </c>
      <c r="D31" s="4" t="str">
        <f>IFERROR(__xludf.DUMMYFUNCTION("""COMPUTED_VALUE"""),"Nguyễn Nguyên Phương; Cao Đăng Khôi; Phan Thị Ngọc Hân; Lê Thảo Nguyên; Dương Bảo Tiên")</f>
        <v>Nguyễn Nguyên Phương; Cao Đăng Khôi; Phan Thị Ngọc Hân; Lê Thảo Nguyên; Dương Bảo Tiên</v>
      </c>
      <c r="E31" s="4" t="str">
        <f>IFERROR(__xludf.DUMMYFUNCTION("""COMPUTED_VALUE"""),"Trường Đại học Kiến trúc TP. Hồ Chí Minh")</f>
        <v>Trường Đại học Kiến trúc TP. Hồ Chí Minh</v>
      </c>
      <c r="F31" s="4" t="str">
        <f>IFERROR(__xludf.DUMMYFUNCTION("""COMPUTED_VALUE"""),"QHKT2026-030.png")</f>
        <v>QHKT2026-030.png</v>
      </c>
    </row>
    <row r="32">
      <c r="A32" s="4" t="str">
        <f>IFERROR(__xludf.DUMMYFUNCTION("""COMPUTED_VALUE"""),"QHKT2026-031")</f>
        <v>QHKT2026-031</v>
      </c>
      <c r="B32" s="4" t="str">
        <f>IFERROR(__xludf.DUMMYFUNCTION("""COMPUTED_VALUE"""),"Quy hoạch, Kiến trúc và Xây dựng")</f>
        <v>Quy hoạch, Kiến trúc và Xây dựng</v>
      </c>
      <c r="C32" s="4" t="str">
        <f>IFERROR(__xludf.DUMMYFUNCTION("""COMPUTED_VALUE"""),"Nghiên cứu ứng dụng giải pháp nội thất mô-đun cho nhà ở xã hội loại hình chung cư tại đô thị Hà Nội")</f>
        <v>Nghiên cứu ứng dụng giải pháp nội thất mô-đun cho nhà ở xã hội loại hình chung cư tại đô thị Hà Nội</v>
      </c>
      <c r="D32" s="4" t="str">
        <f>IFERROR(__xludf.DUMMYFUNCTION("""COMPUTED_VALUE"""),"Đinh Ngọc Huy; Nguyễn Ngọc Quý")</f>
        <v>Đinh Ngọc Huy; Nguyễn Ngọc Quý</v>
      </c>
      <c r="E32" s="4" t="str">
        <f>IFERROR(__xludf.DUMMYFUNCTION("""COMPUTED_VALUE"""),"Trường Đại học Mở Hà Nội")</f>
        <v>Trường Đại học Mở Hà Nội</v>
      </c>
      <c r="F32" s="4" t="str">
        <f>IFERROR(__xludf.DUMMYFUNCTION("""COMPUTED_VALUE"""),"QHKT2026-031.png")</f>
        <v>QHKT2026-031.png</v>
      </c>
    </row>
    <row r="33">
      <c r="A33" s="4" t="str">
        <f>IFERROR(__xludf.DUMMYFUNCTION("""COMPUTED_VALUE"""),"QHKT2026-032")</f>
        <v>QHKT2026-032</v>
      </c>
      <c r="B33" s="4" t="str">
        <f>IFERROR(__xludf.DUMMYFUNCTION("""COMPUTED_VALUE"""),"Quy hoạch, Kiến trúc và Xây dựng")</f>
        <v>Quy hoạch, Kiến trúc và Xây dựng</v>
      </c>
      <c r="C33" s="4" t="str">
        <f>IFERROR(__xludf.DUMMYFUNCTION("""COMPUTED_VALUE"""),"Nghiên cứu sử dụng cọc CFG trong xử lý nền đất yếu cho đường sắt tốc độ cao")</f>
        <v>Nghiên cứu sử dụng cọc CFG trong xử lý nền đất yếu cho đường sắt tốc độ cao</v>
      </c>
      <c r="D33" s="4" t="str">
        <f>IFERROR(__xludf.DUMMYFUNCTION("""COMPUTED_VALUE"""),"Nguyễn Sỹ Phi Dương; Trần Quang Huy")</f>
        <v>Nguyễn Sỹ Phi Dương; Trần Quang Huy</v>
      </c>
      <c r="E33" s="4" t="str">
        <f>IFERROR(__xludf.DUMMYFUNCTION("""COMPUTED_VALUE"""),"Trường Đại học Giao thông Vận tải")</f>
        <v>Trường Đại học Giao thông Vận tải</v>
      </c>
      <c r="F33" s="4" t="str">
        <f>IFERROR(__xludf.DUMMYFUNCTION("""COMPUTED_VALUE"""),"QHKT2026-032.png")</f>
        <v>QHKT2026-032.png</v>
      </c>
    </row>
    <row r="34">
      <c r="A34" s="4" t="str">
        <f>IFERROR(__xludf.DUMMYFUNCTION("""COMPUTED_VALUE"""),"QHKT2026-033")</f>
        <v>QHKT2026-033</v>
      </c>
      <c r="B34" s="4" t="str">
        <f>IFERROR(__xludf.DUMMYFUNCTION("""COMPUTED_VALUE"""),"Quy hoạch, Kiến trúc và Xây dựng")</f>
        <v>Quy hoạch, Kiến trúc và Xây dựng</v>
      </c>
      <c r="C34" s="4" t="str">
        <f>IFERROR(__xludf.DUMMYFUNCTION("""COMPUTED_VALUE"""),"Tổ chức công năng và giải pháp nội thất cho không gian ở có diện tích nhỏ hẹp tại Hà Nội")</f>
        <v>Tổ chức công năng và giải pháp nội thất cho không gian ở có diện tích nhỏ hẹp tại Hà Nội</v>
      </c>
      <c r="D34" s="4" t="str">
        <f>IFERROR(__xludf.DUMMYFUNCTION("""COMPUTED_VALUE"""),"Bùi Quang Huy; Nguyễn Ngọc Anh; Mai Văn Bằng; Tạ Ngọc Dương")</f>
        <v>Bùi Quang Huy; Nguyễn Ngọc Anh; Mai Văn Bằng; Tạ Ngọc Dương</v>
      </c>
      <c r="E34" s="4" t="str">
        <f>IFERROR(__xludf.DUMMYFUNCTION("""COMPUTED_VALUE"""),"Trường Khoa học liên ngành và Nghệ thuật, ĐHQG Hà Nội")</f>
        <v>Trường Khoa học liên ngành và Nghệ thuật, ĐHQG Hà Nội</v>
      </c>
      <c r="F34" s="4" t="str">
        <f>IFERROR(__xludf.DUMMYFUNCTION("""COMPUTED_VALUE"""),"QHKT2026-033.png")</f>
        <v>QHKT2026-033.png</v>
      </c>
    </row>
    <row r="35">
      <c r="A35" s="4" t="str">
        <f>IFERROR(__xludf.DUMMYFUNCTION("""COMPUTED_VALUE"""),"QHKT2026-034")</f>
        <v>QHKT2026-034</v>
      </c>
      <c r="B35" s="4" t="str">
        <f>IFERROR(__xludf.DUMMYFUNCTION("""COMPUTED_VALUE"""),"Quy hoạch, Kiến trúc và Xây dựng")</f>
        <v>Quy hoạch, Kiến trúc và Xây dựng</v>
      </c>
      <c r="C35" s="4" t="str">
        <f>IFERROR(__xludf.DUMMYFUNCTION("""COMPUTED_VALUE"""),"Nghiên cứu tổ chức không gian hành lang sinh thái cho khu vực nuôi trồng thủy sản tại xã An Thới Đông, TP.HCM")</f>
        <v>Nghiên cứu tổ chức không gian hành lang sinh thái cho khu vực nuôi trồng thủy sản tại xã An Thới Đông, TP.HCM</v>
      </c>
      <c r="D35" s="4" t="str">
        <f>IFERROR(__xludf.DUMMYFUNCTION("""COMPUTED_VALUE"""),"Nguyễn Minh Triết; Nguyễn Đàm Mỹ Xuân")</f>
        <v>Nguyễn Minh Triết; Nguyễn Đàm Mỹ Xuân</v>
      </c>
      <c r="E35" s="4" t="str">
        <f>IFERROR(__xludf.DUMMYFUNCTION("""COMPUTED_VALUE"""),"Trường Đại học Kiến trúc TP. Hồ Chí Minh")</f>
        <v>Trường Đại học Kiến trúc TP. Hồ Chí Minh</v>
      </c>
      <c r="F35" s="4" t="str">
        <f>IFERROR(__xludf.DUMMYFUNCTION("""COMPUTED_VALUE"""),"QHKT2026-034.png")</f>
        <v>QHKT2026-034.png</v>
      </c>
    </row>
    <row r="36">
      <c r="A36" s="4" t="str">
        <f>IFERROR(__xludf.DUMMYFUNCTION("""COMPUTED_VALUE"""),"QHKT2026-035")</f>
        <v>QHKT2026-035</v>
      </c>
      <c r="B36" s="4" t="str">
        <f>IFERROR(__xludf.DUMMYFUNCTION("""COMPUTED_VALUE"""),"Quy hoạch, Kiến trúc và Xây dựng")</f>
        <v>Quy hoạch, Kiến trúc và Xây dựng</v>
      </c>
      <c r="C36" s="4" t="str">
        <f>IFERROR(__xludf.DUMMYFUNCTION("""COMPUTED_VALUE"""),"Thiết kế mô hình RAINERGY BUS STATION")</f>
        <v>Thiết kế mô hình RAINERGY BUS STATION</v>
      </c>
      <c r="D36" s="4" t="str">
        <f>IFERROR(__xludf.DUMMYFUNCTION("""COMPUTED_VALUE"""),"Nguyễn Mạnh Được")</f>
        <v>Nguyễn Mạnh Được</v>
      </c>
      <c r="E36" s="4" t="str">
        <f>IFERROR(__xludf.DUMMYFUNCTION("""COMPUTED_VALUE"""),"Trường Đại học Kiến trúc TP. Hồ Chí Minh")</f>
        <v>Trường Đại học Kiến trúc TP. Hồ Chí Minh</v>
      </c>
      <c r="F36" s="4" t="str">
        <f>IFERROR(__xludf.DUMMYFUNCTION("""COMPUTED_VALUE"""),"QHKT2026-035.png")</f>
        <v>QHKT2026-035.png</v>
      </c>
    </row>
    <row r="37">
      <c r="A37" s="4" t="str">
        <f>IFERROR(__xludf.DUMMYFUNCTION("""COMPUTED_VALUE"""),"QHKT2026-036")</f>
        <v>QHKT2026-036</v>
      </c>
      <c r="B37" s="4" t="str">
        <f>IFERROR(__xludf.DUMMYFUNCTION("""COMPUTED_VALUE"""),"Quy hoạch, Kiến trúc và Xây dựng")</f>
        <v>Quy hoạch, Kiến trúc và Xây dựng</v>
      </c>
      <c r="C37" s="4" t="str">
        <f>IFERROR(__xludf.DUMMYFUNCTION("""COMPUTED_VALUE"""),"Ứng dụng thiết kế trải nghiệm người dùng (UX Design) vào việc phân bố các cụm chức năng thương mại và kết nối cộng đồng trong nhà Ga Metro ở TP.HCM")</f>
        <v>Ứng dụng thiết kế trải nghiệm người dùng (UX Design) vào việc phân bố các cụm chức năng thương mại và kết nối cộng đồng trong nhà Ga Metro ở TP.HCM</v>
      </c>
      <c r="D37" s="4" t="str">
        <f>IFERROR(__xludf.DUMMYFUNCTION("""COMPUTED_VALUE"""),"Phạm Mai Loan; Nguyễn Trần Nguyên Thảo; Trương Thụy Bảo Châu")</f>
        <v>Phạm Mai Loan; Nguyễn Trần Nguyên Thảo; Trương Thụy Bảo Châu</v>
      </c>
      <c r="E37" s="4" t="str">
        <f>IFERROR(__xludf.DUMMYFUNCTION("""COMPUTED_VALUE"""),"Trường Đại học Kiến trúc TP. Hồ Chí Minh")</f>
        <v>Trường Đại học Kiến trúc TP. Hồ Chí Minh</v>
      </c>
      <c r="F37" s="4" t="str">
        <f>IFERROR(__xludf.DUMMYFUNCTION("""COMPUTED_VALUE"""),"QHKT2026-036.png")</f>
        <v>QHKT2026-036.png</v>
      </c>
    </row>
    <row r="38">
      <c r="A38" s="4" t="str">
        <f>IFERROR(__xludf.DUMMYFUNCTION("""COMPUTED_VALUE"""),"QHKT2026-037")</f>
        <v>QHKT2026-037</v>
      </c>
      <c r="B38" s="4" t="str">
        <f>IFERROR(__xludf.DUMMYFUNCTION("""COMPUTED_VALUE"""),"Quy hoạch, Kiến trúc và Xây dựng")</f>
        <v>Quy hoạch, Kiến trúc và Xây dựng</v>
      </c>
      <c r="C38" s="4" t="str">
        <f>IFERROR(__xludf.DUMMYFUNCTION("""COMPUTED_VALUE"""),"Nghiên cứu ảnh hưởng của môi trường đường phố xung quanh khu vực nhà ga Metro đến khả năng đi bộ của người sử dụng Metro tại TP. Hồ Chí Minh.")</f>
        <v>Nghiên cứu ảnh hưởng của môi trường đường phố xung quanh khu vực nhà ga Metro đến khả năng đi bộ của người sử dụng Metro tại TP. Hồ Chí Minh.</v>
      </c>
      <c r="D38" s="4" t="str">
        <f>IFERROR(__xludf.DUMMYFUNCTION("""COMPUTED_VALUE"""),"Phạm Trần Anh Vũ; Nguyễn Thị Thu Công; Huỳnh Văn Nhân; Đỗ Thanh Triệu; Hồ Thế Anh")</f>
        <v>Phạm Trần Anh Vũ; Nguyễn Thị Thu Công; Huỳnh Văn Nhân; Đỗ Thanh Triệu; Hồ Thế Anh</v>
      </c>
      <c r="E38" s="4" t="str">
        <f>IFERROR(__xludf.DUMMYFUNCTION("""COMPUTED_VALUE"""),"Phân hiệu Trường Đại học Giao thông vận tải tại TP. Hồ Chí Minh")</f>
        <v>Phân hiệu Trường Đại học Giao thông vận tải tại TP. Hồ Chí Minh</v>
      </c>
      <c r="F38" s="4" t="str">
        <f>IFERROR(__xludf.DUMMYFUNCTION("""COMPUTED_VALUE"""),"QHKT2026-037.png")</f>
        <v>QHKT2026-037.png</v>
      </c>
    </row>
    <row r="39">
      <c r="A39" s="4" t="str">
        <f>IFERROR(__xludf.DUMMYFUNCTION("""COMPUTED_VALUE"""),"QHKT2026-038")</f>
        <v>QHKT2026-038</v>
      </c>
      <c r="B39" s="4" t="str">
        <f>IFERROR(__xludf.DUMMYFUNCTION("""COMPUTED_VALUE"""),"Quy hoạch, Kiến trúc và Xây dựng")</f>
        <v>Quy hoạch, Kiến trúc và Xây dựng</v>
      </c>
      <c r="C39" s="4" t="str">
        <f>IFERROR(__xludf.DUMMYFUNCTION("""COMPUTED_VALUE"""),"MÔ HÌNH MẠNG NƠ-RON NHÂN TẠO ĐỂ DỰ ĐOÁN CƯỜNG ĐỘ CHỊU LỰC CỦA BÊ TÔNG CƯỜNG ĐỘ CAO")</f>
        <v>MÔ HÌNH MẠNG NƠ-RON NHÂN TẠO ĐỂ DỰ ĐOÁN CƯỜNG ĐỘ CHỊU LỰC CỦA BÊ TÔNG CƯỜNG ĐỘ CAO</v>
      </c>
      <c r="D39" s="4" t="str">
        <f>IFERROR(__xludf.DUMMYFUNCTION("""COMPUTED_VALUE"""),"Phan Nguyễn Hồng Quân; Lê Thị Long")</f>
        <v>Phan Nguyễn Hồng Quân; Lê Thị Long</v>
      </c>
      <c r="E39" s="4" t="str">
        <f>IFERROR(__xludf.DUMMYFUNCTION("""COMPUTED_VALUE"""),"Trường Đại học Mở TP. Hồ Chí Minh")</f>
        <v>Trường Đại học Mở TP. Hồ Chí Minh</v>
      </c>
      <c r="F39" s="4" t="str">
        <f>IFERROR(__xludf.DUMMYFUNCTION("""COMPUTED_VALUE"""),"QHKT2026-038.png")</f>
        <v>QHKT2026-038.png</v>
      </c>
    </row>
    <row r="40">
      <c r="A40" s="4" t="str">
        <f>IFERROR(__xludf.DUMMYFUNCTION("""COMPUTED_VALUE"""),"QHKT2026-039")</f>
        <v>QHKT2026-039</v>
      </c>
      <c r="B40" s="4" t="str">
        <f>IFERROR(__xludf.DUMMYFUNCTION("""COMPUTED_VALUE"""),"Quy hoạch, Kiến trúc và Xây dựng")</f>
        <v>Quy hoạch, Kiến trúc và Xây dựng</v>
      </c>
      <c r="C40" s="4" t="str">
        <f>IFERROR(__xludf.DUMMYFUNCTION("""COMPUTED_VALUE"""),"TẬN DỤNG TRO BAY KẾT HỢP TRO ĐÁY ĐỂ THAY THẾ MỘT PHẦN CÁT TỚI ĐỘ BỀN CỦA VỮA XI MĂNG")</f>
        <v>TẬN DỤNG TRO BAY KẾT HỢP TRO ĐÁY ĐỂ THAY THẾ MỘT PHẦN CÁT TỚI ĐỘ BỀN CỦA VỮA XI MĂNG</v>
      </c>
      <c r="D40" s="4" t="str">
        <f>IFERROR(__xludf.DUMMYFUNCTION("""COMPUTED_VALUE"""),"Đàm Thanh Huy; Lê Nguyễn Minh Châu")</f>
        <v>Đàm Thanh Huy; Lê Nguyễn Minh Châu</v>
      </c>
      <c r="E40" s="4" t="str">
        <f>IFERROR(__xludf.DUMMYFUNCTION("""COMPUTED_VALUE"""),"Trường Đại học Mở TP. Hồ Chí Minh")</f>
        <v>Trường Đại học Mở TP. Hồ Chí Minh</v>
      </c>
      <c r="F40" s="4" t="str">
        <f>IFERROR(__xludf.DUMMYFUNCTION("""COMPUTED_VALUE"""),"QHKT2026-039.png")</f>
        <v>QHKT2026-039.png</v>
      </c>
    </row>
    <row r="41">
      <c r="A41" s="4" t="str">
        <f>IFERROR(__xludf.DUMMYFUNCTION("""COMPUTED_VALUE"""),"QHKT2026-040")</f>
        <v>QHKT2026-040</v>
      </c>
      <c r="B41" s="4" t="str">
        <f>IFERROR(__xludf.DUMMYFUNCTION("""COMPUTED_VALUE"""),"Quy hoạch, Kiến trúc và Xây dựng")</f>
        <v>Quy hoạch, Kiến trúc và Xây dựng</v>
      </c>
      <c r="C41" s="4" t="str">
        <f>IFERROR(__xludf.DUMMYFUNCTION("""COMPUTED_VALUE"""),"""DEVELOPING A CITY-SPECIFIC METHODOLOGY FOR WALKABILITY DETERMINANTS THROUGH A PARTICIPATORY APPROACH""")</f>
        <v>"DEVELOPING A CITY-SPECIFIC METHODOLOGY FOR WALKABILITY DETERMINANTS THROUGH A PARTICIPATORY APPROACH"</v>
      </c>
      <c r="D41" s="4" t="str">
        <f>IFERROR(__xludf.DUMMYFUNCTION("""COMPUTED_VALUE"""),"Bùi Ngọc Minh Thy; Nguyễn Trần Linh Như; Trần Hoàng Kim Thảo")</f>
        <v>Bùi Ngọc Minh Thy; Nguyễn Trần Linh Như; Trần Hoàng Kim Thảo</v>
      </c>
      <c r="E41" s="4" t="str">
        <f>IFERROR(__xludf.DUMMYFUNCTION("""COMPUTED_VALUE"""),"Đại học Kinh tế TP. Hồ Chí Minh")</f>
        <v>Đại học Kinh tế TP. Hồ Chí Minh</v>
      </c>
      <c r="F41" s="4" t="str">
        <f>IFERROR(__xludf.DUMMYFUNCTION("""COMPUTED_VALUE"""),"QHKT2026-040.png")</f>
        <v>QHKT2026-040.png</v>
      </c>
    </row>
    <row r="42">
      <c r="A42" s="4" t="str">
        <f>IFERROR(__xludf.DUMMYFUNCTION("""COMPUTED_VALUE"""),"QHKT2026-041")</f>
        <v>QHKT2026-041</v>
      </c>
      <c r="B42" s="4" t="str">
        <f>IFERROR(__xludf.DUMMYFUNCTION("""COMPUTED_VALUE"""),"Quy hoạch, Kiến trúc và Xây dựng")</f>
        <v>Quy hoạch, Kiến trúc và Xây dựng</v>
      </c>
      <c r="C42" s="4" t="str">
        <f>IFERROR(__xludf.DUMMYFUNCTION("""COMPUTED_VALUE"""),"""NGHIÊN CỨU ỨNG DỤNG PHOTOVOICE - GIS NHẬN DIỆN ĐIỂM NGHẼN VI MÔ VÀ ƯU TIÊN CAN THIỆP DI CHUYỂN THÔNG MINH, BAO TRÙM TẠI THÀNH PHỐ HỒ CHÍ MINH """)</f>
        <v>"NGHIÊN CỨU ỨNG DỤNG PHOTOVOICE - GIS NHẬN DIỆN ĐIỂM NGHẼN VI MÔ VÀ ƯU TIÊN CAN THIỆP DI CHUYỂN THÔNG MINH, BAO TRÙM TẠI THÀNH PHỐ HỒ CHÍ MINH "</v>
      </c>
      <c r="D42" s="4" t="str">
        <f>IFERROR(__xludf.DUMMYFUNCTION("""COMPUTED_VALUE"""),"Nguyễn Lê Chiêu Quân; Hà Minh Thư; Lê Thị Kim Nga")</f>
        <v>Nguyễn Lê Chiêu Quân; Hà Minh Thư; Lê Thị Kim Nga</v>
      </c>
      <c r="E42" s="4" t="str">
        <f>IFERROR(__xludf.DUMMYFUNCTION("""COMPUTED_VALUE"""),"Đại học Kinh tế TP. Hồ Chí Minh")</f>
        <v>Đại học Kinh tế TP. Hồ Chí Minh</v>
      </c>
      <c r="F42" s="4" t="str">
        <f>IFERROR(__xludf.DUMMYFUNCTION("""COMPUTED_VALUE"""),"QHKT2026-041.png")</f>
        <v>QHKT2026-041.png</v>
      </c>
    </row>
    <row r="43">
      <c r="A43" s="4" t="str">
        <f>IFERROR(__xludf.DUMMYFUNCTION("""COMPUTED_VALUE"""),"QHKT2026-042")</f>
        <v>QHKT2026-042</v>
      </c>
      <c r="B43" s="4" t="str">
        <f>IFERROR(__xludf.DUMMYFUNCTION("""COMPUTED_VALUE"""),"Quy hoạch, Kiến trúc và Xây dựng")</f>
        <v>Quy hoạch, Kiến trúc và Xây dựng</v>
      </c>
      <c r="C43" s="4" t="str">
        <f>IFERROR(__xludf.DUMMYFUNCTION("""COMPUTED_VALUE"""),"Nghiên cứu đánh giá các phương án nút giao ở TP Hồ Chí Minh trên cơ sở xem xét mức hiệu quả kinh tế - kỹ thuật")</f>
        <v>Nghiên cứu đánh giá các phương án nút giao ở TP Hồ Chí Minh trên cơ sở xem xét mức hiệu quả kinh tế - kỹ thuật</v>
      </c>
      <c r="D43" s="4" t="str">
        <f>IFERROR(__xludf.DUMMYFUNCTION("""COMPUTED_VALUE"""),"Trần Đức Phú; Võ Thị Kim Trúc; Phạm Ngọc Phương Anh; Phạm Nguyễn Hoàng Thanh")</f>
        <v>Trần Đức Phú; Võ Thị Kim Trúc; Phạm Ngọc Phương Anh; Phạm Nguyễn Hoàng Thanh</v>
      </c>
      <c r="E43" s="4" t="str">
        <f>IFERROR(__xludf.DUMMYFUNCTION("""COMPUTED_VALUE"""),"Trường Đại học Công nghệ Kỹ thuật TP. Hồ Chí Minh")</f>
        <v>Trường Đại học Công nghệ Kỹ thuật TP. Hồ Chí Minh</v>
      </c>
      <c r="F43" s="4" t="str">
        <f>IFERROR(__xludf.DUMMYFUNCTION("""COMPUTED_VALUE"""),"QHKT2026-042.png")</f>
        <v>QHKT2026-042.png</v>
      </c>
    </row>
    <row r="44">
      <c r="A44" s="4" t="str">
        <f>IFERROR(__xludf.DUMMYFUNCTION("""COMPUTED_VALUE"""),"QHKT2026-043")</f>
        <v>QHKT2026-043</v>
      </c>
      <c r="B44" s="4" t="str">
        <f>IFERROR(__xludf.DUMMYFUNCTION("""COMPUTED_VALUE"""),"Quy hoạch, Kiến trúc và Xây dựng")</f>
        <v>Quy hoạch, Kiến trúc và Xây dựng</v>
      </c>
      <c r="C44" s="4" t="str">
        <f>IFERROR(__xludf.DUMMYFUNCTION("""COMPUTED_VALUE"""),"Nghiên cứu, lựa chọn loại nút giao thông phù hợp với giao thông Việt Nam")</f>
        <v>Nghiên cứu, lựa chọn loại nút giao thông phù hợp với giao thông Việt Nam</v>
      </c>
      <c r="D44" s="4" t="str">
        <f>IFERROR(__xludf.DUMMYFUNCTION("""COMPUTED_VALUE"""),"Trần Đức Phú; Võ Thị Kim Trúc; Phạm Ngọc Phương Anh; Vũ Nguyễn Minh Anh; Ngũ Thanh Tuyền")</f>
        <v>Trần Đức Phú; Võ Thị Kim Trúc; Phạm Ngọc Phương Anh; Vũ Nguyễn Minh Anh; Ngũ Thanh Tuyền</v>
      </c>
      <c r="E44" s="4"/>
      <c r="F44" s="4" t="str">
        <f>IFERROR(__xludf.DUMMYFUNCTION("""COMPUTED_VALUE"""),"QHKT2026-043.png")</f>
        <v>QHKT2026-043.png</v>
      </c>
    </row>
    <row r="45">
      <c r="A45" s="4" t="str">
        <f>IFERROR(__xludf.DUMMYFUNCTION("""COMPUTED_VALUE"""),"QHKT2026-044")</f>
        <v>QHKT2026-044</v>
      </c>
      <c r="B45" s="4" t="str">
        <f>IFERROR(__xludf.DUMMYFUNCTION("""COMPUTED_VALUE"""),"Quy hoạch, Kiến trúc và Xây dựng")</f>
        <v>Quy hoạch, Kiến trúc và Xây dựng</v>
      </c>
      <c r="C45" s="4" t="str">
        <f>IFERROR(__xludf.DUMMYFUNCTION("""COMPUTED_VALUE"""),"Ứng dụng GIS trong bảo tồn và phát huy giá trị di sản môi trường xây dựng (Built Heritage) ven sông Tô Lịch - trường hợp nghiên cứu làng Hạ Yên Quyết, phường Yên Hòa, Hà Nội.")</f>
        <v>Ứng dụng GIS trong bảo tồn và phát huy giá trị di sản môi trường xây dựng (Built Heritage) ven sông Tô Lịch - trường hợp nghiên cứu làng Hạ Yên Quyết, phường Yên Hòa, Hà Nội.</v>
      </c>
      <c r="D45" s="4" t="str">
        <f>IFERROR(__xludf.DUMMYFUNCTION("""COMPUTED_VALUE"""),"Trần Ánh Ngọc; Phạm Thúy An")</f>
        <v>Trần Ánh Ngọc; Phạm Thúy An</v>
      </c>
      <c r="E45" s="4" t="str">
        <f>IFERROR(__xludf.DUMMYFUNCTION("""COMPUTED_VALUE"""),"Trường Khoa học liên ngành và Nghệ thuật, ĐHQG Hà Nội")</f>
        <v>Trường Khoa học liên ngành và Nghệ thuật, ĐHQG Hà Nội</v>
      </c>
      <c r="F45" s="4" t="str">
        <f>IFERROR(__xludf.DUMMYFUNCTION("""COMPUTED_VALUE"""),"QHKT2026-044.png")</f>
        <v>QHKT2026-044.png</v>
      </c>
    </row>
    <row r="46">
      <c r="A46" s="4" t="str">
        <f>IFERROR(__xludf.DUMMYFUNCTION("""COMPUTED_VALUE"""),"QHKT2026-045")</f>
        <v>QHKT2026-045</v>
      </c>
      <c r="B46" s="4" t="str">
        <f>IFERROR(__xludf.DUMMYFUNCTION("""COMPUTED_VALUE"""),"Quy hoạch, Kiến trúc và Xây dựng")</f>
        <v>Quy hoạch, Kiến trúc và Xây dựng</v>
      </c>
      <c r="C46" s="4" t="str">
        <f>IFERROR(__xludf.DUMMYFUNCTION("""COMPUTED_VALUE"""),"Đánh giá khả năng tiếp cận các cơ sở y tế theo mô hình đô thị 15 phút bằng GIS - Trường hợp nghiên cứu tại phường Sài Gòn, Thành phố Hồ Chí Minh.")</f>
        <v>Đánh giá khả năng tiếp cận các cơ sở y tế theo mô hình đô thị 15 phút bằng GIS - Trường hợp nghiên cứu tại phường Sài Gòn, Thành phố Hồ Chí Minh.</v>
      </c>
      <c r="D46" s="4" t="str">
        <f>IFERROR(__xludf.DUMMYFUNCTION("""COMPUTED_VALUE"""),"Đặng Thị Thùy Trang; Huỳnh Hoàng Luân; Trần Ngọc Cát Tường")</f>
        <v>Đặng Thị Thùy Trang; Huỳnh Hoàng Luân; Trần Ngọc Cát Tường</v>
      </c>
      <c r="E46" s="4" t="str">
        <f>IFERROR(__xludf.DUMMYFUNCTION("""COMPUTED_VALUE"""),"Trường Đại học Khoa học xã hội và Nhân văn, ĐHQG-HCM")</f>
        <v>Trường Đại học Khoa học xã hội và Nhân văn, ĐHQG-HCM</v>
      </c>
      <c r="F46" s="4" t="str">
        <f>IFERROR(__xludf.DUMMYFUNCTION("""COMPUTED_VALUE"""),"QHKT2026-045.png")</f>
        <v>QHKT2026-045.png</v>
      </c>
    </row>
    <row r="47">
      <c r="A47" s="4" t="str">
        <f>IFERROR(__xludf.DUMMYFUNCTION("""COMPUTED_VALUE"""),"QHKT2026-046")</f>
        <v>QHKT2026-046</v>
      </c>
      <c r="B47" s="4" t="str">
        <f>IFERROR(__xludf.DUMMYFUNCTION("""COMPUTED_VALUE"""),"Quy hoạch, Kiến trúc và Xây dựng")</f>
        <v>Quy hoạch, Kiến trúc và Xây dựng</v>
      </c>
      <c r="C47" s="4" t="str">
        <f>IFERROR(__xludf.DUMMYFUNCTION("""COMPUTED_VALUE"""),"Ứng dụng webgis trong phân tích chênh lệch không gian về hạ tầng số và mức độ chuyển đổi số giữa các vùng kinh tế việt nam")</f>
        <v>Ứng dụng webgis trong phân tích chênh lệch không gian về hạ tầng số và mức độ chuyển đổi số giữa các vùng kinh tế việt nam</v>
      </c>
      <c r="D47" s="4" t="str">
        <f>IFERROR(__xludf.DUMMYFUNCTION("""COMPUTED_VALUE"""),"Lê Ngọc Phương Thư; Hàng Nhựt Long")</f>
        <v>Lê Ngọc Phương Thư; Hàng Nhựt Long</v>
      </c>
      <c r="E47" s="4" t="str">
        <f>IFERROR(__xludf.DUMMYFUNCTION("""COMPUTED_VALUE"""),"Trường Đại học Khoa học xã hội và Nhân văn, ĐHQG-HCM")</f>
        <v>Trường Đại học Khoa học xã hội và Nhân văn, ĐHQG-HCM</v>
      </c>
      <c r="F47" s="4" t="str">
        <f>IFERROR(__xludf.DUMMYFUNCTION("""COMPUTED_VALUE"""),"QHKT2026-046.png")</f>
        <v>QHKT2026-046.png</v>
      </c>
    </row>
    <row r="48">
      <c r="A48" s="4" t="str">
        <f>IFERROR(__xludf.DUMMYFUNCTION("""COMPUTED_VALUE"""),"QHKT2026-047")</f>
        <v>QHKT2026-047</v>
      </c>
      <c r="B48" s="4" t="str">
        <f>IFERROR(__xludf.DUMMYFUNCTION("""COMPUTED_VALUE"""),"Quy hoạch, Kiến trúc và Xây dựng")</f>
        <v>Quy hoạch, Kiến trúc và Xây dựng</v>
      </c>
      <c r="C48" s="4" t="str">
        <f>IFERROR(__xludf.DUMMYFUNCTION("""COMPUTED_VALUE"""),"Xây dựng khung tiêu chí nhận diện chợ tự phát trong bối cảnh quản lý đô thị tại Thành phố Hồ Chí Minh.")</f>
        <v>Xây dựng khung tiêu chí nhận diện chợ tự phát trong bối cảnh quản lý đô thị tại Thành phố Hồ Chí Minh.</v>
      </c>
      <c r="D48" s="4" t="str">
        <f>IFERROR(__xludf.DUMMYFUNCTION("""COMPUTED_VALUE"""),"Lê Ngọc Trúc; Lê Huỳnh Uyên Phương; Nguyễn Huỳnh Thảo Nguyên; Mai Thị Cẩm Tú; Trần Nguyễn Phương Nhi")</f>
        <v>Lê Ngọc Trúc; Lê Huỳnh Uyên Phương; Nguyễn Huỳnh Thảo Nguyên; Mai Thị Cẩm Tú; Trần Nguyễn Phương Nhi</v>
      </c>
      <c r="E48" s="4" t="str">
        <f>IFERROR(__xludf.DUMMYFUNCTION("""COMPUTED_VALUE"""),"Trường Đại học Khoa học xã hội và Nhân văn, ĐHQG-HCM")</f>
        <v>Trường Đại học Khoa học xã hội và Nhân văn, ĐHQG-HCM</v>
      </c>
      <c r="F48" s="4" t="str">
        <f>IFERROR(__xludf.DUMMYFUNCTION("""COMPUTED_VALUE"""),"QHKT2026-047.png")</f>
        <v>QHKT2026-047.png</v>
      </c>
    </row>
    <row r="49">
      <c r="A49" s="4" t="str">
        <f>IFERROR(__xludf.DUMMYFUNCTION("""COMPUTED_VALUE"""),"QHKT2026-048")</f>
        <v>QHKT2026-048</v>
      </c>
      <c r="B49" s="4" t="str">
        <f>IFERROR(__xludf.DUMMYFUNCTION("""COMPUTED_VALUE"""),"Quy hoạch, Kiến trúc và Xây dựng")</f>
        <v>Quy hoạch, Kiến trúc và Xây dựng</v>
      </c>
      <c r="C49" s="4" t="str">
        <f>IFERROR(__xludf.DUMMYFUNCTION("""COMPUTED_VALUE"""),"Đề xuất giải pháp giải pháp quản lý – cải tạo mạng lưới đường hẻm phường Thạnh Mỹ Tây – Thành phố Hồ Chí Minh")</f>
        <v>Đề xuất giải pháp giải pháp quản lý – cải tạo mạng lưới đường hẻm phường Thạnh Mỹ Tây – Thành phố Hồ Chí Minh</v>
      </c>
      <c r="D49" s="4" t="str">
        <f>IFERROR(__xludf.DUMMYFUNCTION("""COMPUTED_VALUE"""),"Nguyễn Mai Ngọc Linh; Phan Thị Phương Thảo; Nguyễn Thị Thục Quyên; Hồ Quốc Thiện")</f>
        <v>Nguyễn Mai Ngọc Linh; Phan Thị Phương Thảo; Nguyễn Thị Thục Quyên; Hồ Quốc Thiện</v>
      </c>
      <c r="E49" s="4" t="str">
        <f>IFERROR(__xludf.DUMMYFUNCTION("""COMPUTED_VALUE"""),"Trường Đại học Khoa học xã hội và Nhân văn, ĐHQG-HCM")</f>
        <v>Trường Đại học Khoa học xã hội và Nhân văn, ĐHQG-HCM</v>
      </c>
      <c r="F49" s="4" t="str">
        <f>IFERROR(__xludf.DUMMYFUNCTION("""COMPUTED_VALUE"""),"QHKT2026-048.png")</f>
        <v>QHKT2026-048.png</v>
      </c>
    </row>
    <row r="50">
      <c r="A50" s="4" t="str">
        <f>IFERROR(__xludf.DUMMYFUNCTION("""COMPUTED_VALUE"""),"QHKT2026-049")</f>
        <v>QHKT2026-049</v>
      </c>
      <c r="B50" s="4" t="str">
        <f>IFERROR(__xludf.DUMMYFUNCTION("""COMPUTED_VALUE"""),"Quy hoạch, Kiến trúc và Xây dựng")</f>
        <v>Quy hoạch, Kiến trúc và Xây dựng</v>
      </c>
      <c r="C50" s="4" t="str">
        <f>IFERROR(__xludf.DUMMYFUNCTION("""COMPUTED_VALUE"""),"Đánh giá tiềm năng và đề xuất giải pháp cải tạo các khu nhà trọ cũ thành mô hình Co-living hiện đại nhằm phát triển không gian đô thị tại Thành phố Hồ Chí Minh")</f>
        <v>Đánh giá tiềm năng và đề xuất giải pháp cải tạo các khu nhà trọ cũ thành mô hình Co-living hiện đại nhằm phát triển không gian đô thị tại Thành phố Hồ Chí Minh</v>
      </c>
      <c r="D50" s="4" t="str">
        <f>IFERROR(__xludf.DUMMYFUNCTION("""COMPUTED_VALUE"""),"Nguyễn Thị Minh Thư; Nguyễn Ngọc Mai Thy; Trần Thị Minh Nguyệt; Nguyễn Trần Trúc Quỳnh; Nguyễn Ngọc Anh Thư")</f>
        <v>Nguyễn Thị Minh Thư; Nguyễn Ngọc Mai Thy; Trần Thị Minh Nguyệt; Nguyễn Trần Trúc Quỳnh; Nguyễn Ngọc Anh Thư</v>
      </c>
      <c r="E50" s="4" t="str">
        <f>IFERROR(__xludf.DUMMYFUNCTION("""COMPUTED_VALUE"""),"Trường Đại học Khoa học xã hội và Nhân văn, ĐHQG-HCM")</f>
        <v>Trường Đại học Khoa học xã hội và Nhân văn, ĐHQG-HCM</v>
      </c>
      <c r="F50" s="4" t="str">
        <f>IFERROR(__xludf.DUMMYFUNCTION("""COMPUTED_VALUE"""),"QHKT2026-049.png")</f>
        <v>QHKT2026-049.png</v>
      </c>
    </row>
    <row r="51">
      <c r="A51" s="4" t="str">
        <f>IFERROR(__xludf.DUMMYFUNCTION("""COMPUTED_VALUE"""),"QHKT2026-050")</f>
        <v>QHKT2026-050</v>
      </c>
      <c r="B51" s="4" t="str">
        <f>IFERROR(__xludf.DUMMYFUNCTION("""COMPUTED_VALUE"""),"Quy hoạch, Kiến trúc và Xây dựng")</f>
        <v>Quy hoạch, Kiến trúc và Xây dựng</v>
      </c>
      <c r="C51" s="4" t="str">
        <f>IFERROR(__xludf.DUMMYFUNCTION("""COMPUTED_VALUE"""),"Ứng dụng học máy trong giám sát mảng xanh đô thị khu vực Thủ Dầu Một (cũ) giai đoạn 2000-2024")</f>
        <v>Ứng dụng học máy trong giám sát mảng xanh đô thị khu vực Thủ Dầu Một (cũ) giai đoạn 2000-2024</v>
      </c>
      <c r="D51" s="4" t="str">
        <f>IFERROR(__xludf.DUMMYFUNCTION("""COMPUTED_VALUE"""),"Võ Thị Kim Anh; Phạm Trần Minh Quân; Bùi Nam Sang; Trần Khánh Linh")</f>
        <v>Võ Thị Kim Anh; Phạm Trần Minh Quân; Bùi Nam Sang; Trần Khánh Linh</v>
      </c>
      <c r="E51" s="4" t="str">
        <f>IFERROR(__xludf.DUMMYFUNCTION("""COMPUTED_VALUE"""),"Trường Đại học Khoa học xã hội và Nhân văn, ĐHQG-HCM")</f>
        <v>Trường Đại học Khoa học xã hội và Nhân văn, ĐHQG-HCM</v>
      </c>
      <c r="F51" s="4" t="str">
        <f>IFERROR(__xludf.DUMMYFUNCTION("""COMPUTED_VALUE"""),"QHKT2026-050.png")</f>
        <v>QHKT2026-050.png</v>
      </c>
    </row>
    <row r="52">
      <c r="A52" s="4" t="str">
        <f>IFERROR(__xludf.DUMMYFUNCTION("""COMPUTED_VALUE"""),"QHKT2026-051")</f>
        <v>QHKT2026-051</v>
      </c>
      <c r="B52" s="4" t="str">
        <f>IFERROR(__xludf.DUMMYFUNCTION("""COMPUTED_VALUE"""),"Quy hoạch, Kiến trúc và Xây dựng")</f>
        <v>Quy hoạch, Kiến trúc và Xây dựng</v>
      </c>
      <c r="C52" s="4" t="str">
        <f>IFERROR(__xludf.DUMMYFUNCTION("""COMPUTED_VALUE"""),"Tái chế gạch đất sét nung trong hỗn hợp geopolymer - giải pháp xây dựng bền vững")</f>
        <v>Tái chế gạch đất sét nung trong hỗn hợp geopolymer - giải pháp xây dựng bền vững</v>
      </c>
      <c r="D52" s="4" t="str">
        <f>IFERROR(__xludf.DUMMYFUNCTION("""COMPUTED_VALUE"""),"Trần Ngọc Thanh; Lâm Chí Bảo; Thwe Thwe Oo")</f>
        <v>Trần Ngọc Thanh; Lâm Chí Bảo; Thwe Thwe Oo</v>
      </c>
      <c r="E52" s="4" t="str">
        <f>IFERROR(__xludf.DUMMYFUNCTION("""COMPUTED_VALUE"""),"Trường Đại học Tôn Đức Thắng")</f>
        <v>Trường Đại học Tôn Đức Thắng</v>
      </c>
      <c r="F52" s="4" t="str">
        <f>IFERROR(__xludf.DUMMYFUNCTION("""COMPUTED_VALUE"""),"QHKT2026-051.png")</f>
        <v>QHKT2026-051.png</v>
      </c>
    </row>
    <row r="53">
      <c r="A53" s="4" t="str">
        <f>IFERROR(__xludf.DUMMYFUNCTION("""COMPUTED_VALUE"""),"QHKT2026-052")</f>
        <v>QHKT2026-052</v>
      </c>
      <c r="B53" s="4" t="str">
        <f>IFERROR(__xludf.DUMMYFUNCTION("""COMPUTED_VALUE"""),"Quy hoạch, Kiến trúc và Xây dựng")</f>
        <v>Quy hoạch, Kiến trúc và Xây dựng</v>
      </c>
      <c r="C53" s="4" t="str">
        <f>IFERROR(__xludf.DUMMYFUNCTION("""COMPUTED_VALUE"""),"Nghiên cứu tái chế mật rỉ (phế phẩm nông nghiệp) làm phụ gia sản xuất vật liệu xây dựng.")</f>
        <v>Nghiên cứu tái chế mật rỉ (phế phẩm nông nghiệp) làm phụ gia sản xuất vật liệu xây dựng.</v>
      </c>
      <c r="D53" s="4" t="str">
        <f>IFERROR(__xludf.DUMMYFUNCTION("""COMPUTED_VALUE"""),"Đinh Hải Đăng; Nguyễn Phúc Huy; Nguyễn Thạch Tấn Thành")</f>
        <v>Đinh Hải Đăng; Nguyễn Phúc Huy; Nguyễn Thạch Tấn Thành</v>
      </c>
      <c r="E53" s="4" t="str">
        <f>IFERROR(__xludf.DUMMYFUNCTION("""COMPUTED_VALUE"""),"Trường Đại học Tôn Đức Thắng")</f>
        <v>Trường Đại học Tôn Đức Thắng</v>
      </c>
      <c r="F53" s="4" t="str">
        <f>IFERROR(__xludf.DUMMYFUNCTION("""COMPUTED_VALUE"""),"QHKT2026-052.png")</f>
        <v>QHKT2026-052.png</v>
      </c>
    </row>
    <row r="54">
      <c r="A54" s="4" t="str">
        <f>IFERROR(__xludf.DUMMYFUNCTION("""COMPUTED_VALUE"""),"QHKT2026-053")</f>
        <v>QHKT2026-053</v>
      </c>
      <c r="B54" s="4" t="str">
        <f>IFERROR(__xludf.DUMMYFUNCTION("""COMPUTED_VALUE"""),"Quy hoạch, Kiến trúc và Xây dựng")</f>
        <v>Quy hoạch, Kiến trúc và Xây dựng</v>
      </c>
      <c r="C54" s="4" t="str">
        <f>IFERROR(__xludf.DUMMYFUNCTION("""COMPUTED_VALUE"""),"PHÁT TRIỂN TOOLBOX PHÂN TÍCH TÍNH TOÁN DẦM MỘT NHỊP VỚI MATLAB GUI")</f>
        <v>PHÁT TRIỂN TOOLBOX PHÂN TÍCH TÍNH TOÁN DẦM MỘT NHỊP VỚI MATLAB GUI</v>
      </c>
      <c r="D54" s="4" t="str">
        <f>IFERROR(__xludf.DUMMYFUNCTION("""COMPUTED_VALUE"""),"Nguyễn Duy; Võ Xuân Chiến; Trương Minh Thuận")</f>
        <v>Nguyễn Duy; Võ Xuân Chiến; Trương Minh Thuận</v>
      </c>
      <c r="E54" s="4" t="str">
        <f>IFERROR(__xludf.DUMMYFUNCTION("""COMPUTED_VALUE"""),"Trường Đại học Tôn Đức Thắng")</f>
        <v>Trường Đại học Tôn Đức Thắng</v>
      </c>
      <c r="F54" s="4" t="str">
        <f>IFERROR(__xludf.DUMMYFUNCTION("""COMPUTED_VALUE"""),"QHKT2026-053.png")</f>
        <v>QHKT2026-053.png</v>
      </c>
    </row>
    <row r="55">
      <c r="A55" s="4" t="str">
        <f>IFERROR(__xludf.DUMMYFUNCTION("""COMPUTED_VALUE"""),"QHKT2026-054")</f>
        <v>QHKT2026-054</v>
      </c>
      <c r="B55" s="4" t="str">
        <f>IFERROR(__xludf.DUMMYFUNCTION("""COMPUTED_VALUE"""),"Quy hoạch, Kiến trúc và Xây dựng")</f>
        <v>Quy hoạch, Kiến trúc và Xây dựng</v>
      </c>
      <c r="C55" s="4" t="str">
        <f>IFERROR(__xludf.DUMMYFUNCTION("""COMPUTED_VALUE"""),"Khảo sát và đánh giá tiềm năng sử dụng đất địa phương trong chế tạo gạch không nung tại Gia Lai phục vụ xây dựng bền vững")</f>
        <v>Khảo sát và đánh giá tiềm năng sử dụng đất địa phương trong chế tạo gạch không nung tại Gia Lai phục vụ xây dựng bền vững</v>
      </c>
      <c r="D55" s="4" t="str">
        <f>IFERROR(__xludf.DUMMYFUNCTION("""COMPUTED_VALUE"""),"Trần Ngọc Vũ; Trần Văn Vũ; Võ Công Trí; Trần Quang Huy; Võ Lê Trọng Lanh")</f>
        <v>Trần Ngọc Vũ; Trần Văn Vũ; Võ Công Trí; Trần Quang Huy; Võ Lê Trọng Lanh</v>
      </c>
      <c r="E55" s="4" t="str">
        <f>IFERROR(__xludf.DUMMYFUNCTION("""COMPUTED_VALUE"""),"Trường Đại học Quy Nhơn")</f>
        <v>Trường Đại học Quy Nhơn</v>
      </c>
      <c r="F55" s="4" t="str">
        <f>IFERROR(__xludf.DUMMYFUNCTION("""COMPUTED_VALUE"""),"QHKT2026-054.png")</f>
        <v>QHKT2026-054.png</v>
      </c>
    </row>
    <row r="56">
      <c r="A56" s="4" t="str">
        <f>IFERROR(__xludf.DUMMYFUNCTION("""COMPUTED_VALUE"""),"QHKT2026-055")</f>
        <v>QHKT2026-055</v>
      </c>
      <c r="B56" s="4" t="str">
        <f>IFERROR(__xludf.DUMMYFUNCTION("""COMPUTED_VALUE"""),"Quy hoạch, Kiến trúc và Xây dựng")</f>
        <v>Quy hoạch, Kiến trúc và Xây dựng</v>
      </c>
      <c r="C56" s="4" t="str">
        <f>IFERROR(__xludf.DUMMYFUNCTION("""COMPUTED_VALUE"""),"Nghiên cứu ứng dụng dung dịch nano-silica điều chế từ tro trấu trong gia cố bền vững cát biển Cần Giờ")</f>
        <v>Nghiên cứu ứng dụng dung dịch nano-silica điều chế từ tro trấu trong gia cố bền vững cát biển Cần Giờ</v>
      </c>
      <c r="D56" s="4" t="str">
        <f>IFERROR(__xludf.DUMMYFUNCTION("""COMPUTED_VALUE"""),"Phạm Nguyễn Kim Tuyền; Nguyễn Thị Lan Anh; Võ Thái An")</f>
        <v>Phạm Nguyễn Kim Tuyền; Nguyễn Thị Lan Anh; Võ Thái An</v>
      </c>
      <c r="E56" s="4" t="str">
        <f>IFERROR(__xludf.DUMMYFUNCTION("""COMPUTED_VALUE"""),"Trường Đại học Công nghiệp TP. Hồ Chí Minh")</f>
        <v>Trường Đại học Công nghiệp TP. Hồ Chí Minh</v>
      </c>
      <c r="F56" s="4" t="str">
        <f>IFERROR(__xludf.DUMMYFUNCTION("""COMPUTED_VALUE"""),"QHKT2026-055.png")</f>
        <v>QHKT2026-055.png</v>
      </c>
    </row>
    <row r="57">
      <c r="A57" s="4" t="str">
        <f>IFERROR(__xludf.DUMMYFUNCTION("""COMPUTED_VALUE"""),"QHKT2026-056")</f>
        <v>QHKT2026-056</v>
      </c>
      <c r="B57" s="4" t="str">
        <f>IFERROR(__xludf.DUMMYFUNCTION("""COMPUTED_VALUE"""),"Quy hoạch, Kiến trúc và Xây dựng")</f>
        <v>Quy hoạch, Kiến trúc và Xây dựng</v>
      </c>
      <c r="C57" s="4" t="str">
        <f>IFERROR(__xludf.DUMMYFUNCTION("""COMPUTED_VALUE"""),"Phân tích gia tốc đỉnh mái của nhà cao tầng CLT–thép chịu tác động gió")</f>
        <v>Phân tích gia tốc đỉnh mái của nhà cao tầng CLT–thép chịu tác động gió</v>
      </c>
      <c r="D57" s="4" t="str">
        <f>IFERROR(__xludf.DUMMYFUNCTION("""COMPUTED_VALUE"""),"Lê Bá Thành; Bùi Ngọc Lan Linh")</f>
        <v>Lê Bá Thành; Bùi Ngọc Lan Linh</v>
      </c>
      <c r="E57" s="4" t="str">
        <f>IFERROR(__xludf.DUMMYFUNCTION("""COMPUTED_VALUE"""),"Trường Đại học Văn Lang")</f>
        <v>Trường Đại học Văn Lang</v>
      </c>
      <c r="F57" s="4" t="str">
        <f>IFERROR(__xludf.DUMMYFUNCTION("""COMPUTED_VALUE"""),"QHKT2026-056.png")</f>
        <v>QHKT2026-056.png</v>
      </c>
    </row>
    <row r="58">
      <c r="A58" s="4" t="str">
        <f>IFERROR(__xludf.DUMMYFUNCTION("""COMPUTED_VALUE"""),"QHKT2026-057")</f>
        <v>QHKT2026-057</v>
      </c>
      <c r="B58" s="4" t="str">
        <f>IFERROR(__xludf.DUMMYFUNCTION("""COMPUTED_VALUE"""),"Quy hoạch, Kiến trúc và Xây dựng")</f>
        <v>Quy hoạch, Kiến trúc và Xây dựng</v>
      </c>
      <c r="C58" s="4" t="str">
        <f>IFERROR(__xludf.DUMMYFUNCTION("""COMPUTED_VALUE"""),"Phân tích dao động riêng của công trình cao tầng sử dụng hệ kết cấu CLT-thép")</f>
        <v>Phân tích dao động riêng của công trình cao tầng sử dụng hệ kết cấu CLT-thép</v>
      </c>
      <c r="D58" s="4" t="str">
        <f>IFERROR(__xludf.DUMMYFUNCTION("""COMPUTED_VALUE"""),"Lê Ngọc Hải Triều; Phạm Minh Hùng")</f>
        <v>Lê Ngọc Hải Triều; Phạm Minh Hùng</v>
      </c>
      <c r="E58" s="4" t="str">
        <f>IFERROR(__xludf.DUMMYFUNCTION("""COMPUTED_VALUE"""),"Trường Đại học Văn Lang")</f>
        <v>Trường Đại học Văn Lang</v>
      </c>
      <c r="F58" s="4" t="str">
        <f>IFERROR(__xludf.DUMMYFUNCTION("""COMPUTED_VALUE"""),"QHKT2026-057.png")</f>
        <v>QHKT2026-057.png</v>
      </c>
    </row>
    <row r="59">
      <c r="A59" s="4" t="str">
        <f>IFERROR(__xludf.DUMMYFUNCTION("""COMPUTED_VALUE"""),"QHKT2026-058")</f>
        <v>QHKT2026-058</v>
      </c>
      <c r="B59" s="4" t="str">
        <f>IFERROR(__xludf.DUMMYFUNCTION("""COMPUTED_VALUE"""),"Quy hoạch, Kiến trúc và Xây dựng")</f>
        <v>Quy hoạch, Kiến trúc và Xây dựng</v>
      </c>
      <c r="C59" s="4" t="str">
        <f>IFERROR(__xludf.DUMMYFUNCTION("""COMPUTED_VALUE"""),"Ảnh hưởng vị trí hệ Outrigger - Belt Truss đến độ cứng ngang và tần số dao động riêng của nhà cao tầng")</f>
        <v>Ảnh hưởng vị trí hệ Outrigger - Belt Truss đến độ cứng ngang và tần số dao động riêng của nhà cao tầng</v>
      </c>
      <c r="D59" s="4" t="str">
        <f>IFERROR(__xludf.DUMMYFUNCTION("""COMPUTED_VALUE"""),"Kiều Trần Thu Ngân; Lê Thị Ngọc Anh")</f>
        <v>Kiều Trần Thu Ngân; Lê Thị Ngọc Anh</v>
      </c>
      <c r="E59" s="4" t="str">
        <f>IFERROR(__xludf.DUMMYFUNCTION("""COMPUTED_VALUE"""),"Trường Đại học Văn Lang")</f>
        <v>Trường Đại học Văn Lang</v>
      </c>
      <c r="F59" s="4" t="str">
        <f>IFERROR(__xludf.DUMMYFUNCTION("""COMPUTED_VALUE"""),"QHKT2026-058.png")</f>
        <v>QHKT2026-058.png</v>
      </c>
    </row>
    <row r="60">
      <c r="A60" s="4" t="str">
        <f>IFERROR(__xludf.DUMMYFUNCTION("""COMPUTED_VALUE"""),"QHKT2026-059")</f>
        <v>QHKT2026-059</v>
      </c>
      <c r="B60" s="4" t="str">
        <f>IFERROR(__xludf.DUMMYFUNCTION("""COMPUTED_VALUE"""),"Quy hoạch, Kiến trúc và Xây dựng")</f>
        <v>Quy hoạch, Kiến trúc và Xây dựng</v>
      </c>
      <c r="C60" s="4" t="str">
        <f>IFERROR(__xludf.DUMMYFUNCTION("""COMPUTED_VALUE"""),"ỨNG XỬ PHI TUYẾN CỦA NHÀ CAO TẦNG BÊ TÔNG CỐT THÉP CÓ XÉT ĐẾN SỰ SUY GIẢM ĐỘ CỨNG DƯỚI TÁC ĐỘNG ĐỘNG ĐẤT")</f>
        <v>ỨNG XỬ PHI TUYẾN CỦA NHÀ CAO TẦNG BÊ TÔNG CỐT THÉP CÓ XÉT ĐẾN SỰ SUY GIẢM ĐỘ CỨNG DƯỚI TÁC ĐỘNG ĐỘNG ĐẤT</v>
      </c>
      <c r="D60" s="4" t="str">
        <f>IFERROR(__xludf.DUMMYFUNCTION("""COMPUTED_VALUE"""),"Nguyễn Ngọc Hân; Nguyễn Tấn Phát")</f>
        <v>Nguyễn Ngọc Hân; Nguyễn Tấn Phát</v>
      </c>
      <c r="E60" s="4" t="str">
        <f>IFERROR(__xludf.DUMMYFUNCTION("""COMPUTED_VALUE"""),"Đại học Duy Tân")</f>
        <v>Đại học Duy Tân</v>
      </c>
      <c r="F60" s="4" t="str">
        <f>IFERROR(__xludf.DUMMYFUNCTION("""COMPUTED_VALUE"""),"QHKT2026-059.png")</f>
        <v>QHKT2026-059.png</v>
      </c>
    </row>
    <row r="61">
      <c r="A61" s="4" t="str">
        <f>IFERROR(__xludf.DUMMYFUNCTION("""COMPUTED_VALUE"""),"QHKT2026-060")</f>
        <v>QHKT2026-060</v>
      </c>
      <c r="B61" s="4" t="str">
        <f>IFERROR(__xludf.DUMMYFUNCTION("""COMPUTED_VALUE"""),"Quy hoạch, Kiến trúc và Xây dựng")</f>
        <v>Quy hoạch, Kiến trúc và Xây dựng</v>
      </c>
      <c r="C61" s="4" t="str">
        <f>IFERROR(__xludf.DUMMYFUNCTION("""COMPUTED_VALUE"""),"NGHIÊN CỨU ỨNG XỬ SỤP ĐỔ DÂY CHUYỀN CỦA NHÀ CAO TẦNG BẰNG BÊ TÔNG CỐT THÉP DƯỚI KỊCH BẢN LOẠI BỎ NHIỀU CỘT")</f>
        <v>NGHIÊN CỨU ỨNG XỬ SỤP ĐỔ DÂY CHUYỀN CỦA NHÀ CAO TẦNG BẰNG BÊ TÔNG CỐT THÉP DƯỚI KỊCH BẢN LOẠI BỎ NHIỀU CỘT</v>
      </c>
      <c r="D61" s="4" t="str">
        <f>IFERROR(__xludf.DUMMYFUNCTION("""COMPUTED_VALUE"""),"Nguyễn Đức Tuấn; Nguyễn Thanh Tùng")</f>
        <v>Nguyễn Đức Tuấn; Nguyễn Thanh Tùng</v>
      </c>
      <c r="E61" s="4" t="str">
        <f>IFERROR(__xludf.DUMMYFUNCTION("""COMPUTED_VALUE"""),"Đại học Duy Tân")</f>
        <v>Đại học Duy Tân</v>
      </c>
      <c r="F61" s="4" t="str">
        <f>IFERROR(__xludf.DUMMYFUNCTION("""COMPUTED_VALUE"""),"QHKT2026-060.png")</f>
        <v>QHKT2026-060.png</v>
      </c>
    </row>
    <row r="62">
      <c r="A62" s="4" t="str">
        <f>IFERROR(__xludf.DUMMYFUNCTION("""COMPUTED_VALUE"""),"QHKT2026-061")</f>
        <v>QHKT2026-061</v>
      </c>
      <c r="B62" s="4" t="str">
        <f>IFERROR(__xludf.DUMMYFUNCTION("""COMPUTED_VALUE"""),"Quy hoạch, Kiến trúc và Xây dựng")</f>
        <v>Quy hoạch, Kiến trúc và Xây dựng</v>
      </c>
      <c r="C62" s="4" t="str">
        <f>IFERROR(__xludf.DUMMYFUNCTION("""COMPUTED_VALUE"""),"NGHIÊN CỨU CHẾ TẠO SẢN PHẨM “ECOLIGHT – TRANH THÔNG MINH TRUYỀN SÁNG” TRÊN CƠ SỞ BÊ TÔNG XANH KẾT HỢP HẠT KÍNH PHẾ THẢI PHỤC VỤ TRANG TRÍ NỘI, NGOẠI THẤT CÔNG TRÌNH")</f>
        <v>NGHIÊN CỨU CHẾ TẠO SẢN PHẨM “ECOLIGHT – TRANH THÔNG MINH TRUYỀN SÁNG” TRÊN CƠ SỞ BÊ TÔNG XANH KẾT HỢP HẠT KÍNH PHẾ THẢI PHỤC VỤ TRANG TRÍ NỘI, NGOẠI THẤT CÔNG TRÌNH</v>
      </c>
      <c r="D62" s="4" t="str">
        <f>IFERROR(__xludf.DUMMYFUNCTION("""COMPUTED_VALUE"""),"Phạm Quang Đạo; Vũ Văn Luyện; Mai Phương Hạnh; Đỗ Duy Khánh; Đỗ Trung Lương")</f>
        <v>Phạm Quang Đạo; Vũ Văn Luyện; Mai Phương Hạnh; Đỗ Duy Khánh; Đỗ Trung Lương</v>
      </c>
      <c r="E62" s="4" t="str">
        <f>IFERROR(__xludf.DUMMYFUNCTION("""COMPUTED_VALUE"""),"Trường Đại học Mỏ Địa chất")</f>
        <v>Trường Đại học Mỏ Địa chất</v>
      </c>
      <c r="F62" s="4" t="str">
        <f>IFERROR(__xludf.DUMMYFUNCTION("""COMPUTED_VALUE"""),"QHKT2026-061.png")</f>
        <v>QHKT2026-061.png</v>
      </c>
    </row>
    <row r="63">
      <c r="A63" s="4" t="str">
        <f>IFERROR(__xludf.DUMMYFUNCTION("""COMPUTED_VALUE"""),"QHKT2026-062")</f>
        <v>QHKT2026-062</v>
      </c>
      <c r="B63" s="4" t="str">
        <f>IFERROR(__xludf.DUMMYFUNCTION("""COMPUTED_VALUE"""),"Quy hoạch, Kiến trúc và Xây dựng")</f>
        <v>Quy hoạch, Kiến trúc và Xây dựng</v>
      </c>
      <c r="C63" s="4" t="str">
        <f>IFERROR(__xludf.DUMMYFUNCTION("""COMPUTED_VALUE"""),"Nghiên cứu phát triển hệ thống tối ưu hóa chiều dài cọc công trình dựa trên mô hình phân tích tích hợp và các ràng buộc kỹ thuật - kinh tế theo tiêu chuẩn móng cọc 10304:2025")</f>
        <v>Nghiên cứu phát triển hệ thống tối ưu hóa chiều dài cọc công trình dựa trên mô hình phân tích tích hợp và các ràng buộc kỹ thuật - kinh tế theo tiêu chuẩn móng cọc 10304:2025</v>
      </c>
      <c r="D63" s="4" t="str">
        <f>IFERROR(__xludf.DUMMYFUNCTION("""COMPUTED_VALUE"""),"Bùi Trường Huy")</f>
        <v>Bùi Trường Huy</v>
      </c>
      <c r="E63" s="4" t="str">
        <f>IFERROR(__xludf.DUMMYFUNCTION("""COMPUTED_VALUE"""),"Trường Đại học Kiến trúc TP. Hồ Chí Minh")</f>
        <v>Trường Đại học Kiến trúc TP. Hồ Chí Minh</v>
      </c>
      <c r="F63" s="4" t="str">
        <f>IFERROR(__xludf.DUMMYFUNCTION("""COMPUTED_VALUE"""),"QHKT2026-062.png")</f>
        <v>QHKT2026-062.png</v>
      </c>
    </row>
    <row r="64">
      <c r="A64" s="4" t="str">
        <f>IFERROR(__xludf.DUMMYFUNCTION("""COMPUTED_VALUE"""),"QHKT2026-063")</f>
        <v>QHKT2026-063</v>
      </c>
      <c r="B64" s="4" t="str">
        <f>IFERROR(__xludf.DUMMYFUNCTION("""COMPUTED_VALUE"""),"Quy hoạch, Kiến trúc và Xây dựng")</f>
        <v>Quy hoạch, Kiến trúc và Xây dựng</v>
      </c>
      <c r="C64" s="4" t="str">
        <f>IFERROR(__xludf.DUMMYFUNCTION("""COMPUTED_VALUE"""),"Nghiên cứu ảnh hưởng của các yếu tố đến cường độ, tính chất cơ học của hỗn hợp và sản phẩm xi măng - cát - cao su tái chế (CSR)")</f>
        <v>Nghiên cứu ảnh hưởng của các yếu tố đến cường độ, tính chất cơ học của hỗn hợp và sản phẩm xi măng - cát - cao su tái chế (CSR)</v>
      </c>
      <c r="D64" s="4" t="str">
        <f>IFERROR(__xludf.DUMMYFUNCTION("""COMPUTED_VALUE"""),"Lưu Tấn Lợi; Mạc Đức Hùng; Nguyễn Thành Nhân")</f>
        <v>Lưu Tấn Lợi; Mạc Đức Hùng; Nguyễn Thành Nhân</v>
      </c>
      <c r="E64" s="4" t="str">
        <f>IFERROR(__xludf.DUMMYFUNCTION("""COMPUTED_VALUE"""),"Trường Đại học Kiến trúc TP. Hồ Chí Minh")</f>
        <v>Trường Đại học Kiến trúc TP. Hồ Chí Minh</v>
      </c>
      <c r="F64" s="4" t="str">
        <f>IFERROR(__xludf.DUMMYFUNCTION("""COMPUTED_VALUE"""),"QHKT2026-063.png")</f>
        <v>QHKT2026-063.png</v>
      </c>
    </row>
    <row r="65">
      <c r="A65" s="4" t="str">
        <f>IFERROR(__xludf.DUMMYFUNCTION("""COMPUTED_VALUE"""),"QHKT2026-064")</f>
        <v>QHKT2026-064</v>
      </c>
      <c r="B65" s="4" t="str">
        <f>IFERROR(__xludf.DUMMYFUNCTION("""COMPUTED_VALUE"""),"Quy hoạch, Kiến trúc và Xây dựng")</f>
        <v>Quy hoạch, Kiến trúc và Xây dựng</v>
      </c>
      <c r="C65" s="4" t="str">
        <f>IFERROR(__xludf.DUMMYFUNCTION("""COMPUTED_VALUE"""),"Ứng dụng trợ lý AI trong việc hỗ trợ học tập học phần quản lý dự án xây dựng")</f>
        <v>Ứng dụng trợ lý AI trong việc hỗ trợ học tập học phần quản lý dự án xây dựng</v>
      </c>
      <c r="D65" s="4" t="str">
        <f>IFERROR(__xludf.DUMMYFUNCTION("""COMPUTED_VALUE"""),"Hồ Đức Tiến; Nguyễn Quang Thiện; Thạch Quốc Trọng; Phạm Thành Thắng")</f>
        <v>Hồ Đức Tiến; Nguyễn Quang Thiện; Thạch Quốc Trọng; Phạm Thành Thắng</v>
      </c>
      <c r="E65" s="4" t="str">
        <f>IFERROR(__xludf.DUMMYFUNCTION("""COMPUTED_VALUE"""),"Trường Đại học Công nghệ TP. Hồ Chí Minh")</f>
        <v>Trường Đại học Công nghệ TP. Hồ Chí Minh</v>
      </c>
      <c r="F65" s="4" t="str">
        <f>IFERROR(__xludf.DUMMYFUNCTION("""COMPUTED_VALUE"""),"QHKT2026-064.png")</f>
        <v>QHKT2026-064.png</v>
      </c>
    </row>
    <row r="66">
      <c r="A66" s="4" t="str">
        <f>IFERROR(__xludf.DUMMYFUNCTION("""COMPUTED_VALUE"""),"QHKT2026-065")</f>
        <v>QHKT2026-065</v>
      </c>
      <c r="B66" s="4" t="str">
        <f>IFERROR(__xludf.DUMMYFUNCTION("""COMPUTED_VALUE"""),"Quy hoạch, Kiến trúc và Xây dựng")</f>
        <v>Quy hoạch, Kiến trúc và Xây dựng</v>
      </c>
      <c r="C66" s="4" t="str">
        <f>IFERROR(__xludf.DUMMYFUNCTION("""COMPUTED_VALUE"""),"Nghiên cứu sử dụng bùn thải bê tông kết hợp xỉ lò cao nghiền mịn trong chế tạo vữa giảm xi măng")</f>
        <v>Nghiên cứu sử dụng bùn thải bê tông kết hợp xỉ lò cao nghiền mịn trong chế tạo vữa giảm xi măng</v>
      </c>
      <c r="D66" s="4" t="str">
        <f>IFERROR(__xludf.DUMMYFUNCTION("""COMPUTED_VALUE"""),"Nguyễn Đăng Khôi; Lê Huỳnh Nhật Huy; Nguyễn Hoàng Trí Nhân; Danh Đức Anh")</f>
        <v>Nguyễn Đăng Khôi; Lê Huỳnh Nhật Huy; Nguyễn Hoàng Trí Nhân; Danh Đức Anh</v>
      </c>
      <c r="E66" s="4" t="str">
        <f>IFERROR(__xludf.DUMMYFUNCTION("""COMPUTED_VALUE"""),"Trường Đại học Công nghệ TP. Hồ Chí Minh")</f>
        <v>Trường Đại học Công nghệ TP. Hồ Chí Minh</v>
      </c>
      <c r="F66" s="4" t="str">
        <f>IFERROR(__xludf.DUMMYFUNCTION("""COMPUTED_VALUE"""),"QHKT2026-065.png")</f>
        <v>QHKT2026-065.png</v>
      </c>
    </row>
    <row r="67">
      <c r="A67" s="4" t="str">
        <f>IFERROR(__xludf.DUMMYFUNCTION("""COMPUTED_VALUE"""),"QHKT2026-066")</f>
        <v>QHKT2026-066</v>
      </c>
      <c r="B67" s="4" t="str">
        <f>IFERROR(__xludf.DUMMYFUNCTION("""COMPUTED_VALUE"""),"Quy hoạch, Kiến trúc và Xây dựng")</f>
        <v>Quy hoạch, Kiến trúc và Xây dựng</v>
      </c>
      <c r="C67" s="4" t="str">
        <f>IFERROR(__xludf.DUMMYFUNCTION("""COMPUTED_VALUE"""),"Nghiên cứu vữa nhẹ sử dụng vỏ cà phê thay thế một phần cát tự nhiên")</f>
        <v>Nghiên cứu vữa nhẹ sử dụng vỏ cà phê thay thế một phần cát tự nhiên</v>
      </c>
      <c r="D67" s="4" t="str">
        <f>IFERROR(__xludf.DUMMYFUNCTION("""COMPUTED_VALUE"""),"Nguyễn Văn Đoan; Trần Lê Anh Hào; Trần Quốc Huy; Nguyễn Ngọc Xuân Hiếu")</f>
        <v>Nguyễn Văn Đoan; Trần Lê Anh Hào; Trần Quốc Huy; Nguyễn Ngọc Xuân Hiếu</v>
      </c>
      <c r="E67" s="4" t="str">
        <f>IFERROR(__xludf.DUMMYFUNCTION("""COMPUTED_VALUE"""),"Trường Đại học Công nghệ TP. Hồ Chí Minh")</f>
        <v>Trường Đại học Công nghệ TP. Hồ Chí Minh</v>
      </c>
      <c r="F67" s="4" t="str">
        <f>IFERROR(__xludf.DUMMYFUNCTION("""COMPUTED_VALUE"""),"QHKT2026-066.png")</f>
        <v>QHKT2026-066.png</v>
      </c>
    </row>
    <row r="68">
      <c r="A68" s="4" t="str">
        <f>IFERROR(__xludf.DUMMYFUNCTION("""COMPUTED_VALUE"""),"QHKT2026-067")</f>
        <v>QHKT2026-067</v>
      </c>
      <c r="B68" s="4" t="str">
        <f>IFERROR(__xludf.DUMMYFUNCTION("""COMPUTED_VALUE"""),"Quy hoạch, Kiến trúc và Xây dựng")</f>
        <v>Quy hoạch, Kiến trúc và Xây dựng</v>
      </c>
      <c r="C68" s="4" t="str">
        <f>IFERROR(__xludf.DUMMYFUNCTION("""COMPUTED_VALUE"""),"Nghiên cứu thành phần và tính chất của chất kết dính geopolymer tính năng cao thân thiện môi trường dựa trên chất hoạt hóa và các phế thải công nghiệp")</f>
        <v>Nghiên cứu thành phần và tính chất của chất kết dính geopolymer tính năng cao thân thiện môi trường dựa trên chất hoạt hóa và các phế thải công nghiệp</v>
      </c>
      <c r="D68" s="4" t="str">
        <f>IFERROR(__xludf.DUMMYFUNCTION("""COMPUTED_VALUE"""),"Lê Trịnh Huy; Phạm Kim Hiệu; Nguyễn Bùi Duy Hiếu; Hoàng Nhật Nam; Trần Thanh Phước")</f>
        <v>Lê Trịnh Huy; Phạm Kim Hiệu; Nguyễn Bùi Duy Hiếu; Hoàng Nhật Nam; Trần Thanh Phước</v>
      </c>
      <c r="E68" s="4" t="str">
        <f>IFERROR(__xludf.DUMMYFUNCTION("""COMPUTED_VALUE"""),"Phân hiệu Trường Đại học Giao thông vận tải tại TP. Hồ Chí Minh")</f>
        <v>Phân hiệu Trường Đại học Giao thông vận tải tại TP. Hồ Chí Minh</v>
      </c>
      <c r="F68" s="4" t="str">
        <f>IFERROR(__xludf.DUMMYFUNCTION("""COMPUTED_VALUE"""),"QHKT2026-067.png")</f>
        <v>QHKT2026-067.png</v>
      </c>
    </row>
    <row r="69">
      <c r="A69" s="4" t="str">
        <f>IFERROR(__xludf.DUMMYFUNCTION("""COMPUTED_VALUE"""),"QHKT2026-068")</f>
        <v>QHKT2026-068</v>
      </c>
      <c r="B69" s="4" t="str">
        <f>IFERROR(__xludf.DUMMYFUNCTION("""COMPUTED_VALUE"""),"Quy hoạch, Kiến trúc và Xây dựng")</f>
        <v>Quy hoạch, Kiến trúc và Xây dựng</v>
      </c>
      <c r="C69" s="4" t="str">
        <f>IFERROR(__xludf.DUMMYFUNCTION("""COMPUTED_VALUE"""),"Phân tích phản ứng động của cầu dầm giản đơn trên tuyến đường sắt tốc độ cao có xét đến tương tác hệ xe và đường ray")</f>
        <v>Phân tích phản ứng động của cầu dầm giản đơn trên tuyến đường sắt tốc độ cao có xét đến tương tác hệ xe và đường ray</v>
      </c>
      <c r="D69" s="4" t="str">
        <f>IFERROR(__xludf.DUMMYFUNCTION("""COMPUTED_VALUE"""),"Nguyễn Thế Anh")</f>
        <v>Nguyễn Thế Anh</v>
      </c>
      <c r="E69" s="4" t="str">
        <f>IFERROR(__xludf.DUMMYFUNCTION("""COMPUTED_VALUE"""),"Phân hiệu Trường Đại học Giao thông vận tải tại TP. Hồ Chí Minh")</f>
        <v>Phân hiệu Trường Đại học Giao thông vận tải tại TP. Hồ Chí Minh</v>
      </c>
      <c r="F69" s="4" t="str">
        <f>IFERROR(__xludf.DUMMYFUNCTION("""COMPUTED_VALUE"""),"QHKT2026-068.png")</f>
        <v>QHKT2026-068.png</v>
      </c>
    </row>
    <row r="70">
      <c r="A70" s="4" t="str">
        <f>IFERROR(__xludf.DUMMYFUNCTION("""COMPUTED_VALUE"""),"QHKT2026-069")</f>
        <v>QHKT2026-069</v>
      </c>
      <c r="B70" s="4" t="str">
        <f>IFERROR(__xludf.DUMMYFUNCTION("""COMPUTED_VALUE"""),"Quy hoạch, Kiến trúc và Xây dựng")</f>
        <v>Quy hoạch, Kiến trúc và Xây dựng</v>
      </c>
      <c r="C70" s="4" t="str">
        <f>IFERROR(__xludf.DUMMYFUNCTION("""COMPUTED_VALUE"""),"Nghiên cứu khối lượng thể tích ở trạng thái rời và đầm chặt của cát biển trong xây dựng nền đường cho các dự án trọng điểm tại khu vực Miền Tây Nam Bộ")</f>
        <v>Nghiên cứu khối lượng thể tích ở trạng thái rời và đầm chặt của cát biển trong xây dựng nền đường cho các dự án trọng điểm tại khu vực Miền Tây Nam Bộ</v>
      </c>
      <c r="D70" s="4" t="str">
        <f>IFERROR(__xludf.DUMMYFUNCTION("""COMPUTED_VALUE"""),"Bùi Thành Đạt; Hồ Thế Anh; Lưu Thị Lan; Phạm Thị Thanh Thuý; Phạm Trần Anh Vũ")</f>
        <v>Bùi Thành Đạt; Hồ Thế Anh; Lưu Thị Lan; Phạm Thị Thanh Thuý; Phạm Trần Anh Vũ</v>
      </c>
      <c r="E70" s="4" t="str">
        <f>IFERROR(__xludf.DUMMYFUNCTION("""COMPUTED_VALUE"""),"Phân hiệu Trường Đại học Giao thông vận tải tại TP. Hồ Chí Minh")</f>
        <v>Phân hiệu Trường Đại học Giao thông vận tải tại TP. Hồ Chí Minh</v>
      </c>
      <c r="F70" s="4" t="str">
        <f>IFERROR(__xludf.DUMMYFUNCTION("""COMPUTED_VALUE"""),"QHKT2026-069.png")</f>
        <v>QHKT2026-069.png</v>
      </c>
    </row>
    <row r="71">
      <c r="A71" s="4" t="str">
        <f>IFERROR(__xludf.DUMMYFUNCTION("""COMPUTED_VALUE"""),"QHKT2026-070")</f>
        <v>QHKT2026-070</v>
      </c>
      <c r="B71" s="4" t="str">
        <f>IFERROR(__xludf.DUMMYFUNCTION("""COMPUTED_VALUE"""),"Quy hoạch, Kiến trúc và Xây dựng")</f>
        <v>Quy hoạch, Kiến trúc và Xây dựng</v>
      </c>
      <c r="C71" s="4" t="str">
        <f>IFERROR(__xludf.DUMMYFUNCTION("""COMPUTED_VALUE"""),"Nghiên cứu chuyển vị ngang tường vây của hố đào sâu trong điều kiện nền đất sét tự nhiên.")</f>
        <v>Nghiên cứu chuyển vị ngang tường vây của hố đào sâu trong điều kiện nền đất sét tự nhiên.</v>
      </c>
      <c r="D71" s="4" t="str">
        <f>IFERROR(__xludf.DUMMYFUNCTION("""COMPUTED_VALUE"""),"Phạm Thị Quỳnh Như; Vũ Thị Nga; Dương Yến Nhi; Lê Thành Sang")</f>
        <v>Phạm Thị Quỳnh Như; Vũ Thị Nga; Dương Yến Nhi; Lê Thành Sang</v>
      </c>
      <c r="E71" s="4" t="str">
        <f>IFERROR(__xludf.DUMMYFUNCTION("""COMPUTED_VALUE"""),"Phân hiệu Trường Đại học Giao thông vận tải tại TP. Hồ Chí Minh")</f>
        <v>Phân hiệu Trường Đại học Giao thông vận tải tại TP. Hồ Chí Minh</v>
      </c>
      <c r="F71" s="4" t="str">
        <f>IFERROR(__xludf.DUMMYFUNCTION("""COMPUTED_VALUE"""),"QHKT2026-070.png")</f>
        <v>QHKT2026-070.png</v>
      </c>
    </row>
    <row r="72">
      <c r="A72" s="4" t="str">
        <f>IFERROR(__xludf.DUMMYFUNCTION("""COMPUTED_VALUE"""),"QHKT2026-071")</f>
        <v>QHKT2026-071</v>
      </c>
      <c r="B72" s="4" t="str">
        <f>IFERROR(__xludf.DUMMYFUNCTION("""COMPUTED_VALUE"""),"Quy hoạch, Kiến trúc và Xây dựng")</f>
        <v>Quy hoạch, Kiến trúc và Xây dựng</v>
      </c>
      <c r="C72" s="4" t="str">
        <f>IFERROR(__xludf.DUMMYFUNCTION("""COMPUTED_VALUE"""),"Ảnh hưởng của nhiệt độ dưỡng hộ đến tính chất của geopolymer từ tro bay, bùn khoáng thải và bột vỏ sò cho ứng dụng hạ tầng tải trọng thấp")</f>
        <v>Ảnh hưởng của nhiệt độ dưỡng hộ đến tính chất của geopolymer từ tro bay, bùn khoáng thải và bột vỏ sò cho ứng dụng hạ tầng tải trọng thấp</v>
      </c>
      <c r="D72" s="4" t="str">
        <f>IFERROR(__xludf.DUMMYFUNCTION("""COMPUTED_VALUE"""),"Huỳnh Xuân Anh; Nguyễn Trường Đông; Trương Văn Sang")</f>
        <v>Huỳnh Xuân Anh; Nguyễn Trường Đông; Trương Văn Sang</v>
      </c>
      <c r="E72" s="4" t="str">
        <f>IFERROR(__xludf.DUMMYFUNCTION("""COMPUTED_VALUE"""),"Trường Đại học Nha Trang")</f>
        <v>Trường Đại học Nha Trang</v>
      </c>
      <c r="F72" s="4" t="str">
        <f>IFERROR(__xludf.DUMMYFUNCTION("""COMPUTED_VALUE"""),"QHKT2026-071.png")</f>
        <v>QHKT2026-071.png</v>
      </c>
    </row>
    <row r="73">
      <c r="A73" s="4" t="str">
        <f>IFERROR(__xludf.DUMMYFUNCTION("""COMPUTED_VALUE"""),"QHKT2026-072")</f>
        <v>QHKT2026-072</v>
      </c>
      <c r="B73" s="4" t="str">
        <f>IFERROR(__xludf.DUMMYFUNCTION("""COMPUTED_VALUE"""),"Quy hoạch, Kiến trúc và Xây dựng")</f>
        <v>Quy hoạch, Kiến trúc và Xây dựng</v>
      </c>
      <c r="C73" s="4" t="str">
        <f>IFERROR(__xludf.DUMMYFUNCTION("""COMPUTED_VALUE"""),"Giải pháp móng bể chứa dầu-khí sử dụng cọc xi măng đất trộn nông có chiều dài cọc bằng nhau")</f>
        <v>Giải pháp móng bể chứa dầu-khí sử dụng cọc xi măng đất trộn nông có chiều dài cọc bằng nhau</v>
      </c>
      <c r="D73" s="4" t="str">
        <f>IFERROR(__xludf.DUMMYFUNCTION("""COMPUTED_VALUE"""),"Nguyễn Thành Đạt; Trần Minh Phong; Ngô Thanh Thanh; Võ Hữu Vinh")</f>
        <v>Nguyễn Thành Đạt; Trần Minh Phong; Ngô Thanh Thanh; Võ Hữu Vinh</v>
      </c>
      <c r="E73" s="4" t="str">
        <f>IFERROR(__xludf.DUMMYFUNCTION("""COMPUTED_VALUE"""),"Trường Đại học Công nghệ Kỹ thuật TP. Hồ Chí Minh")</f>
        <v>Trường Đại học Công nghệ Kỹ thuật TP. Hồ Chí Minh</v>
      </c>
      <c r="F73" s="4" t="str">
        <f>IFERROR(__xludf.DUMMYFUNCTION("""COMPUTED_VALUE"""),"QHKT2026-072.png")</f>
        <v>QHKT2026-072.png</v>
      </c>
    </row>
    <row r="74">
      <c r="A74" s="4" t="str">
        <f>IFERROR(__xludf.DUMMYFUNCTION("""COMPUTED_VALUE"""),"QHKT2026-073")</f>
        <v>QHKT2026-073</v>
      </c>
      <c r="B74" s="4" t="str">
        <f>IFERROR(__xludf.DUMMYFUNCTION("""COMPUTED_VALUE"""),"Quy hoạch, Kiến trúc và Xây dựng")</f>
        <v>Quy hoạch, Kiến trúc và Xây dựng</v>
      </c>
      <c r="C74" s="4" t="str">
        <f>IFERROR(__xludf.DUMMYFUNCTION("""COMPUTED_VALUE"""),"Nghiên cứu tính chất cơ lý của vữa chịu nhiệt độ cao bằng thực nghiệm")</f>
        <v>Nghiên cứu tính chất cơ lý của vữa chịu nhiệt độ cao bằng thực nghiệm</v>
      </c>
      <c r="D74" s="4" t="str">
        <f>IFERROR(__xludf.DUMMYFUNCTION("""COMPUTED_VALUE"""),"Võ Hoàng Phương Duy")</f>
        <v>Võ Hoàng Phương Duy</v>
      </c>
      <c r="E74" s="4" t="str">
        <f>IFERROR(__xludf.DUMMYFUNCTION("""COMPUTED_VALUE"""),"Trường Đại học Công nghệ Kỹ thuật TP. Hồ Chí Minh")</f>
        <v>Trường Đại học Công nghệ Kỹ thuật TP. Hồ Chí Minh</v>
      </c>
      <c r="F74" s="4" t="str">
        <f>IFERROR(__xludf.DUMMYFUNCTION("""COMPUTED_VALUE"""),"QHKT2026-073.png")</f>
        <v>QHKT2026-073.png</v>
      </c>
    </row>
    <row r="75">
      <c r="A75" s="4" t="str">
        <f>IFERROR(__xludf.DUMMYFUNCTION("""COMPUTED_VALUE"""),"QHKT2026-074")</f>
        <v>QHKT2026-074</v>
      </c>
      <c r="B75" s="4" t="str">
        <f>IFERROR(__xludf.DUMMYFUNCTION("""COMPUTED_VALUE"""),"Quy hoạch, Kiến trúc và Xây dựng")</f>
        <v>Quy hoạch, Kiến trúc và Xây dựng</v>
      </c>
      <c r="C75" s="4" t="str">
        <f>IFERROR(__xludf.DUMMYFUNCTION("""COMPUTED_VALUE"""),"Thiết kế và kiểm định giải pháp dự toán nhanh cho công trình nhà phố bằng hệ số kinh nghiệm vật liệu")</f>
        <v>Thiết kế và kiểm định giải pháp dự toán nhanh cho công trình nhà phố bằng hệ số kinh nghiệm vật liệu</v>
      </c>
      <c r="D75" s="4" t="str">
        <f>IFERROR(__xludf.DUMMYFUNCTION("""COMPUTED_VALUE"""),"Nguyễn Trường Anh; Võ Thị Bích Tuyền; Trần Đức Thiện; Lê Huyền Bảo Ngọc; Huỳnh Thị Hòa Lợi")</f>
        <v>Nguyễn Trường Anh; Võ Thị Bích Tuyền; Trần Đức Thiện; Lê Huyền Bảo Ngọc; Huỳnh Thị Hòa Lợi</v>
      </c>
      <c r="E75" s="4" t="str">
        <f>IFERROR(__xludf.DUMMYFUNCTION("""COMPUTED_VALUE"""),"Trường Đại học Giao thông vận tải TP. Hồ Chí Minh")</f>
        <v>Trường Đại học Giao thông vận tải TP. Hồ Chí Minh</v>
      </c>
      <c r="F75" s="4" t="str">
        <f>IFERROR(__xludf.DUMMYFUNCTION("""COMPUTED_VALUE"""),"QHKT2026-074.png")</f>
        <v>QHKT2026-074.png</v>
      </c>
    </row>
    <row r="76">
      <c r="A76" s="4" t="str">
        <f>IFERROR(__xludf.DUMMYFUNCTION("""COMPUTED_VALUE"""),"QHKT2026-075")</f>
        <v>QHKT2026-075</v>
      </c>
      <c r="B76" s="4" t="str">
        <f>IFERROR(__xludf.DUMMYFUNCTION("""COMPUTED_VALUE"""),"Quy hoạch, Kiến trúc và Xây dựng")</f>
        <v>Quy hoạch, Kiến trúc và Xây dựng</v>
      </c>
      <c r="C76" s="4" t="str">
        <f>IFERROR(__xludf.DUMMYFUNCTION("""COMPUTED_VALUE"""),"PHÂN TÍCH ỨNG XỬ UỐN CỦA TẤM COMPOSITE NHIỀU LỚP SỬ DỤNG PHƯƠNG PHÁP ĐẲNG HÌNH HỌC VÀ LÝ THUYẾT BIẾN DẠNG CẮT BẬC CAO")</f>
        <v>PHÂN TÍCH ỨNG XỬ UỐN CỦA TẤM COMPOSITE NHIỀU LỚP SỬ DỤNG PHƯƠNG PHÁP ĐẲNG HÌNH HỌC VÀ LÝ THUYẾT BIẾN DẠNG CẮT BẬC CAO</v>
      </c>
      <c r="D76" s="4" t="str">
        <f>IFERROR(__xludf.DUMMYFUNCTION("""COMPUTED_VALUE"""),"Huỳnh Bá Học; Nguyễn Đức Phát; Ngô Hải Đông; Võ Quý Mạnh; Huỳnh Phước Đô")</f>
        <v>Huỳnh Bá Học; Nguyễn Đức Phát; Ngô Hải Đông; Võ Quý Mạnh; Huỳnh Phước Đô</v>
      </c>
      <c r="E76" s="4" t="str">
        <f>IFERROR(__xludf.DUMMYFUNCTION("""COMPUTED_VALUE"""),"Trường Đại học Công nghệ Kỹ thuật TP. Hồ Chí Minh")</f>
        <v>Trường Đại học Công nghệ Kỹ thuật TP. Hồ Chí Minh</v>
      </c>
      <c r="F76" s="4" t="str">
        <f>IFERROR(__xludf.DUMMYFUNCTION("""COMPUTED_VALUE"""),"QHKT2026-075.png")</f>
        <v>QHKT2026-075.png</v>
      </c>
    </row>
    <row r="77">
      <c r="A77" s="4" t="str">
        <f>IFERROR(__xludf.DUMMYFUNCTION("""COMPUTED_VALUE"""),"QHKT2026-076")</f>
        <v>QHKT2026-076</v>
      </c>
      <c r="B77" s="4" t="str">
        <f>IFERROR(__xludf.DUMMYFUNCTION("""COMPUTED_VALUE"""),"Quy hoạch, Kiến trúc và Xây dựng")</f>
        <v>Quy hoạch, Kiến trúc và Xây dựng</v>
      </c>
      <c r="C77" s="4" t="str">
        <f>IFERROR(__xludf.DUMMYFUNCTION("""COMPUTED_VALUE"""),"Phân tích rủi ro tiến độ các dự án xây dựng cầu tại khu vực Đồng bằng sông Cửu Long")</f>
        <v>Phân tích rủi ro tiến độ các dự án xây dựng cầu tại khu vực Đồng bằng sông Cửu Long</v>
      </c>
      <c r="D77" s="4" t="str">
        <f>IFERROR(__xludf.DUMMYFUNCTION("""COMPUTED_VALUE"""),"Bùi Mạnh Đức; Trịnh Châu Nguyên Bá")</f>
        <v>Bùi Mạnh Đức; Trịnh Châu Nguyên Bá</v>
      </c>
      <c r="E77" s="4" t="str">
        <f>IFERROR(__xludf.DUMMYFUNCTION("""COMPUTED_VALUE"""),"Trường Đại học Giao thông vận tải TP. Hồ Chí Minh")</f>
        <v>Trường Đại học Giao thông vận tải TP. Hồ Chí Minh</v>
      </c>
      <c r="F77" s="4" t="str">
        <f>IFERROR(__xludf.DUMMYFUNCTION("""COMPUTED_VALUE"""),"QHKT2026-076.png")</f>
        <v>QHKT2026-076.png</v>
      </c>
    </row>
    <row r="78">
      <c r="A78" s="4" t="str">
        <f>IFERROR(__xludf.DUMMYFUNCTION("""COMPUTED_VALUE"""),"QHKT2026-077")</f>
        <v>QHKT2026-077</v>
      </c>
      <c r="B78" s="4" t="str">
        <f>IFERROR(__xludf.DUMMYFUNCTION("""COMPUTED_VALUE"""),"Quy hoạch, Kiến trúc và Xây dựng")</f>
        <v>Quy hoạch, Kiến trúc và Xây dựng</v>
      </c>
      <c r="C78" s="4" t="str">
        <f>IFERROR(__xludf.DUMMYFUNCTION("""COMPUTED_VALUE"""),"Ứng dụng mô hình số Plaxis 3D trong phân tích tải trọng động và xử lý nền đất cho đường sắt tốc độ cao tại Việt Nam")</f>
        <v>Ứng dụng mô hình số Plaxis 3D trong phân tích tải trọng động và xử lý nền đất cho đường sắt tốc độ cao tại Việt Nam</v>
      </c>
      <c r="D78" s="4" t="str">
        <f>IFERROR(__xludf.DUMMYFUNCTION("""COMPUTED_VALUE"""),"Nguyễn Văn Dũng; Hồ Quốc Bảo Quân")</f>
        <v>Nguyễn Văn Dũng; Hồ Quốc Bảo Quân</v>
      </c>
      <c r="E78" s="4" t="str">
        <f>IFERROR(__xludf.DUMMYFUNCTION("""COMPUTED_VALUE"""),"Trường Đại học Kiến trúc Hà Nội")</f>
        <v>Trường Đại học Kiến trúc Hà Nội</v>
      </c>
      <c r="F78" s="4" t="str">
        <f>IFERROR(__xludf.DUMMYFUNCTION("""COMPUTED_VALUE"""),"QHKT2026-077.png")</f>
        <v>QHKT2026-077.png</v>
      </c>
    </row>
    <row r="79">
      <c r="A79" s="4" t="str">
        <f>IFERROR(__xludf.DUMMYFUNCTION("""COMPUTED_VALUE"""),"QHKT2026-078")</f>
        <v>QHKT2026-078</v>
      </c>
      <c r="B79" s="4" t="str">
        <f>IFERROR(__xludf.DUMMYFUNCTION("""COMPUTED_VALUE"""),"Quy hoạch, Kiến trúc và Xây dựng")</f>
        <v>Quy hoạch, Kiến trúc và Xây dựng</v>
      </c>
      <c r="C79" s="4" t="str">
        <f>IFERROR(__xludf.DUMMYFUNCTION("""COMPUTED_VALUE"""),"Phân tích kết cấu BTCT trong điều kiện chịu lửa, sử dụng phần mềm phân tích tiên tiến")</f>
        <v>Phân tích kết cấu BTCT trong điều kiện chịu lửa, sử dụng phần mềm phân tích tiên tiến</v>
      </c>
      <c r="D79" s="4" t="str">
        <f>IFERROR(__xludf.DUMMYFUNCTION("""COMPUTED_VALUE"""),"Ngô Gia Huy; Nguyễn Tiến Thịnh; Nguyễn Đức Tiến; Nguyễn Như Quỳnh; Bùi Quý Anh")</f>
        <v>Ngô Gia Huy; Nguyễn Tiến Thịnh; Nguyễn Đức Tiến; Nguyễn Như Quỳnh; Bùi Quý Anh</v>
      </c>
      <c r="E79" s="4" t="str">
        <f>IFERROR(__xludf.DUMMYFUNCTION("""COMPUTED_VALUE"""),"Trường Đại học Kiến trúc Hà Nội")</f>
        <v>Trường Đại học Kiến trúc Hà Nội</v>
      </c>
      <c r="F79" s="4" t="str">
        <f>IFERROR(__xludf.DUMMYFUNCTION("""COMPUTED_VALUE"""),"QHKT2026-078.png")</f>
        <v>QHKT2026-078.png</v>
      </c>
    </row>
    <row r="80">
      <c r="A80" s="4" t="str">
        <f>IFERROR(__xludf.DUMMYFUNCTION("""COMPUTED_VALUE"""),"QHKT2026-079")</f>
        <v>QHKT2026-079</v>
      </c>
      <c r="B80" s="4" t="str">
        <f>IFERROR(__xludf.DUMMYFUNCTION("""COMPUTED_VALUE"""),"Quy hoạch, Kiến trúc và Xây dựng")</f>
        <v>Quy hoạch, Kiến trúc và Xây dựng</v>
      </c>
      <c r="C80" s="4" t="str">
        <f>IFERROR(__xludf.DUMMYFUNCTION("""COMPUTED_VALUE"""),"Nghiên cứu ảnh hưởng của độ pH đến cường độ chịu nén một trục nở hông của cọc đất xi măng tại xã Bình Khánh, thành phố Hồ Chí Minh")</f>
        <v>Nghiên cứu ảnh hưởng của độ pH đến cường độ chịu nén một trục nở hông của cọc đất xi măng tại xã Bình Khánh, thành phố Hồ Chí Minh</v>
      </c>
      <c r="D80" s="4" t="str">
        <f>IFERROR(__xludf.DUMMYFUNCTION("""COMPUTED_VALUE"""),"Trần Thị Kim Ngọc; Phạm Minh Trường; Trần Hoàng Hân; Lê Hoàng Quang Vinh")</f>
        <v>Trần Thị Kim Ngọc; Phạm Minh Trường; Trần Hoàng Hân; Lê Hoàng Quang Vinh</v>
      </c>
      <c r="E80" s="4" t="str">
        <f>IFERROR(__xludf.DUMMYFUNCTION("""COMPUTED_VALUE"""),"Trường Đại học Thủ Dầu Một")</f>
        <v>Trường Đại học Thủ Dầu Một</v>
      </c>
      <c r="F80" s="4" t="str">
        <f>IFERROR(__xludf.DUMMYFUNCTION("""COMPUTED_VALUE"""),"QHKT2026-079.png")</f>
        <v>QHKT2026-079.png</v>
      </c>
    </row>
    <row r="81">
      <c r="A81" s="4" t="str">
        <f>IFERROR(__xludf.DUMMYFUNCTION("""COMPUTED_VALUE"""),"QHKT2026-080")</f>
        <v>QHKT2026-080</v>
      </c>
      <c r="B81" s="4" t="str">
        <f>IFERROR(__xludf.DUMMYFUNCTION("""COMPUTED_VALUE"""),"Quy hoạch, Kiến trúc và Xây dựng")</f>
        <v>Quy hoạch, Kiến trúc và Xây dựng</v>
      </c>
      <c r="C81" s="4" t="str">
        <f>IFERROR(__xludf.DUMMYFUNCTION("""COMPUTED_VALUE"""),"Phân tích lựa chọn mua và thuê nhà ở của người trẻ tại Thành phố Hồ Chí Minh")</f>
        <v>Phân tích lựa chọn mua và thuê nhà ở của người trẻ tại Thành phố Hồ Chí Minh</v>
      </c>
      <c r="D81" s="4" t="str">
        <f>IFERROR(__xludf.DUMMYFUNCTION("""COMPUTED_VALUE"""),"Nguyễn Thanh Trúc; Nguyễn Đỗ Hồng Đức")</f>
        <v>Nguyễn Thanh Trúc; Nguyễn Đỗ Hồng Đức</v>
      </c>
      <c r="E81" s="4" t="str">
        <f>IFERROR(__xludf.DUMMYFUNCTION("""COMPUTED_VALUE"""),"Trường Đại học Giao thông vận tải TP. Hồ Chí Minh")</f>
        <v>Trường Đại học Giao thông vận tải TP. Hồ Chí Minh</v>
      </c>
      <c r="F81" s="4" t="str">
        <f>IFERROR(__xludf.DUMMYFUNCTION("""COMPUTED_VALUE"""),"QHKT2026-080.png")</f>
        <v>QHKT2026-080.png</v>
      </c>
    </row>
    <row r="82">
      <c r="A82" s="4" t="str">
        <f>IFERROR(__xludf.DUMMYFUNCTION("""COMPUTED_VALUE"""),"QHKT2026-081")</f>
        <v>QHKT2026-081</v>
      </c>
      <c r="B82" s="4" t="str">
        <f>IFERROR(__xludf.DUMMYFUNCTION("""COMPUTED_VALUE"""),"Quy hoạch, Kiến trúc và Xây dựng")</f>
        <v>Quy hoạch, Kiến trúc và Xây dựng</v>
      </c>
      <c r="C82" s="4" t="str">
        <f>IFERROR(__xludf.DUMMYFUNCTION("""COMPUTED_VALUE"""),"Nghiên cứu ứng dụng phần mềm Ansys trong phân tích tính toán hệ dàn")</f>
        <v>Nghiên cứu ứng dụng phần mềm Ansys trong phân tích tính toán hệ dàn</v>
      </c>
      <c r="D82" s="4" t="str">
        <f>IFERROR(__xludf.DUMMYFUNCTION("""COMPUTED_VALUE"""),"Mai Thị Hương Giang; Phùng Duy Điền; Nguyễn Thành Đô; Vũ Đức Hoàng")</f>
        <v>Mai Thị Hương Giang; Phùng Duy Điền; Nguyễn Thành Đô; Vũ Đức Hoàng</v>
      </c>
      <c r="E82" s="4" t="str">
        <f>IFERROR(__xludf.DUMMYFUNCTION("""COMPUTED_VALUE"""),"Trường Đại học Kiến trúc Hà Nội")</f>
        <v>Trường Đại học Kiến trúc Hà Nội</v>
      </c>
      <c r="F82" s="4" t="str">
        <f>IFERROR(__xludf.DUMMYFUNCTION("""COMPUTED_VALUE"""),"QHKT2026-081.png")</f>
        <v>QHKT2026-081.png</v>
      </c>
    </row>
    <row r="83">
      <c r="A83" s="4" t="str">
        <f>IFERROR(__xludf.DUMMYFUNCTION("""COMPUTED_VALUE"""),"QHKT2026-082")</f>
        <v>QHKT2026-082</v>
      </c>
      <c r="B83" s="4" t="str">
        <f>IFERROR(__xludf.DUMMYFUNCTION("""COMPUTED_VALUE"""),"Quy hoạch, Kiến trúc và Xây dựng")</f>
        <v>Quy hoạch, Kiến trúc và Xây dựng</v>
      </c>
      <c r="C83" s="4" t="str">
        <f>IFERROR(__xludf.DUMMYFUNCTION("""COMPUTED_VALUE"""),"Ứng dụng phần mềm quản lý dự án MS Project trong việc lập và kiểm soát tiến độ thi công nhà cao tầng tại Việt Nam và đề xuất cách tự động tính toán các hệ số k1 và k2 khi lập tiến độ")</f>
        <v>Ứng dụng phần mềm quản lý dự án MS Project trong việc lập và kiểm soát tiến độ thi công nhà cao tầng tại Việt Nam và đề xuất cách tự động tính toán các hệ số k1 và k2 khi lập tiến độ</v>
      </c>
      <c r="D83" s="4" t="str">
        <f>IFERROR(__xludf.DUMMYFUNCTION("""COMPUTED_VALUE"""),"Vũ Đức Chuyên; Đinh Khánh Huyền; Hoàng Phương Thảo; Nguyễn Thị Như Quỳnh")</f>
        <v>Vũ Đức Chuyên; Đinh Khánh Huyền; Hoàng Phương Thảo; Nguyễn Thị Như Quỳnh</v>
      </c>
      <c r="E83" s="4" t="str">
        <f>IFERROR(__xludf.DUMMYFUNCTION("""COMPUTED_VALUE"""),"Trường Đại học Kiến trúc Hà Nội")</f>
        <v>Trường Đại học Kiến trúc Hà Nội</v>
      </c>
      <c r="F83" s="4" t="str">
        <f>IFERROR(__xludf.DUMMYFUNCTION("""COMPUTED_VALUE"""),"QHKT2026-082.png")</f>
        <v>QHKT2026-082.png</v>
      </c>
    </row>
    <row r="84">
      <c r="A84" s="4" t="str">
        <f>IFERROR(__xludf.DUMMYFUNCTION("""COMPUTED_VALUE"""),"QHKT2026-083")</f>
        <v>QHKT2026-083</v>
      </c>
      <c r="B84" s="4" t="str">
        <f>IFERROR(__xludf.DUMMYFUNCTION("""COMPUTED_VALUE"""),"Quy hoạch, Kiến trúc và Xây dựng")</f>
        <v>Quy hoạch, Kiến trúc và Xây dựng</v>
      </c>
      <c r="C84" s="4" t="str">
        <f>IFERROR(__xludf.DUMMYFUNCTION("""COMPUTED_VALUE"""),"Nghiên cứu các yếu tố rủi ro ảnh hưởng đến hiệu quả vận hành khai thác tuyến Metro số 1 Thành phố Hồ Chí Minh")</f>
        <v>Nghiên cứu các yếu tố rủi ro ảnh hưởng đến hiệu quả vận hành khai thác tuyến Metro số 1 Thành phố Hồ Chí Minh</v>
      </c>
      <c r="D84" s="4" t="str">
        <f>IFERROR(__xludf.DUMMYFUNCTION("""COMPUTED_VALUE"""),"Lê Khánh Uyên; Nguyễn Xuân Thuỳ Châu; Võ Thị Thiện; Nguyễn Thái An; Phạm Đăng Khoa")</f>
        <v>Lê Khánh Uyên; Nguyễn Xuân Thuỳ Châu; Võ Thị Thiện; Nguyễn Thái An; Phạm Đăng Khoa</v>
      </c>
      <c r="E84" s="4" t="str">
        <f>IFERROR(__xludf.DUMMYFUNCTION("""COMPUTED_VALUE"""),"Trường Đại học Giao thông vận tải TP. Hồ Chí Minh")</f>
        <v>Trường Đại học Giao thông vận tải TP. Hồ Chí Minh</v>
      </c>
      <c r="F84" s="4" t="str">
        <f>IFERROR(__xludf.DUMMYFUNCTION("""COMPUTED_VALUE"""),"QHKT2026-083.png")</f>
        <v>QHKT2026-083.png</v>
      </c>
    </row>
    <row r="85">
      <c r="A85" s="4" t="str">
        <f>IFERROR(__xludf.DUMMYFUNCTION("""COMPUTED_VALUE"""),"QHKT2026-084")</f>
        <v>QHKT2026-084</v>
      </c>
      <c r="B85" s="4" t="str">
        <f>IFERROR(__xludf.DUMMYFUNCTION("""COMPUTED_VALUE"""),"Quy hoạch, Kiến trúc và Xây dựng")</f>
        <v>Quy hoạch, Kiến trúc và Xây dựng</v>
      </c>
      <c r="C85" s="4" t="str">
        <f>IFERROR(__xludf.DUMMYFUNCTION("""COMPUTED_VALUE"""),"Nghiên cứu ứng dụng công nghệ BIM sử dụng phần mềm Autodesk Revit trong thiết kế và mô phỏng thi công tầng hầm nhà cao tầng")</f>
        <v>Nghiên cứu ứng dụng công nghệ BIM sử dụng phần mềm Autodesk Revit trong thiết kế và mô phỏng thi công tầng hầm nhà cao tầng</v>
      </c>
      <c r="D85" s="4" t="str">
        <f>IFERROR(__xludf.DUMMYFUNCTION("""COMPUTED_VALUE"""),"Nguyễn Hoàng Tùng Lâm; Dương Hà My; Trần Đức Hiệp")</f>
        <v>Nguyễn Hoàng Tùng Lâm; Dương Hà My; Trần Đức Hiệp</v>
      </c>
      <c r="E85" s="4"/>
      <c r="F85" s="4" t="str">
        <f>IFERROR(__xludf.DUMMYFUNCTION("""COMPUTED_VALUE"""),"QHKT2026-084.png")</f>
        <v>QHKT2026-084.png</v>
      </c>
    </row>
    <row r="86">
      <c r="A86" s="4" t="str">
        <f>IFERROR(__xludf.DUMMYFUNCTION("""COMPUTED_VALUE"""),"QHKT2026-085")</f>
        <v>QHKT2026-085</v>
      </c>
      <c r="B86" s="4" t="str">
        <f>IFERROR(__xludf.DUMMYFUNCTION("""COMPUTED_VALUE"""),"Quy hoạch, Kiến trúc và Xây dựng")</f>
        <v>Quy hoạch, Kiến trúc và Xây dựng</v>
      </c>
      <c r="C86" s="4" t="str">
        <f>IFERROR(__xludf.DUMMYFUNCTION("""COMPUTED_VALUE"""),"Nghiên cứu sử dụng cát biển để chế tạo bê tông không xi măng siêu cường độ")</f>
        <v>Nghiên cứu sử dụng cát biển để chế tạo bê tông không xi măng siêu cường độ</v>
      </c>
      <c r="D86" s="4" t="str">
        <f>IFERROR(__xludf.DUMMYFUNCTION("""COMPUTED_VALUE"""),"Nguyễn Sơn Hà; Nguyễn Sơn Hải; Nguyễn Ngọc Hòa; Cao Thanh Hoài; Đạo Phúc Hậu")</f>
        <v>Nguyễn Sơn Hà; Nguyễn Sơn Hải; Nguyễn Ngọc Hòa; Cao Thanh Hoài; Đạo Phúc Hậu</v>
      </c>
      <c r="E86" s="4" t="str">
        <f>IFERROR(__xludf.DUMMYFUNCTION("""COMPUTED_VALUE"""),"Trường Đại học Giao thông vận tải TP. Hồ Chí Minh")</f>
        <v>Trường Đại học Giao thông vận tải TP. Hồ Chí Minh</v>
      </c>
      <c r="F86" s="4" t="str">
        <f>IFERROR(__xludf.DUMMYFUNCTION("""COMPUTED_VALUE"""),"QHKT2026-085.png")</f>
        <v>QHKT2026-085.png</v>
      </c>
    </row>
    <row r="87">
      <c r="A87" s="4" t="str">
        <f>IFERROR(__xludf.DUMMYFUNCTION("""COMPUTED_VALUE"""),"QHKT2026-086")</f>
        <v>QHKT2026-086</v>
      </c>
      <c r="B87" s="4" t="str">
        <f>IFERROR(__xludf.DUMMYFUNCTION("""COMPUTED_VALUE"""),"Quy hoạch, Kiến trúc và Xây dựng")</f>
        <v>Quy hoạch, Kiến trúc và Xây dựng</v>
      </c>
      <c r="C87" s="4" t="str">
        <f>IFERROR(__xludf.DUMMYFUNCTION("""COMPUTED_VALUE"""),"Nghiên cứu chế tạo bê tông nhẹ cường độ siêu cao và các-bon thấp")</f>
        <v>Nghiên cứu chế tạo bê tông nhẹ cường độ siêu cao và các-bon thấp</v>
      </c>
      <c r="D87" s="4" t="str">
        <f>IFERROR(__xludf.DUMMYFUNCTION("""COMPUTED_VALUE"""),"Phan Văn Lợi; Võ Thị Ánh Vy; Lê Võ Văn Phát; Phạm Thị Xuân Mai")</f>
        <v>Phan Văn Lợi; Võ Thị Ánh Vy; Lê Võ Văn Phát; Phạm Thị Xuân Mai</v>
      </c>
      <c r="E87" s="4" t="str">
        <f>IFERROR(__xludf.DUMMYFUNCTION("""COMPUTED_VALUE"""),"Trường Đại học Giao thông vận tải TP. Hồ Chí Minh")</f>
        <v>Trường Đại học Giao thông vận tải TP. Hồ Chí Minh</v>
      </c>
      <c r="F87" s="4" t="str">
        <f>IFERROR(__xludf.DUMMYFUNCTION("""COMPUTED_VALUE"""),"QHKT2026-086.png")</f>
        <v>QHKT2026-086.png</v>
      </c>
    </row>
    <row r="88">
      <c r="A88" s="4" t="str">
        <f>IFERROR(__xludf.DUMMYFUNCTION("""COMPUTED_VALUE"""),"QHKT2026-087")</f>
        <v>QHKT2026-087</v>
      </c>
      <c r="B88" s="4" t="str">
        <f>IFERROR(__xludf.DUMMYFUNCTION("""COMPUTED_VALUE"""),"Quy hoạch, Kiến trúc và Xây dựng")</f>
        <v>Quy hoạch, Kiến trúc và Xây dựng</v>
      </c>
      <c r="C88" s="4" t="str">
        <f>IFERROR(__xludf.DUMMYFUNCTION("""COMPUTED_VALUE"""),"Nghiên cứu và chế tạo vật liệu xanh, bền vững với môi trường từ bã mía")</f>
        <v>Nghiên cứu và chế tạo vật liệu xanh, bền vững với môi trường từ bã mía</v>
      </c>
      <c r="D88" s="4" t="str">
        <f>IFERROR(__xludf.DUMMYFUNCTION("""COMPUTED_VALUE"""),"Nguyễn Tấn Thành; Trần Thái Thiên; Nguyễn Ngọc Thắng; Đào Văn Sang; Lý Huy Hoàng")</f>
        <v>Nguyễn Tấn Thành; Trần Thái Thiên; Nguyễn Ngọc Thắng; Đào Văn Sang; Lý Huy Hoàng</v>
      </c>
      <c r="E88" s="4" t="str">
        <f>IFERROR(__xludf.DUMMYFUNCTION("""COMPUTED_VALUE"""),"Trường Đại học Giao thông vận tải TP. Hồ Chí Minh")</f>
        <v>Trường Đại học Giao thông vận tải TP. Hồ Chí Minh</v>
      </c>
      <c r="F88" s="4" t="str">
        <f>IFERROR(__xludf.DUMMYFUNCTION("""COMPUTED_VALUE"""),"QHKT2026-087.png")</f>
        <v>QHKT2026-087.png</v>
      </c>
    </row>
    <row r="89">
      <c r="A89" s="4" t="str">
        <f>IFERROR(__xludf.DUMMYFUNCTION("""COMPUTED_VALUE"""),"QHKT2026-088")</f>
        <v>QHKT2026-088</v>
      </c>
      <c r="B89" s="4" t="str">
        <f>IFERROR(__xludf.DUMMYFUNCTION("""COMPUTED_VALUE"""),"Quy hoạch, Kiến trúc và Xây dựng")</f>
        <v>Quy hoạch, Kiến trúc và Xây dựng</v>
      </c>
      <c r="C89" s="4" t="str">
        <f>IFERROR(__xludf.DUMMYFUNCTION("""COMPUTED_VALUE"""),"Nghiên cứu, chế tạo vật liệu xây dựng xanh, thân thiện môi trường từ trấu, rơm (rạ) và xơ dừa")</f>
        <v>Nghiên cứu, chế tạo vật liệu xây dựng xanh, thân thiện môi trường từ trấu, rơm (rạ) và xơ dừa</v>
      </c>
      <c r="D89" s="4" t="str">
        <f>IFERROR(__xludf.DUMMYFUNCTION("""COMPUTED_VALUE"""),"Nguyễn Quốc Trọng; Trương Đặng Trung Tín; Trần Đoàn Minh Khoa; Phạm Ngọc Hữu Toàn; Nguyễn Quốc Thoại")</f>
        <v>Nguyễn Quốc Trọng; Trương Đặng Trung Tín; Trần Đoàn Minh Khoa; Phạm Ngọc Hữu Toàn; Nguyễn Quốc Thoại</v>
      </c>
      <c r="E89" s="4" t="str">
        <f>IFERROR(__xludf.DUMMYFUNCTION("""COMPUTED_VALUE"""),"Trường Đại học Giao thông vận tải TP. Hồ Chí Minh")</f>
        <v>Trường Đại học Giao thông vận tải TP. Hồ Chí Minh</v>
      </c>
      <c r="F89" s="4" t="str">
        <f>IFERROR(__xludf.DUMMYFUNCTION("""COMPUTED_VALUE"""),"QHKT2026-088.png")</f>
        <v>QHKT2026-088.png</v>
      </c>
    </row>
    <row r="90">
      <c r="A90" s="4" t="str">
        <f>IFERROR(__xludf.DUMMYFUNCTION("""COMPUTED_VALUE"""),"QHKT2026-089")</f>
        <v>QHKT2026-089</v>
      </c>
      <c r="B90" s="4" t="str">
        <f>IFERROR(__xludf.DUMMYFUNCTION("""COMPUTED_VALUE"""),"Quy hoạch, Kiến trúc và Xây dựng")</f>
        <v>Quy hoạch, Kiến trúc và Xây dựng</v>
      </c>
      <c r="C90" s="4" t="str">
        <f>IFERROR(__xludf.DUMMYFUNCTION("""COMPUTED_VALUE"""),"Đánh giá hiệu quả hệ thống thoát hiểm trong tình huống cháy tại nhà ga hành khách")</f>
        <v>Đánh giá hiệu quả hệ thống thoát hiểm trong tình huống cháy tại nhà ga hành khách</v>
      </c>
      <c r="D90" s="4" t="str">
        <f>IFERROR(__xludf.DUMMYFUNCTION("""COMPUTED_VALUE"""),"Nguyễn Trúc Lin Na; Nguyễn Khánh Linh; Nguyễn Thu Trang; Nguyễn Ngọc Khánh Nhung; Hoàng Văn Hùng")</f>
        <v>Nguyễn Trúc Lin Na; Nguyễn Khánh Linh; Nguyễn Thu Trang; Nguyễn Ngọc Khánh Nhung; Hoàng Văn Hùng</v>
      </c>
      <c r="E90" s="4" t="str">
        <f>IFERROR(__xludf.DUMMYFUNCTION("""COMPUTED_VALUE"""),"Học viện Hàng không Việt Nam")</f>
        <v>Học viện Hàng không Việt Nam</v>
      </c>
      <c r="F90" s="4" t="str">
        <f>IFERROR(__xludf.DUMMYFUNCTION("""COMPUTED_VALUE"""),"QHKT2026-089.png")</f>
        <v>QHKT2026-089.png</v>
      </c>
    </row>
    <row r="91">
      <c r="A91" s="4" t="str">
        <f>IFERROR(__xludf.DUMMYFUNCTION("""COMPUTED_VALUE"""),"QHKT2026-090")</f>
        <v>QHKT2026-090</v>
      </c>
      <c r="B91" s="4" t="str">
        <f>IFERROR(__xludf.DUMMYFUNCTION("""COMPUTED_VALUE"""),"Quy hoạch, Kiến trúc và Xây dựng")</f>
        <v>Quy hoạch, Kiến trúc và Xây dựng</v>
      </c>
      <c r="C91" s="4" t="str">
        <f>IFERROR(__xludf.DUMMYFUNCTION("""COMPUTED_VALUE"""),"Nghiên cứu chế tạo và đánh giá tính chất của bê tông nhẹ sử dụng hạt polystyrene và chất kết dính geopolymer")</f>
        <v>Nghiên cứu chế tạo và đánh giá tính chất của bê tông nhẹ sử dụng hạt polystyrene và chất kết dính geopolymer</v>
      </c>
      <c r="D91" s="4" t="str">
        <f>IFERROR(__xludf.DUMMYFUNCTION("""COMPUTED_VALUE"""),"Nguyễn Thanh Thảo; Nguyễn Lê Duy Đăng; Văn Thành Long; Trần Tuấn Kiệt")</f>
        <v>Nguyễn Thanh Thảo; Nguyễn Lê Duy Đăng; Văn Thành Long; Trần Tuấn Kiệt</v>
      </c>
      <c r="E91" s="4" t="str">
        <f>IFERROR(__xludf.DUMMYFUNCTION("""COMPUTED_VALUE"""),"Trường Đại học Xây dựng Miền Tây")</f>
        <v>Trường Đại học Xây dựng Miền Tây</v>
      </c>
      <c r="F91" s="4" t="str">
        <f>IFERROR(__xludf.DUMMYFUNCTION("""COMPUTED_VALUE"""),"QHKT2026-090.png")</f>
        <v>QHKT2026-090.png</v>
      </c>
    </row>
    <row r="92">
      <c r="A92" s="4" t="str">
        <f>IFERROR(__xludf.DUMMYFUNCTION("""COMPUTED_VALUE"""),"QHKT2026-091")</f>
        <v>QHKT2026-091</v>
      </c>
      <c r="B92" s="4" t="str">
        <f>IFERROR(__xludf.DUMMYFUNCTION("""COMPUTED_VALUE"""),"Quy hoạch, Kiến trúc và Xây dựng")</f>
        <v>Quy hoạch, Kiến trúc và Xây dựng</v>
      </c>
      <c r="C92" s="4" t="str">
        <f>IFERROR(__xludf.DUMMYFUNCTION("""COMPUTED_VALUE"""),"A DEEP LEARNING-BASED REAL-TIME VIDEO SYSTEM FOR LANDSLIDE AND DEBRIS FLOW EARLY WARNING")</f>
        <v>A DEEP LEARNING-BASED REAL-TIME VIDEO SYSTEM FOR LANDSLIDE AND DEBRIS FLOW EARLY WARNING</v>
      </c>
      <c r="D92" s="4" t="str">
        <f>IFERROR(__xludf.DUMMYFUNCTION("""COMPUTED_VALUE"""),"Huỳnh Tấn Lộc; Lê Duy Nguyễn")</f>
        <v>Huỳnh Tấn Lộc; Lê Duy Nguyễn</v>
      </c>
      <c r="E92" s="4" t="str">
        <f>IFERROR(__xludf.DUMMYFUNCTION("""COMPUTED_VALUE"""),"Trường Đại học Quốc Tế, ĐHQG-HCM")</f>
        <v>Trường Đại học Quốc Tế, ĐHQG-HCM</v>
      </c>
      <c r="F92" s="4" t="str">
        <f>IFERROR(__xludf.DUMMYFUNCTION("""COMPUTED_VALUE"""),"QHKT2026-091.png")</f>
        <v>QHKT2026-091.png</v>
      </c>
    </row>
    <row r="93">
      <c r="A93" s="4" t="str">
        <f>IFERROR(__xludf.DUMMYFUNCTION("""COMPUTED_VALUE"""),"QHKT2026-092")</f>
        <v>QHKT2026-092</v>
      </c>
      <c r="B93" s="4" t="str">
        <f>IFERROR(__xludf.DUMMYFUNCTION("""COMPUTED_VALUE"""),"Quy hoạch, Kiến trúc và Xây dựng")</f>
        <v>Quy hoạch, Kiến trúc và Xây dựng</v>
      </c>
      <c r="C93" s="4" t="str">
        <f>IFERROR(__xludf.DUMMYFUNCTION("""COMPUTED_VALUE"""),"ỨNG DỤNG HỌC MÁY TRONG PHÂN TÍCH ẢNH HƯỞNG CỦA CÁC THÔNG SỐ ĐẦU VÀO ĐẾN LỰC CHẢY CỦA THÉP BỊ ĂN MÒN VÀ ĐÁNH GIÁ HIỆU SUẤT CÁC MÔ HÌNH DỰ BÁO")</f>
        <v>ỨNG DỤNG HỌC MÁY TRONG PHÂN TÍCH ẢNH HƯỞNG CỦA CÁC THÔNG SỐ ĐẦU VÀO ĐẾN LỰC CHẢY CỦA THÉP BỊ ĂN MÒN VÀ ĐÁNH GIÁ HIỆU SUẤT CÁC MÔ HÌNH DỰ BÁO</v>
      </c>
      <c r="D93" s="4" t="str">
        <f>IFERROR(__xludf.DUMMYFUNCTION("""COMPUTED_VALUE"""),"Lê Tường Vân; Võ Bảo Thuận")</f>
        <v>Lê Tường Vân; Võ Bảo Thuận</v>
      </c>
      <c r="E93" s="4" t="str">
        <f>IFERROR(__xludf.DUMMYFUNCTION("""COMPUTED_VALUE"""),"Trường Đại học Bách Khoa, ĐHQG-HCM")</f>
        <v>Trường Đại học Bách Khoa, ĐHQG-HCM</v>
      </c>
      <c r="F93" s="4" t="str">
        <f>IFERROR(__xludf.DUMMYFUNCTION("""COMPUTED_VALUE"""),"QHKT2026-092.png")</f>
        <v>QHKT2026-092.png</v>
      </c>
    </row>
    <row r="94">
      <c r="A94" s="4" t="str">
        <f>IFERROR(__xludf.DUMMYFUNCTION("""COMPUTED_VALUE"""),"QHKT2026-093")</f>
        <v>QHKT2026-093</v>
      </c>
      <c r="B94" s="4" t="str">
        <f>IFERROR(__xludf.DUMMYFUNCTION("""COMPUTED_VALUE"""),"Quy hoạch, Kiến trúc và Xây dựng")</f>
        <v>Quy hoạch, Kiến trúc và Xây dựng</v>
      </c>
      <c r="C94" s="4" t="str">
        <f>IFERROR(__xludf.DUMMYFUNCTION("""COMPUTED_VALUE"""),"NGHIÊN CỨU GẠCH ỐP TIÊU ÂM VÀ LÀM MÁT SINH HỌC TỪ PHẾ PHẨM VỎ SẦU RIÊNG THEO MÔ HÌNH KINH TẾ TUẦN HOÀN VÀ QUẢN LÝ CHẤT LƯỢNG THÔNG MINH")</f>
        <v>NGHIÊN CỨU GẠCH ỐP TIÊU ÂM VÀ LÀM MÁT SINH HỌC TỪ PHẾ PHẨM VỎ SẦU RIÊNG THEO MÔ HÌNH KINH TẾ TUẦN HOÀN VÀ QUẢN LÝ CHẤT LƯỢNG THÔNG MINH</v>
      </c>
      <c r="D94" s="4" t="str">
        <f>IFERROR(__xludf.DUMMYFUNCTION("""COMPUTED_VALUE"""),"Mai Hoàng Thiên Thư; Trần Đoàn Thành Tài; Nguyễn Ngọc Phương Vy; Phạm Phương Ái Linh; Nguyễn Duy Anh")</f>
        <v>Mai Hoàng Thiên Thư; Trần Đoàn Thành Tài; Nguyễn Ngọc Phương Vy; Phạm Phương Ái Linh; Nguyễn Duy Anh</v>
      </c>
      <c r="E94" s="4" t="str">
        <f>IFERROR(__xludf.DUMMYFUNCTION("""COMPUTED_VALUE"""),"Trường Đại học Bách Khoa, ĐHQG-HCM")</f>
        <v>Trường Đại học Bách Khoa, ĐHQG-HCM</v>
      </c>
      <c r="F94" s="4" t="str">
        <f>IFERROR(__xludf.DUMMYFUNCTION("""COMPUTED_VALUE"""),"QHKT2026-093.png")</f>
        <v>QHKT2026-093.png</v>
      </c>
    </row>
    <row r="95">
      <c r="A95" s="4" t="str">
        <f>IFERROR(__xludf.DUMMYFUNCTION("""COMPUTED_VALUE"""),"QHKT2026-094")</f>
        <v>QHKT2026-094</v>
      </c>
      <c r="B95" s="4" t="str">
        <f>IFERROR(__xludf.DUMMYFUNCTION("""COMPUTED_VALUE"""),"Quy hoạch, Kiến trúc và Xây dựng")</f>
        <v>Quy hoạch, Kiến trúc và Xây dựng</v>
      </c>
      <c r="C95" s="4" t="str">
        <f>IFERROR(__xludf.DUMMYFUNCTION("""COMPUTED_VALUE"""),"PHÁT TRIỂN HỆ THỐNG TÍCH HỢP SHM-BIM-VR: TRƯỜNG HỢP NGHIÊN CỨU CHO NHÀ CAO TẦNG")</f>
        <v>PHÁT TRIỂN HỆ THỐNG TÍCH HỢP SHM-BIM-VR: TRƯỜNG HỢP NGHIÊN CỨU CHO NHÀ CAO TẦNG</v>
      </c>
      <c r="D95" s="4" t="str">
        <f>IFERROR(__xludf.DUMMYFUNCTION("""COMPUTED_VALUE"""),"Nguyễn Nhật Quang; Nguyễn Nhật Nam; Vũ Lê Minh Thư")</f>
        <v>Nguyễn Nhật Quang; Nguyễn Nhật Nam; Vũ Lê Minh Thư</v>
      </c>
      <c r="E95" s="4" t="str">
        <f>IFERROR(__xludf.DUMMYFUNCTION("""COMPUTED_VALUE"""),"Trường Đại học Bách Khoa, ĐHQG-HCM")</f>
        <v>Trường Đại học Bách Khoa, ĐHQG-HCM</v>
      </c>
      <c r="F95" s="4" t="str">
        <f>IFERROR(__xludf.DUMMYFUNCTION("""COMPUTED_VALUE"""),"QHKT2026-094.png")</f>
        <v>QHKT2026-094.png</v>
      </c>
    </row>
    <row r="96">
      <c r="A96" s="4" t="str">
        <f>IFERROR(__xludf.DUMMYFUNCTION("""COMPUTED_VALUE"""),"QHKT2026-095")</f>
        <v>QHKT2026-095</v>
      </c>
      <c r="B96" s="4" t="str">
        <f>IFERROR(__xludf.DUMMYFUNCTION("""COMPUTED_VALUE"""),"Quy hoạch, Kiến trúc và Xây dựng")</f>
        <v>Quy hoạch, Kiến trúc và Xây dựng</v>
      </c>
      <c r="C96" s="4" t="str">
        <f>IFERROR(__xludf.DUMMYFUNCTION("""COMPUTED_VALUE"""),"THEO DÕI VÀ CHẨN ĐOÁN GÓC XOAY BU LÔNG TRONG KẾT CẤU THÉP BẰNG THỊ GIÁC MÁY TÍNH KẾT HỢP HỌC SÂU")</f>
        <v>THEO DÕI VÀ CHẨN ĐOÁN GÓC XOAY BU LÔNG TRONG KẾT CẤU THÉP BẰNG THỊ GIÁC MÁY TÍNH KẾT HỢP HỌC SÂU</v>
      </c>
      <c r="D96" s="4" t="str">
        <f>IFERROR(__xludf.DUMMYFUNCTION("""COMPUTED_VALUE"""),"Nguyễn Đoàn Đăng Khôi; Phan Chí Nhân; Trần Minh Huy")</f>
        <v>Nguyễn Đoàn Đăng Khôi; Phan Chí Nhân; Trần Minh Huy</v>
      </c>
      <c r="E96" s="4" t="str">
        <f>IFERROR(__xludf.DUMMYFUNCTION("""COMPUTED_VALUE"""),"Trường Đại học Bách Khoa, ĐHQG-HCM")</f>
        <v>Trường Đại học Bách Khoa, ĐHQG-HCM</v>
      </c>
      <c r="F96" s="4" t="str">
        <f>IFERROR(__xludf.DUMMYFUNCTION("""COMPUTED_VALUE"""),"QHKT2026-095.png")</f>
        <v>QHKT2026-095.png</v>
      </c>
    </row>
    <row r="97">
      <c r="A97" s="4" t="str">
        <f>IFERROR(__xludf.DUMMYFUNCTION("""COMPUTED_VALUE"""),"QHKT2026-096")</f>
        <v>QHKT2026-096</v>
      </c>
      <c r="B97" s="4" t="str">
        <f>IFERROR(__xludf.DUMMYFUNCTION("""COMPUTED_VALUE"""),"Quy hoạch, Kiến trúc và Xây dựng")</f>
        <v>Quy hoạch, Kiến trúc và Xây dựng</v>
      </c>
      <c r="C97" s="4" t="str">
        <f>IFERROR(__xludf.DUMMYFUNCTION("""COMPUTED_VALUE"""),"TƯƠNG TÁC ĐẤT NỀN - KẾT CẦU DƯỚI TÁC DỤNG TẢI TRỌNG TÀU METRO NGẦM VÀ PHƯƠNG PHÁP GIẢM RUNG BẰNG CỌC VÔI - XI MĂNG: NGHIÊN CỨU TRƯỜNG HỢP TUYỂN METRO SỐ 2 TP.HCM")</f>
        <v>TƯƠNG TÁC ĐẤT NỀN - KẾT CẦU DƯỚI TÁC DỤNG TẢI TRỌNG TÀU METRO NGẦM VÀ PHƯƠNG PHÁP GIẢM RUNG BẰNG CỌC VÔI - XI MĂNG: NGHIÊN CỨU TRƯỜNG HỢP TUYỂN METRO SỐ 2 TP.HCM</v>
      </c>
      <c r="D97" s="4" t="str">
        <f>IFERROR(__xludf.DUMMYFUNCTION("""COMPUTED_VALUE"""),"Lê Ngọc Vĩnh Ân; Lê Gia Bảo; Phạm Bảo Huy; Nguyễn Hoàng Quân; Nguyễn Trung Tín")</f>
        <v>Lê Ngọc Vĩnh Ân; Lê Gia Bảo; Phạm Bảo Huy; Nguyễn Hoàng Quân; Nguyễn Trung Tín</v>
      </c>
      <c r="E97" s="4" t="str">
        <f>IFERROR(__xludf.DUMMYFUNCTION("""COMPUTED_VALUE"""),"Trường Đại học Bách Khoa, ĐHQG-HCM")</f>
        <v>Trường Đại học Bách Khoa, ĐHQG-HCM</v>
      </c>
      <c r="F97" s="4" t="str">
        <f>IFERROR(__xludf.DUMMYFUNCTION("""COMPUTED_VALUE"""),"QHKT2026-096.png")</f>
        <v>QHKT2026-096.png</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6.86"/>
    <col customWidth="1" min="3" max="3" width="230.43"/>
    <col customWidth="1" min="4" max="4" width="111.29"/>
    <col customWidth="1" min="5" max="5" width="53.29"/>
    <col customWidth="1" min="6" max="6" width="18.86"/>
  </cols>
  <sheetData>
    <row r="1">
      <c r="A1" s="1" t="s">
        <v>0</v>
      </c>
      <c r="B1" s="1" t="s">
        <v>1</v>
      </c>
      <c r="C1" s="1" t="s">
        <v>2</v>
      </c>
      <c r="D1" s="1" t="s">
        <v>3</v>
      </c>
      <c r="E1" s="1" t="s">
        <v>4</v>
      </c>
      <c r="F1" s="1" t="s">
        <v>5</v>
      </c>
    </row>
    <row r="2">
      <c r="A2" s="4" t="str">
        <f>IFERROR(__xludf.DUMMYFUNCTION("FILTER('Danh sach'!A2:F2184, 'Danh sach'!B2:B2184=""Khoa học Y, Dược"")"),"KHYD2026-001")</f>
        <v>KHYD2026-001</v>
      </c>
      <c r="B2" s="4" t="str">
        <f>IFERROR(__xludf.DUMMYFUNCTION("""COMPUTED_VALUE"""),"Khoa học Y, Dược")</f>
        <v>Khoa học Y, Dược</v>
      </c>
      <c r="C2" s="4" t="str">
        <f>IFERROR(__xludf.DUMMYFUNCTION("""COMPUTED_VALUE"""),"Application of the antibacterial, antioxidant and anti-inflammatory properties of crude extract from Eclipta prostrata L. in the formulation herbal cream for acne treatment")</f>
        <v>Application of the antibacterial, antioxidant and anti-inflammatory properties of crude extract from Eclipta prostrata L. in the formulation herbal cream for acne treatment</v>
      </c>
      <c r="D2" s="4" t="str">
        <f>IFERROR(__xludf.DUMMYFUNCTION("""COMPUTED_VALUE"""),"Trần Hoàng Yến; Đặng Hoàng Gia; Nguyễn Khắc Định")</f>
        <v>Trần Hoàng Yến; Đặng Hoàng Gia; Nguyễn Khắc Định</v>
      </c>
      <c r="E2" s="4" t="str">
        <f>IFERROR(__xludf.DUMMYFUNCTION("""COMPUTED_VALUE"""),"Trường Đại học Tôn Đức Thắng")</f>
        <v>Trường Đại học Tôn Đức Thắng</v>
      </c>
      <c r="F2" s="4" t="str">
        <f>IFERROR(__xludf.DUMMYFUNCTION("""COMPUTED_VALUE"""),"KHYD2026-001.png")</f>
        <v>KHYD2026-001.png</v>
      </c>
    </row>
    <row r="3">
      <c r="A3" s="4" t="str">
        <f>IFERROR(__xludf.DUMMYFUNCTION("""COMPUTED_VALUE"""),"KHYD2026-002")</f>
        <v>KHYD2026-002</v>
      </c>
      <c r="B3" s="4" t="str">
        <f>IFERROR(__xludf.DUMMYFUNCTION("""COMPUTED_VALUE"""),"Khoa học Y, Dược")</f>
        <v>Khoa học Y, Dược</v>
      </c>
      <c r="C3" s="4" t="str">
        <f>IFERROR(__xludf.DUMMYFUNCTION("""COMPUTED_VALUE"""),"Thiết kế và tổng hợp vật liệu poly (β-amino ester) định hướng làm giá mang nano trong phân phối ovalbumin")</f>
        <v>Thiết kế và tổng hợp vật liệu poly (β-amino ester) định hướng làm giá mang nano trong phân phối ovalbumin</v>
      </c>
      <c r="D3" s="4" t="str">
        <f>IFERROR(__xludf.DUMMYFUNCTION("""COMPUTED_VALUE"""),"Đào Ngọc Nga; Lâm Công Thức")</f>
        <v>Đào Ngọc Nga; Lâm Công Thức</v>
      </c>
      <c r="E3" s="4" t="str">
        <f>IFERROR(__xludf.DUMMYFUNCTION("""COMPUTED_VALUE"""),"Trường Đại học Tôn Đức Thắng")</f>
        <v>Trường Đại học Tôn Đức Thắng</v>
      </c>
      <c r="F3" s="4" t="str">
        <f>IFERROR(__xludf.DUMMYFUNCTION("""COMPUTED_VALUE"""),"KHYD2026-002.png")</f>
        <v>KHYD2026-002.png</v>
      </c>
    </row>
    <row r="4">
      <c r="A4" s="4" t="str">
        <f>IFERROR(__xludf.DUMMYFUNCTION("""COMPUTED_VALUE"""),"KHYD2026-003")</f>
        <v>KHYD2026-003</v>
      </c>
      <c r="B4" s="4" t="str">
        <f>IFERROR(__xludf.DUMMYFUNCTION("""COMPUTED_VALUE"""),"Khoa học Y, Dược")</f>
        <v>Khoa học Y, Dược</v>
      </c>
      <c r="C4" s="4" t="str">
        <f>IFERROR(__xludf.DUMMYFUNCTION("""COMPUTED_VALUE"""),"Phát triển hệ tá dược bổ trợ vaccine đồng vận chuyển resiquimod và muối nhôm ứng dụng trong tăng cường và điều hòa đáp ứng miễn dịch với kháng nguyên protein")</f>
        <v>Phát triển hệ tá dược bổ trợ vaccine đồng vận chuyển resiquimod và muối nhôm ứng dụng trong tăng cường và điều hòa đáp ứng miễn dịch với kháng nguyên protein</v>
      </c>
      <c r="D4" s="4" t="str">
        <f>IFERROR(__xludf.DUMMYFUNCTION("""COMPUTED_VALUE"""),"Nguyễn Bảo Nhi; Nguyễn Hoàng Kim Khánh; Lê Thị Linh Đan; Vương Chí Hào")</f>
        <v>Nguyễn Bảo Nhi; Nguyễn Hoàng Kim Khánh; Lê Thị Linh Đan; Vương Chí Hào</v>
      </c>
      <c r="E4" s="4" t="str">
        <f>IFERROR(__xludf.DUMMYFUNCTION("""COMPUTED_VALUE"""),"Trường Đại học Tôn Đức Thắng")</f>
        <v>Trường Đại học Tôn Đức Thắng</v>
      </c>
      <c r="F4" s="4" t="str">
        <f>IFERROR(__xludf.DUMMYFUNCTION("""COMPUTED_VALUE"""),"KHYD2026-003.png")</f>
        <v>KHYD2026-003.png</v>
      </c>
    </row>
    <row r="5">
      <c r="A5" s="4" t="str">
        <f>IFERROR(__xludf.DUMMYFUNCTION("""COMPUTED_VALUE"""),"KHYD2026-004")</f>
        <v>KHYD2026-004</v>
      </c>
      <c r="B5" s="4" t="str">
        <f>IFERROR(__xludf.DUMMYFUNCTION("""COMPUTED_VALUE"""),"Khoa học Y, Dược")</f>
        <v>Khoa học Y, Dược</v>
      </c>
      <c r="C5" s="4" t="str">
        <f>IFERROR(__xludf.DUMMYFUNCTION("""COMPUTED_VALUE"""),"Phát triển hệ giá mang hybrid liposome-polydopamine ứng dụng vận chuyển thuốc chọn lọc tế bào đích, đánh giá hiệu quả kháng ung thư và kháng viêm")</f>
        <v>Phát triển hệ giá mang hybrid liposome-polydopamine ứng dụng vận chuyển thuốc chọn lọc tế bào đích, đánh giá hiệu quả kháng ung thư và kháng viêm</v>
      </c>
      <c r="D5" s="4" t="str">
        <f>IFERROR(__xludf.DUMMYFUNCTION("""COMPUTED_VALUE"""),"Nguyễn Hoàng Phúc; Võ Thanh Hương; Huỳnh Nguyễn Minh Thư; Võ Văn Vinh; Nguyễn Thị Quỳnh Như")</f>
        <v>Nguyễn Hoàng Phúc; Võ Thanh Hương; Huỳnh Nguyễn Minh Thư; Võ Văn Vinh; Nguyễn Thị Quỳnh Như</v>
      </c>
      <c r="E5" s="4" t="str">
        <f>IFERROR(__xludf.DUMMYFUNCTION("""COMPUTED_VALUE"""),"Trường Đại học Tôn Đức Thắng")</f>
        <v>Trường Đại học Tôn Đức Thắng</v>
      </c>
      <c r="F5" s="4" t="str">
        <f>IFERROR(__xludf.DUMMYFUNCTION("""COMPUTED_VALUE"""),"KHYD2026-004.png")</f>
        <v>KHYD2026-004.png</v>
      </c>
    </row>
    <row r="6">
      <c r="A6" s="4" t="str">
        <f>IFERROR(__xludf.DUMMYFUNCTION("""COMPUTED_VALUE"""),"KHYD2026-005")</f>
        <v>KHYD2026-005</v>
      </c>
      <c r="B6" s="4" t="str">
        <f>IFERROR(__xludf.DUMMYFUNCTION("""COMPUTED_VALUE"""),"Khoa học Y, Dược")</f>
        <v>Khoa học Y, Dược</v>
      </c>
      <c r="C6" s="4" t="str">
        <f>IFERROR(__xludf.DUMMYFUNCTION("""COMPUTED_VALUE"""),"Đánh giá hoạt tính chống oxy hoá, bảo vệ dạ dày của cao đặc lá Bần không cánh (Sonneratia apetala)")</f>
        <v>Đánh giá hoạt tính chống oxy hoá, bảo vệ dạ dày của cao đặc lá Bần không cánh (Sonneratia apetala)</v>
      </c>
      <c r="D6" s="4" t="str">
        <f>IFERROR(__xludf.DUMMYFUNCTION("""COMPUTED_VALUE"""),"Ngô Thị Thu Hà; Nguyễn Kim Ngọc; Nguyễn Văn Thuận; Nguyễn Hồng Thái")</f>
        <v>Ngô Thị Thu Hà; Nguyễn Kim Ngọc; Nguyễn Văn Thuận; Nguyễn Hồng Thái</v>
      </c>
      <c r="E6" s="4" t="str">
        <f>IFERROR(__xludf.DUMMYFUNCTION("""COMPUTED_VALUE"""),"Trường Đại học Nguyễn Tất Thành")</f>
        <v>Trường Đại học Nguyễn Tất Thành</v>
      </c>
      <c r="F6" s="4" t="str">
        <f>IFERROR(__xludf.DUMMYFUNCTION("""COMPUTED_VALUE"""),"KHYD2026-005.png")</f>
        <v>KHYD2026-005.png</v>
      </c>
    </row>
    <row r="7">
      <c r="A7" s="4" t="str">
        <f>IFERROR(__xludf.DUMMYFUNCTION("""COMPUTED_VALUE"""),"KHYD2026-006")</f>
        <v>KHYD2026-006</v>
      </c>
      <c r="B7" s="4" t="str">
        <f>IFERROR(__xludf.DUMMYFUNCTION("""COMPUTED_VALUE"""),"Khoa học Y, Dược")</f>
        <v>Khoa học Y, Dược</v>
      </c>
      <c r="C7" s="4" t="str">
        <f>IFERROR(__xludf.DUMMYFUNCTION("""COMPUTED_VALUE"""),"NGHIÊN CỨU ĐỘC TÍNH CẤP VÀ TÁC DỤNG GIẢM CÂN CỦA HỖN HỢP CAO CHIẾT LÁ SEN, THÂN RỄ NGHỆ VÀ THÂN RỄ HOÀNG LIÊN TRÊN MÔ HÌNH CHUỘT")</f>
        <v>NGHIÊN CỨU ĐỘC TÍNH CẤP VÀ TÁC DỤNG GIẢM CÂN CỦA HỖN HỢP CAO CHIẾT LÁ SEN, THÂN RỄ NGHỆ VÀ THÂN RỄ HOÀNG LIÊN TRÊN MÔ HÌNH CHUỘT</v>
      </c>
      <c r="D7" s="4" t="str">
        <f>IFERROR(__xludf.DUMMYFUNCTION("""COMPUTED_VALUE"""),"Nguyễn Đức Hoài Nam; Trần Thị Mỹ Duyên; Nguyễn Chí Khanh; Nguyễn Võ Đăng Khoa")</f>
        <v>Nguyễn Đức Hoài Nam; Trần Thị Mỹ Duyên; Nguyễn Chí Khanh; Nguyễn Võ Đăng Khoa</v>
      </c>
      <c r="E7" s="4" t="str">
        <f>IFERROR(__xludf.DUMMYFUNCTION("""COMPUTED_VALUE"""),"Trường Đại học Nguyễn Tất Thành")</f>
        <v>Trường Đại học Nguyễn Tất Thành</v>
      </c>
      <c r="F7" s="4" t="str">
        <f>IFERROR(__xludf.DUMMYFUNCTION("""COMPUTED_VALUE"""),"KHYD2026-006.png")</f>
        <v>KHYD2026-006.png</v>
      </c>
    </row>
    <row r="8">
      <c r="A8" s="4" t="str">
        <f>IFERROR(__xludf.DUMMYFUNCTION("""COMPUTED_VALUE"""),"KHYD2026-007")</f>
        <v>KHYD2026-007</v>
      </c>
      <c r="B8" s="4" t="str">
        <f>IFERROR(__xludf.DUMMYFUNCTION("""COMPUTED_VALUE"""),"Khoa học Y, Dược")</f>
        <v>Khoa học Y, Dược</v>
      </c>
      <c r="C8" s="4" t="str">
        <f>IFERROR(__xludf.DUMMYFUNCTION("""COMPUTED_VALUE"""),"TÌNH HÌNH SỬ DỤNG THUỐC ĐIỀU TRỊ UNG THƯ BIỂU MÔ TẾ BÀO GAN TRÊN NGƯỜI BỆNH ĐIỀU TRỊ NGOẠI TRÚ TẠI BỆNH VIỆN NHÂN DÂN GIA ĐỊNH NĂM 2025")</f>
        <v>TÌNH HÌNH SỬ DỤNG THUỐC ĐIỀU TRỊ UNG THƯ BIỂU MÔ TẾ BÀO GAN TRÊN NGƯỜI BỆNH ĐIỀU TRỊ NGOẠI TRÚ TẠI BỆNH VIỆN NHÂN DÂN GIA ĐỊNH NĂM 2025</v>
      </c>
      <c r="D8" s="4" t="str">
        <f>IFERROR(__xludf.DUMMYFUNCTION("""COMPUTED_VALUE"""),"Huỳnh Hoàng Anh; Nguyễn Vũ Bích Ngọc; Khương Ngọc Phú; Nguyễn Yến Nhi; Nguyễn Thị Minh Tâm")</f>
        <v>Huỳnh Hoàng Anh; Nguyễn Vũ Bích Ngọc; Khương Ngọc Phú; Nguyễn Yến Nhi; Nguyễn Thị Minh Tâm</v>
      </c>
      <c r="E8" s="4" t="str">
        <f>IFERROR(__xludf.DUMMYFUNCTION("""COMPUTED_VALUE"""),"Trường Đại học Nguyễn Tất Thành")</f>
        <v>Trường Đại học Nguyễn Tất Thành</v>
      </c>
      <c r="F8" s="4" t="str">
        <f>IFERROR(__xludf.DUMMYFUNCTION("""COMPUTED_VALUE"""),"KHYD2026-007.png")</f>
        <v>KHYD2026-007.png</v>
      </c>
    </row>
    <row r="9">
      <c r="A9" s="4" t="str">
        <f>IFERROR(__xludf.DUMMYFUNCTION("""COMPUTED_VALUE"""),"KHYD2026-008")</f>
        <v>KHYD2026-008</v>
      </c>
      <c r="B9" s="4" t="str">
        <f>IFERROR(__xludf.DUMMYFUNCTION("""COMPUTED_VALUE"""),"Khoa học Y, Dược")</f>
        <v>Khoa học Y, Dược</v>
      </c>
      <c r="C9" s="4" t="str">
        <f>IFERROR(__xludf.DUMMYFUNCTION("""COMPUTED_VALUE"""),"TUÂN THỦ SỬ DỤNG THUỐC ỨC CHẾ TYROSINE KINASE TRÊN NGƯỜI BỆNH UNG THƯ ĐIỀU TRỊ NGOẠI TRÚ TẠI BỆNH VIỆN NHÂN DÂN GIA ĐỊNH")</f>
        <v>TUÂN THỦ SỬ DỤNG THUỐC ỨC CHẾ TYROSINE KINASE TRÊN NGƯỜI BỆNH UNG THƯ ĐIỀU TRỊ NGOẠI TRÚ TẠI BỆNH VIỆN NHÂN DÂN GIA ĐỊNH</v>
      </c>
      <c r="D9" s="4" t="str">
        <f>IFERROR(__xludf.DUMMYFUNCTION("""COMPUTED_VALUE"""),"Khương Ngọc Phú; Nguyễn Yến Nhi; Nguyễn Thị Minh Tâm; Huỳnh Hoàng Anh; Nguyễn Vũ Bích Ngọc")</f>
        <v>Khương Ngọc Phú; Nguyễn Yến Nhi; Nguyễn Thị Minh Tâm; Huỳnh Hoàng Anh; Nguyễn Vũ Bích Ngọc</v>
      </c>
      <c r="E9" s="4" t="str">
        <f>IFERROR(__xludf.DUMMYFUNCTION("""COMPUTED_VALUE"""),"Trường Đại học Nguyễn Tất Thành")</f>
        <v>Trường Đại học Nguyễn Tất Thành</v>
      </c>
      <c r="F9" s="4" t="str">
        <f>IFERROR(__xludf.DUMMYFUNCTION("""COMPUTED_VALUE"""),"KHYD2026-008.png")</f>
        <v>KHYD2026-008.png</v>
      </c>
    </row>
    <row r="10">
      <c r="A10" s="4" t="str">
        <f>IFERROR(__xludf.DUMMYFUNCTION("""COMPUTED_VALUE"""),"KHYD2026-009")</f>
        <v>KHYD2026-009</v>
      </c>
      <c r="B10" s="4" t="str">
        <f>IFERROR(__xludf.DUMMYFUNCTION("""COMPUTED_VALUE"""),"Khoa học Y, Dược")</f>
        <v>Khoa học Y, Dược</v>
      </c>
      <c r="C10" s="4" t="str">
        <f>IFERROR(__xludf.DUMMYFUNCTION("""COMPUTED_VALUE"""),"Tương tác thuốc có ý nghĩa lâm sàng và các yếu tố liên quan ở người bệnh đái tháo đường típ 2 có tăng huyết áp điều trị ngoại trú tại Bệnh viện Nhân Dân Gia Định")</f>
        <v>Tương tác thuốc có ý nghĩa lâm sàng và các yếu tố liên quan ở người bệnh đái tháo đường típ 2 có tăng huyết áp điều trị ngoại trú tại Bệnh viện Nhân Dân Gia Định</v>
      </c>
      <c r="D10" s="4" t="str">
        <f>IFERROR(__xludf.DUMMYFUNCTION("""COMPUTED_VALUE"""),"Huỳnh Thủy Tiên; Nguyễn Thị Thanh Nga; Nguyễn Thị Tuyết Mi; Lê Thị Thanh Tuyền; Phạm Tấn Lộc")</f>
        <v>Huỳnh Thủy Tiên; Nguyễn Thị Thanh Nga; Nguyễn Thị Tuyết Mi; Lê Thị Thanh Tuyền; Phạm Tấn Lộc</v>
      </c>
      <c r="E10" s="4" t="str">
        <f>IFERROR(__xludf.DUMMYFUNCTION("""COMPUTED_VALUE"""),"Trường Đại học Nguyễn Tất Thành")</f>
        <v>Trường Đại học Nguyễn Tất Thành</v>
      </c>
      <c r="F10" s="4" t="str">
        <f>IFERROR(__xludf.DUMMYFUNCTION("""COMPUTED_VALUE"""),"KHYD2026-009.png")</f>
        <v>KHYD2026-009.png</v>
      </c>
    </row>
    <row r="11">
      <c r="A11" s="4" t="str">
        <f>IFERROR(__xludf.DUMMYFUNCTION("""COMPUTED_VALUE"""),"KHYD2026-010")</f>
        <v>KHYD2026-010</v>
      </c>
      <c r="B11" s="4" t="str">
        <f>IFERROR(__xludf.DUMMYFUNCTION("""COMPUTED_VALUE"""),"Khoa học Y, Dược")</f>
        <v>Khoa học Y, Dược</v>
      </c>
      <c r="C11" s="4" t="str">
        <f>IFERROR(__xludf.DUMMYFUNCTION("""COMPUTED_VALUE"""),"Tổng hợp và đánh giá tác dụng trên vi sinh vật của một số phân đoạn Peptide Mastoparan B")</f>
        <v>Tổng hợp và đánh giá tác dụng trên vi sinh vật của một số phân đoạn Peptide Mastoparan B</v>
      </c>
      <c r="D11" s="4" t="str">
        <f>IFERROR(__xludf.DUMMYFUNCTION("""COMPUTED_VALUE"""),"Nguyễn Phương Anh; Nguyễn Thị Như Ý")</f>
        <v>Nguyễn Phương Anh; Nguyễn Thị Như Ý</v>
      </c>
      <c r="E11" s="4" t="str">
        <f>IFERROR(__xludf.DUMMYFUNCTION("""COMPUTED_VALUE"""),"Đại học Phenikaa")</f>
        <v>Đại học Phenikaa</v>
      </c>
      <c r="F11" s="4" t="str">
        <f>IFERROR(__xludf.DUMMYFUNCTION("""COMPUTED_VALUE"""),"KHYD2026-010.png")</f>
        <v>KHYD2026-010.png</v>
      </c>
    </row>
    <row r="12">
      <c r="A12" s="4" t="str">
        <f>IFERROR(__xludf.DUMMYFUNCTION("""COMPUTED_VALUE"""),"KHYD2026-011")</f>
        <v>KHYD2026-011</v>
      </c>
      <c r="B12" s="4" t="str">
        <f>IFERROR(__xludf.DUMMYFUNCTION("""COMPUTED_VALUE"""),"Khoa học Y, Dược")</f>
        <v>Khoa học Y, Dược</v>
      </c>
      <c r="C12" s="4" t="str">
        <f>IFERROR(__xludf.DUMMYFUNCTION("""COMPUTED_VALUE"""),"Sàng lọc và xác định thành phần hóa học của phân đoạn có hoạt tính chống nắng và chống oxy hóa từ cây Muống biển (Ipomoea pes-caprae (L.) Sweet)")</f>
        <v>Sàng lọc và xác định thành phần hóa học của phân đoạn có hoạt tính chống nắng và chống oxy hóa từ cây Muống biển (Ipomoea pes-caprae (L.) Sweet)</v>
      </c>
      <c r="D12" s="4" t="str">
        <f>IFERROR(__xludf.DUMMYFUNCTION("""COMPUTED_VALUE"""),"Huỳnh Nguyễn Anh Thư; Hoàng Nhật Quân; Đặng Thị Ngọc Linh; Phan Thế Minh Tâm")</f>
        <v>Huỳnh Nguyễn Anh Thư; Hoàng Nhật Quân; Đặng Thị Ngọc Linh; Phan Thế Minh Tâm</v>
      </c>
      <c r="E12" s="4" t="str">
        <f>IFERROR(__xludf.DUMMYFUNCTION("""COMPUTED_VALUE"""),"Trường Y Dược, Đại học Đà Nẵng")</f>
        <v>Trường Y Dược, Đại học Đà Nẵng</v>
      </c>
      <c r="F12" s="4" t="str">
        <f>IFERROR(__xludf.DUMMYFUNCTION("""COMPUTED_VALUE"""),"KHYD2026-011.png")</f>
        <v>KHYD2026-011.png</v>
      </c>
    </row>
    <row r="13">
      <c r="A13" s="4" t="str">
        <f>IFERROR(__xludf.DUMMYFUNCTION("""COMPUTED_VALUE"""),"KHYD2026-012")</f>
        <v>KHYD2026-012</v>
      </c>
      <c r="B13" s="4" t="str">
        <f>IFERROR(__xludf.DUMMYFUNCTION("""COMPUTED_VALUE"""),"Khoa học Y, Dược")</f>
        <v>Khoa học Y, Dược</v>
      </c>
      <c r="C13" s="4" t="str">
        <f>IFERROR(__xludf.DUMMYFUNCTION("""COMPUTED_VALUE"""),"BÀO CHẾ VÀ ĐÁNH GIÁ CHẤT LƯỢNG SIRO KHÔNG ĐƯỜNG CHỨA CAO CHIẾT DƯỢC LIỆU TÁO MÈO (DOCYNIA INDICA (WALL.) DECNE., ROSACEAE)")</f>
        <v>BÀO CHẾ VÀ ĐÁNH GIÁ CHẤT LƯỢNG SIRO KHÔNG ĐƯỜNG CHỨA CAO CHIẾT DƯỢC LIỆU TÁO MÈO (DOCYNIA INDICA (WALL.) DECNE., ROSACEAE)</v>
      </c>
      <c r="D13" s="4" t="str">
        <f>IFERROR(__xludf.DUMMYFUNCTION("""COMPUTED_VALUE"""),"Hoàng Phương Quỳnh; Nguyễn Khả Hân; Hồ Nguyễn Phương Trâm; Phạm Thị Huyền Trân")</f>
        <v>Hoàng Phương Quỳnh; Nguyễn Khả Hân; Hồ Nguyễn Phương Trâm; Phạm Thị Huyền Trân</v>
      </c>
      <c r="E13" s="4" t="str">
        <f>IFERROR(__xludf.DUMMYFUNCTION("""COMPUTED_VALUE"""),"Trường Đại học Quốc tế Hồng Bàng")</f>
        <v>Trường Đại học Quốc tế Hồng Bàng</v>
      </c>
      <c r="F13" s="4" t="str">
        <f>IFERROR(__xludf.DUMMYFUNCTION("""COMPUTED_VALUE"""),"KHYD2026-012.png")</f>
        <v>KHYD2026-012.png</v>
      </c>
    </row>
    <row r="14">
      <c r="A14" s="4" t="str">
        <f>IFERROR(__xludf.DUMMYFUNCTION("""COMPUTED_VALUE"""),"KHYD2026-013")</f>
        <v>KHYD2026-013</v>
      </c>
      <c r="B14" s="4" t="str">
        <f>IFERROR(__xludf.DUMMYFUNCTION("""COMPUTED_VALUE"""),"Khoa học Y, Dược")</f>
        <v>Khoa học Y, Dược</v>
      </c>
      <c r="C14" s="4" t="str">
        <f>IFERROR(__xludf.DUMMYFUNCTION("""COMPUTED_VALUE"""),"Xây dựng và thẩm định quy trình định lượng Baicalein trong vỏ thân cây Núc nác (Oroxylum indicum (L.) Vent, Bignoniaceae) bằng phương pháp sắc ký lớp mỏng (TLC)")</f>
        <v>Xây dựng và thẩm định quy trình định lượng Baicalein trong vỏ thân cây Núc nác (Oroxylum indicum (L.) Vent, Bignoniaceae) bằng phương pháp sắc ký lớp mỏng (TLC)</v>
      </c>
      <c r="D14" s="4" t="str">
        <f>IFERROR(__xludf.DUMMYFUNCTION("""COMPUTED_VALUE"""),"Nguyễn Thị Mỹ Ngọc; Nguyễn Ngọc Minh Thư; Võ Hoài Thương; Trương Anh Thư")</f>
        <v>Nguyễn Thị Mỹ Ngọc; Nguyễn Ngọc Minh Thư; Võ Hoài Thương; Trương Anh Thư</v>
      </c>
      <c r="E14" s="4" t="str">
        <f>IFERROR(__xludf.DUMMYFUNCTION("""COMPUTED_VALUE"""),"Trường Đại học Quốc tế Hồng Bàng")</f>
        <v>Trường Đại học Quốc tế Hồng Bàng</v>
      </c>
      <c r="F14" s="4" t="str">
        <f>IFERROR(__xludf.DUMMYFUNCTION("""COMPUTED_VALUE"""),"KHYD2026-013.png")</f>
        <v>KHYD2026-013.png</v>
      </c>
    </row>
    <row r="15">
      <c r="A15" s="4" t="str">
        <f>IFERROR(__xludf.DUMMYFUNCTION("""COMPUTED_VALUE"""),"KHYD2026-014")</f>
        <v>KHYD2026-014</v>
      </c>
      <c r="B15" s="4" t="str">
        <f>IFERROR(__xludf.DUMMYFUNCTION("""COMPUTED_VALUE"""),"Khoa học Y, Dược")</f>
        <v>Khoa học Y, Dược</v>
      </c>
      <c r="C15" s="4" t="str">
        <f>IFERROR(__xludf.DUMMYFUNCTION("""COMPUTED_VALUE"""),"Khảo sát thực trạng đăng ký thuốc ung thư và mức độ đáp ứng danh mục thuốc thiết yếu tại Việt Nam năm 2023-2025")</f>
        <v>Khảo sát thực trạng đăng ký thuốc ung thư và mức độ đáp ứng danh mục thuốc thiết yếu tại Việt Nam năm 2023-2025</v>
      </c>
      <c r="D15" s="4" t="str">
        <f>IFERROR(__xludf.DUMMYFUNCTION("""COMPUTED_VALUE"""),"Nguyễn Tường Vy; Lâm Bích Như; Nguyễn Trần Kim Ngân; Nguyễn Ngọc Bình Phương; Đỗ Thị Thủy Tiên")</f>
        <v>Nguyễn Tường Vy; Lâm Bích Như; Nguyễn Trần Kim Ngân; Nguyễn Ngọc Bình Phương; Đỗ Thị Thủy Tiên</v>
      </c>
      <c r="E15" s="4" t="str">
        <f>IFERROR(__xludf.DUMMYFUNCTION("""COMPUTED_VALUE"""),"Trường Đại học Quốc tế Hồng Bàng")</f>
        <v>Trường Đại học Quốc tế Hồng Bàng</v>
      </c>
      <c r="F15" s="4" t="str">
        <f>IFERROR(__xludf.DUMMYFUNCTION("""COMPUTED_VALUE"""),"KHYD2026-014.png")</f>
        <v>KHYD2026-014.png</v>
      </c>
    </row>
    <row r="16">
      <c r="A16" s="4" t="str">
        <f>IFERROR(__xludf.DUMMYFUNCTION("""COMPUTED_VALUE"""),"KHYD2026-015")</f>
        <v>KHYD2026-015</v>
      </c>
      <c r="B16" s="4" t="str">
        <f>IFERROR(__xludf.DUMMYFUNCTION("""COMPUTED_VALUE"""),"Khoa học Y, Dược")</f>
        <v>Khoa học Y, Dược</v>
      </c>
      <c r="C16" s="4" t="str">
        <f>IFERROR(__xludf.DUMMYFUNCTION("""COMPUTED_VALUE"""),"Khảo sát hoạt tính kháng khuẩn và kháng oxy hóa của cây Cần nước (Oenanthe javaica (Blume) DC.)")</f>
        <v>Khảo sát hoạt tính kháng khuẩn và kháng oxy hóa của cây Cần nước (Oenanthe javaica (Blume) DC.)</v>
      </c>
      <c r="D16" s="4" t="str">
        <f>IFERROR(__xludf.DUMMYFUNCTION("""COMPUTED_VALUE"""),"Đoàn Lê Hải Linh; Nguyễn Thị Minh Huệ; Nguyễn Thị Yến Vy; Bồ Diệu Thảo")</f>
        <v>Đoàn Lê Hải Linh; Nguyễn Thị Minh Huệ; Nguyễn Thị Yến Vy; Bồ Diệu Thảo</v>
      </c>
      <c r="E16" s="4" t="str">
        <f>IFERROR(__xludf.DUMMYFUNCTION("""COMPUTED_VALUE"""),"Trường Đại học Bình Dương")</f>
        <v>Trường Đại học Bình Dương</v>
      </c>
      <c r="F16" s="4" t="str">
        <f>IFERROR(__xludf.DUMMYFUNCTION("""COMPUTED_VALUE"""),"KHYD2026-015.png")</f>
        <v>KHYD2026-015.png</v>
      </c>
    </row>
    <row r="17">
      <c r="A17" s="4" t="str">
        <f>IFERROR(__xludf.DUMMYFUNCTION("""COMPUTED_VALUE"""),"KHYD2026-016")</f>
        <v>KHYD2026-016</v>
      </c>
      <c r="B17" s="4" t="str">
        <f>IFERROR(__xludf.DUMMYFUNCTION("""COMPUTED_VALUE"""),"Khoa học Y, Dược")</f>
        <v>Khoa học Y, Dược</v>
      </c>
      <c r="C17" s="4" t="str">
        <f>IFERROR(__xludf.DUMMYFUNCTION("""COMPUTED_VALUE"""),"Nghiên cứu đặc điểm thực vật học và khảo sát sơ bộ thành phần hóa học của cây Dầu lai tía (Jatropha gossypiifolia L.)")</f>
        <v>Nghiên cứu đặc điểm thực vật học và khảo sát sơ bộ thành phần hóa học của cây Dầu lai tía (Jatropha gossypiifolia L.)</v>
      </c>
      <c r="D17" s="4" t="str">
        <f>IFERROR(__xludf.DUMMYFUNCTION("""COMPUTED_VALUE"""),"Hoàng Linh Chi; Nguyễn Phương Nam; Võ Hoàng Kim Phụng; Quang Mỹ Hoa")</f>
        <v>Hoàng Linh Chi; Nguyễn Phương Nam; Võ Hoàng Kim Phụng; Quang Mỹ Hoa</v>
      </c>
      <c r="E17" s="4" t="str">
        <f>IFERROR(__xludf.DUMMYFUNCTION("""COMPUTED_VALUE"""),"Trường Đại học Bình Dương")</f>
        <v>Trường Đại học Bình Dương</v>
      </c>
      <c r="F17" s="4" t="str">
        <f>IFERROR(__xludf.DUMMYFUNCTION("""COMPUTED_VALUE"""),"KHYD2026-016.png")</f>
        <v>KHYD2026-016.png</v>
      </c>
    </row>
    <row r="18">
      <c r="A18" s="4" t="str">
        <f>IFERROR(__xludf.DUMMYFUNCTION("""COMPUTED_VALUE"""),"KHYD2026-017")</f>
        <v>KHYD2026-017</v>
      </c>
      <c r="B18" s="4" t="str">
        <f>IFERROR(__xludf.DUMMYFUNCTION("""COMPUTED_VALUE"""),"Khoa học Y, Dược")</f>
        <v>Khoa học Y, Dược</v>
      </c>
      <c r="C18" s="4" t="str">
        <f>IFERROR(__xludf.DUMMYFUNCTION("""COMPUTED_VALUE"""),"Nghiên cứu bào chế viên nén diclofenac natri phóng thích kéo dài 75 mg sử dụng tá dược tinh bột gạo ST25 biến tính")</f>
        <v>Nghiên cứu bào chế viên nén diclofenac natri phóng thích kéo dài 75 mg sử dụng tá dược tinh bột gạo ST25 biến tính</v>
      </c>
      <c r="D18" s="4" t="str">
        <f>IFERROR(__xludf.DUMMYFUNCTION("""COMPUTED_VALUE"""),"Kiều Phương Khánh; Nguyễn Ái Linh Đan")</f>
        <v>Kiều Phương Khánh; Nguyễn Ái Linh Đan</v>
      </c>
      <c r="E18" s="4" t="str">
        <f>IFERROR(__xludf.DUMMYFUNCTION("""COMPUTED_VALUE"""),"Trường Đại học Văn Lang")</f>
        <v>Trường Đại học Văn Lang</v>
      </c>
      <c r="F18" s="4" t="str">
        <f>IFERROR(__xludf.DUMMYFUNCTION("""COMPUTED_VALUE"""),"KHYD2026-017.png")</f>
        <v>KHYD2026-017.png</v>
      </c>
    </row>
    <row r="19">
      <c r="A19" s="4" t="str">
        <f>IFERROR(__xludf.DUMMYFUNCTION("""COMPUTED_VALUE"""),"KHYD2026-018")</f>
        <v>KHYD2026-018</v>
      </c>
      <c r="B19" s="4" t="str">
        <f>IFERROR(__xludf.DUMMYFUNCTION("""COMPUTED_VALUE"""),"Khoa học Y, Dược")</f>
        <v>Khoa học Y, Dược</v>
      </c>
      <c r="C19" s="4" t="str">
        <f>IFERROR(__xludf.DUMMYFUNCTION("""COMPUTED_VALUE"""),"Nghiên cứu hồ sơ hóa học của cây Bứa (Garcinia oblongifolia Champ. ex Benth.) bằng phương pháp sắc ký lỏng siêu hiệu năng ghép khối phổ độ phân giải cao UHPLC-HPMS/MS và đánh giá hoạt tính chống oxy hóa DPPH và chỉ số chống nắng SPF in vitro")</f>
        <v>Nghiên cứu hồ sơ hóa học của cây Bứa (Garcinia oblongifolia Champ. ex Benth.) bằng phương pháp sắc ký lỏng siêu hiệu năng ghép khối phổ độ phân giải cao UHPLC-HPMS/MS và đánh giá hoạt tính chống oxy hóa DPPH và chỉ số chống nắng SPF in vitro</v>
      </c>
      <c r="D19" s="4" t="str">
        <f>IFERROR(__xludf.DUMMYFUNCTION("""COMPUTED_VALUE"""),"Lê Ngọc Phương; Nguyễn Ngọc Huyền; Chu Ngọc Bá Nam")</f>
        <v>Lê Ngọc Phương; Nguyễn Ngọc Huyền; Chu Ngọc Bá Nam</v>
      </c>
      <c r="E19" s="4" t="str">
        <f>IFERROR(__xludf.DUMMYFUNCTION("""COMPUTED_VALUE"""),"Trường Đại học Y Dược Hải Phòng")</f>
        <v>Trường Đại học Y Dược Hải Phòng</v>
      </c>
      <c r="F19" s="4" t="str">
        <f>IFERROR(__xludf.DUMMYFUNCTION("""COMPUTED_VALUE"""),"KHYD2026-018.png")</f>
        <v>KHYD2026-018.png</v>
      </c>
    </row>
    <row r="20">
      <c r="A20" s="4" t="str">
        <f>IFERROR(__xludf.DUMMYFUNCTION("""COMPUTED_VALUE"""),"KHYD2026-019")</f>
        <v>KHYD2026-019</v>
      </c>
      <c r="B20" s="4" t="str">
        <f>IFERROR(__xludf.DUMMYFUNCTION("""COMPUTED_VALUE"""),"Khoa học Y, Dược")</f>
        <v>Khoa học Y, Dược</v>
      </c>
      <c r="C20" s="4" t="str">
        <f>IFERROR(__xludf.DUMMYFUNCTION("""COMPUTED_VALUE"""),"Khảo sát thực vật học, thành phần hóa học và hoạt tính sinh học của lá và vỏ cây Bụp tra (Hibiscus tiliaceus L.).")</f>
        <v>Khảo sát thực vật học, thành phần hóa học và hoạt tính sinh học của lá và vỏ cây Bụp tra (Hibiscus tiliaceus L.).</v>
      </c>
      <c r="D20" s="4" t="str">
        <f>IFERROR(__xludf.DUMMYFUNCTION("""COMPUTED_VALUE"""),"Đặng Võ Quốc Khánh; Nguyễn Thị Kim Ngân; Lương Bội Bội; Trần Thị An Minh; Cao Ngọc Thuỷ Tiên")</f>
        <v>Đặng Võ Quốc Khánh; Nguyễn Thị Kim Ngân; Lương Bội Bội; Trần Thị An Minh; Cao Ngọc Thuỷ Tiên</v>
      </c>
      <c r="E20" s="4" t="str">
        <f>IFERROR(__xludf.DUMMYFUNCTION("""COMPUTED_VALUE"""),"Trường Đại học Nam Cần Thơ")</f>
        <v>Trường Đại học Nam Cần Thơ</v>
      </c>
      <c r="F20" s="4" t="str">
        <f>IFERROR(__xludf.DUMMYFUNCTION("""COMPUTED_VALUE"""),"KHYD2026-019.png")</f>
        <v>KHYD2026-019.png</v>
      </c>
    </row>
    <row r="21">
      <c r="A21" s="4" t="str">
        <f>IFERROR(__xludf.DUMMYFUNCTION("""COMPUTED_VALUE"""),"KHYD2026-020")</f>
        <v>KHYD2026-020</v>
      </c>
      <c r="B21" s="4" t="str">
        <f>IFERROR(__xludf.DUMMYFUNCTION("""COMPUTED_VALUE"""),"Khoa học Y, Dược")</f>
        <v>Khoa học Y, Dược</v>
      </c>
      <c r="C21" s="4" t="str">
        <f>IFERROR(__xludf.DUMMYFUNCTION("""COMPUTED_VALUE"""),"Tối ưu hóa điều kiện nuôi cấy vi khuẩn Bacillus sp. CR-L2 nhằm tăng sinh tổng hợp polyphenol và đánh giá tác dụng hỗ trợ phòng trị bệnh gout.")</f>
        <v>Tối ưu hóa điều kiện nuôi cấy vi khuẩn Bacillus sp. CR-L2 nhằm tăng sinh tổng hợp polyphenol và đánh giá tác dụng hỗ trợ phòng trị bệnh gout.</v>
      </c>
      <c r="D21" s="4" t="str">
        <f>IFERROR(__xludf.DUMMYFUNCTION("""COMPUTED_VALUE"""),"Nguyễn Cao Gia Linh; Lê Hoàng Gia Mỹ; Trương Ngọc Yến; Nguyễn Ngọc Quyền Sang; Phạm Đăng Khoa")</f>
        <v>Nguyễn Cao Gia Linh; Lê Hoàng Gia Mỹ; Trương Ngọc Yến; Nguyễn Ngọc Quyền Sang; Phạm Đăng Khoa</v>
      </c>
      <c r="E21" s="4" t="str">
        <f>IFERROR(__xludf.DUMMYFUNCTION("""COMPUTED_VALUE"""),"Trường Đại học Nam Cần Thơ")</f>
        <v>Trường Đại học Nam Cần Thơ</v>
      </c>
      <c r="F21" s="4" t="str">
        <f>IFERROR(__xludf.DUMMYFUNCTION("""COMPUTED_VALUE"""),"KHYD2026-020.png")</f>
        <v>KHYD2026-020.png</v>
      </c>
    </row>
    <row r="22">
      <c r="A22" s="4" t="str">
        <f>IFERROR(__xludf.DUMMYFUNCTION("""COMPUTED_VALUE"""),"KHYD2026-021")</f>
        <v>KHYD2026-021</v>
      </c>
      <c r="B22" s="4" t="str">
        <f>IFERROR(__xludf.DUMMYFUNCTION("""COMPUTED_VALUE"""),"Khoa học Y, Dược")</f>
        <v>Khoa học Y, Dược</v>
      </c>
      <c r="C22" s="4" t="str">
        <f>IFERROR(__xludf.DUMMYFUNCTION("""COMPUTED_VALUE"""),"Khảo sát thực vật học, thành phần hóa học và một số hoạt tính sinh học của cây Lục bình (Eichhornia crassipes (Mart.) Solms).")</f>
        <v>Khảo sát thực vật học, thành phần hóa học và một số hoạt tính sinh học của cây Lục bình (Eichhornia crassipes (Mart.) Solms).</v>
      </c>
      <c r="D22" s="4" t="str">
        <f>IFERROR(__xludf.DUMMYFUNCTION("""COMPUTED_VALUE"""),"Nguyễn Thị Cẩm Giang; Võ Thị Huyền Trân; Phan Thị Mỹ Linh; Nguyễn Văn An; Vũ Vân Huy")</f>
        <v>Nguyễn Thị Cẩm Giang; Võ Thị Huyền Trân; Phan Thị Mỹ Linh; Nguyễn Văn An; Vũ Vân Huy</v>
      </c>
      <c r="E22" s="4" t="str">
        <f>IFERROR(__xludf.DUMMYFUNCTION("""COMPUTED_VALUE"""),"Trường Đại học Nam Cần Thơ")</f>
        <v>Trường Đại học Nam Cần Thơ</v>
      </c>
      <c r="F22" s="4" t="str">
        <f>IFERROR(__xludf.DUMMYFUNCTION("""COMPUTED_VALUE"""),"KHYD2026-021.png")</f>
        <v>KHYD2026-021.png</v>
      </c>
    </row>
    <row r="23">
      <c r="A23" s="4" t="str">
        <f>IFERROR(__xludf.DUMMYFUNCTION("""COMPUTED_VALUE"""),"KHYD2026-022")</f>
        <v>KHYD2026-022</v>
      </c>
      <c r="B23" s="4" t="str">
        <f>IFERROR(__xludf.DUMMYFUNCTION("""COMPUTED_VALUE"""),"Khoa học Y, Dược")</f>
        <v>Khoa học Y, Dược</v>
      </c>
      <c r="C23" s="4" t="str">
        <f>IFERROR(__xludf.DUMMYFUNCTION("""COMPUTED_VALUE"""),"Khảo sát thực trạng trúng thầu nhóm thuốc tác động lên đường hô hấp tại các bệnh viện công lập việt nam năm 2025")</f>
        <v>Khảo sát thực trạng trúng thầu nhóm thuốc tác động lên đường hô hấp tại các bệnh viện công lập việt nam năm 2025</v>
      </c>
      <c r="D23" s="4" t="str">
        <f>IFERROR(__xludf.DUMMYFUNCTION("""COMPUTED_VALUE"""),"Trần Phan Mai Phương; Lâm Bích Như; Ngô Thị Nhiên; Bồ Lê Quỳnh Trâm; Ngô Bảo Duy")</f>
        <v>Trần Phan Mai Phương; Lâm Bích Như; Ngô Thị Nhiên; Bồ Lê Quỳnh Trâm; Ngô Bảo Duy</v>
      </c>
      <c r="E23" s="4" t="str">
        <f>IFERROR(__xludf.DUMMYFUNCTION("""COMPUTED_VALUE"""),"Trường Đại học Quốc tế Hồng Bàng")</f>
        <v>Trường Đại học Quốc tế Hồng Bàng</v>
      </c>
      <c r="F23" s="4" t="str">
        <f>IFERROR(__xludf.DUMMYFUNCTION("""COMPUTED_VALUE"""),"KHYD2026-022.png")</f>
        <v>KHYD2026-022.png</v>
      </c>
    </row>
    <row r="24">
      <c r="A24" s="4" t="str">
        <f>IFERROR(__xludf.DUMMYFUNCTION("""COMPUTED_VALUE"""),"KHYD2026-023")</f>
        <v>KHYD2026-023</v>
      </c>
      <c r="B24" s="4" t="str">
        <f>IFERROR(__xludf.DUMMYFUNCTION("""COMPUTED_VALUE"""),"Khoa học Y, Dược")</f>
        <v>Khoa học Y, Dược</v>
      </c>
      <c r="C24" s="4" t="str">
        <f>IFERROR(__xludf.DUMMYFUNCTION("""COMPUTED_VALUE"""),"Phân tích thực trạng kê đơn và chi phí trực tiếp y tế trong điều trị ngoại trú đa bệnh đồng mắc tại Bệnh viện Đa khoa Thống Nhất tỉnh Đồng Nai năm 2025")</f>
        <v>Phân tích thực trạng kê đơn và chi phí trực tiếp y tế trong điều trị ngoại trú đa bệnh đồng mắc tại Bệnh viện Đa khoa Thống Nhất tỉnh Đồng Nai năm 2025</v>
      </c>
      <c r="D24" s="4" t="str">
        <f>IFERROR(__xludf.DUMMYFUNCTION("""COMPUTED_VALUE"""),"Nguyễn Phạm Quỳnh Chi; Lâm Bích Như; Phan Quỳnh Uyên; Nguyễn Như Thiên Hồng; Hoàng Thị Ngọc Ánh")</f>
        <v>Nguyễn Phạm Quỳnh Chi; Lâm Bích Như; Phan Quỳnh Uyên; Nguyễn Như Thiên Hồng; Hoàng Thị Ngọc Ánh</v>
      </c>
      <c r="E24" s="4" t="str">
        <f>IFERROR(__xludf.DUMMYFUNCTION("""COMPUTED_VALUE"""),"Trường Đại học Quốc tế Hồng Bàng")</f>
        <v>Trường Đại học Quốc tế Hồng Bàng</v>
      </c>
      <c r="F24" s="4" t="str">
        <f>IFERROR(__xludf.DUMMYFUNCTION("""COMPUTED_VALUE"""),"KHYD2026-023.png")</f>
        <v>KHYD2026-023.png</v>
      </c>
    </row>
    <row r="25">
      <c r="A25" s="4" t="str">
        <f>IFERROR(__xludf.DUMMYFUNCTION("""COMPUTED_VALUE"""),"KHYD2026-024")</f>
        <v>KHYD2026-024</v>
      </c>
      <c r="B25" s="4" t="str">
        <f>IFERROR(__xludf.DUMMYFUNCTION("""COMPUTED_VALUE"""),"Khoa học Y, Dược")</f>
        <v>Khoa học Y, Dược</v>
      </c>
      <c r="C25" s="4" t="str">
        <f>IFERROR(__xludf.DUMMYFUNCTION("""COMPUTED_VALUE"""),"Nghiên cứu phát triển saccarose dạng tá dược dập thẳng phục vụ bào chế viên nén")</f>
        <v>Nghiên cứu phát triển saccarose dạng tá dược dập thẳng phục vụ bào chế viên nén</v>
      </c>
      <c r="D25" s="4" t="str">
        <f>IFERROR(__xludf.DUMMYFUNCTION("""COMPUTED_VALUE"""),"Nguyễn Lộc Đoan Nghi; Nguyễn Trọng Nghĩa; Đặng Hoàng Mỹ Uyên")</f>
        <v>Nguyễn Lộc Đoan Nghi; Nguyễn Trọng Nghĩa; Đặng Hoàng Mỹ Uyên</v>
      </c>
      <c r="E25" s="4" t="str">
        <f>IFERROR(__xludf.DUMMYFUNCTION("""COMPUTED_VALUE"""),"Đại học Y Dược TP. Hồ Chí Minh")</f>
        <v>Đại học Y Dược TP. Hồ Chí Minh</v>
      </c>
      <c r="F25" s="4" t="str">
        <f>IFERROR(__xludf.DUMMYFUNCTION("""COMPUTED_VALUE"""),"KHYD2026-024.png")</f>
        <v>KHYD2026-024.png</v>
      </c>
    </row>
    <row r="26">
      <c r="A26" s="4" t="str">
        <f>IFERROR(__xludf.DUMMYFUNCTION("""COMPUTED_VALUE"""),"KHYD2026-025")</f>
        <v>KHYD2026-025</v>
      </c>
      <c r="B26" s="4" t="str">
        <f>IFERROR(__xludf.DUMMYFUNCTION("""COMPUTED_VALUE"""),"Khoa học Y, Dược")</f>
        <v>Khoa học Y, Dược</v>
      </c>
      <c r="C26" s="4" t="str">
        <f>IFERROR(__xludf.DUMMYFUNCTION("""COMPUTED_VALUE"""),"Đánh giá sự ưu tiên lựa chọn của cộng đồng đối với các gói khám sức khỏe tổng quát tại thành phố Hồ Chí Minh")</f>
        <v>Đánh giá sự ưu tiên lựa chọn của cộng đồng đối với các gói khám sức khỏe tổng quát tại thành phố Hồ Chí Minh</v>
      </c>
      <c r="D26" s="4" t="str">
        <f>IFERROR(__xludf.DUMMYFUNCTION("""COMPUTED_VALUE"""),"ĐỖ LINH NHÂN; NGUYỄN THỊ QUỲNH CHI; BÙI THANH THẢO; LÂM NHẬT QUANG; HUỲNH PHAN GIA HY")</f>
        <v>ĐỖ LINH NHÂN; NGUYỄN THỊ QUỲNH CHI; BÙI THANH THẢO; LÂM NHẬT QUANG; HUỲNH PHAN GIA HY</v>
      </c>
      <c r="E26" s="4" t="str">
        <f>IFERROR(__xludf.DUMMYFUNCTION("""COMPUTED_VALUE"""),"Đại học Y Dược TP. Hồ Chí Minh")</f>
        <v>Đại học Y Dược TP. Hồ Chí Minh</v>
      </c>
      <c r="F26" s="4" t="str">
        <f>IFERROR(__xludf.DUMMYFUNCTION("""COMPUTED_VALUE"""),"KHYD2026-025.png")</f>
        <v>KHYD2026-025.png</v>
      </c>
    </row>
    <row r="27">
      <c r="A27" s="4" t="str">
        <f>IFERROR(__xludf.DUMMYFUNCTION("""COMPUTED_VALUE"""),"KHYD2026-026")</f>
        <v>KHYD2026-026</v>
      </c>
      <c r="B27" s="4" t="str">
        <f>IFERROR(__xludf.DUMMYFUNCTION("""COMPUTED_VALUE"""),"Khoa học Y, Dược")</f>
        <v>Khoa học Y, Dược</v>
      </c>
      <c r="C27" s="4" t="str">
        <f>IFERROR(__xludf.DUMMYFUNCTION("""COMPUTED_VALUE"""),"Characterization and integrated biological evaluation of new indole alkaloids from the flower buds of Panax vietnamensis var. fuscidiscus")</f>
        <v>Characterization and integrated biological evaluation of new indole alkaloids from the flower buds of Panax vietnamensis var. fuscidiscus</v>
      </c>
      <c r="D27" s="4" t="str">
        <f>IFERROR(__xludf.DUMMYFUNCTION("""COMPUTED_VALUE"""),"La Bảo Ngọc; Đinh Trần Đăng Khôi; Ngô Hồng Thi; Trương Hoàng Duy")</f>
        <v>La Bảo Ngọc; Đinh Trần Đăng Khôi; Ngô Hồng Thi; Trương Hoàng Duy</v>
      </c>
      <c r="E27" s="4" t="str">
        <f>IFERROR(__xludf.DUMMYFUNCTION("""COMPUTED_VALUE"""),"Đại học Y Dược TP. Hồ Chí Minh")</f>
        <v>Đại học Y Dược TP. Hồ Chí Minh</v>
      </c>
      <c r="F27" s="4" t="str">
        <f>IFERROR(__xludf.DUMMYFUNCTION("""COMPUTED_VALUE"""),"KHYD2026-026.png")</f>
        <v>KHYD2026-026.png</v>
      </c>
    </row>
    <row r="28">
      <c r="A28" s="4" t="str">
        <f>IFERROR(__xludf.DUMMYFUNCTION("""COMPUTED_VALUE"""),"KHYD2026-027")</f>
        <v>KHYD2026-027</v>
      </c>
      <c r="B28" s="4" t="str">
        <f>IFERROR(__xludf.DUMMYFUNCTION("""COMPUTED_VALUE"""),"Khoa học Y, Dược")</f>
        <v>Khoa học Y, Dược</v>
      </c>
      <c r="C28" s="4" t="str">
        <f>IFERROR(__xludf.DUMMYFUNCTION("""COMPUTED_VALUE"""),"Nghiên cứu điều chế hệ vi tự nhũ tiêm diclofenac natri")</f>
        <v>Nghiên cứu điều chế hệ vi tự nhũ tiêm diclofenac natri</v>
      </c>
      <c r="D28" s="4" t="str">
        <f>IFERROR(__xludf.DUMMYFUNCTION("""COMPUTED_VALUE"""),"Vũ Giang Hoàng Ngân; Đặng Trúc Vy; Nguyễn Đoàn Thảo Nhi; Vũ Nhật Ninh")</f>
        <v>Vũ Giang Hoàng Ngân; Đặng Trúc Vy; Nguyễn Đoàn Thảo Nhi; Vũ Nhật Ninh</v>
      </c>
      <c r="E28" s="4" t="str">
        <f>IFERROR(__xludf.DUMMYFUNCTION("""COMPUTED_VALUE"""),"Đại học Y Dược TP. Hồ Chí Minh")</f>
        <v>Đại học Y Dược TP. Hồ Chí Minh</v>
      </c>
      <c r="F28" s="4" t="str">
        <f>IFERROR(__xludf.DUMMYFUNCTION("""COMPUTED_VALUE"""),"KHYD2026-027.png")</f>
        <v>KHYD2026-027.png</v>
      </c>
    </row>
    <row r="29">
      <c r="A29" s="4" t="str">
        <f>IFERROR(__xludf.DUMMYFUNCTION("""COMPUTED_VALUE"""),"KHYD2026-028")</f>
        <v>KHYD2026-028</v>
      </c>
      <c r="B29" s="4" t="str">
        <f>IFERROR(__xludf.DUMMYFUNCTION("""COMPUTED_VALUE"""),"Khoa học Y, Dược")</f>
        <v>Khoa học Y, Dược</v>
      </c>
      <c r="C29" s="4" t="str">
        <f>IFERROR(__xludf.DUMMYFUNCTION("""COMPUTED_VALUE"""),"Nghiên cứu điều chế gel in situ chứa ebastin hướng xịt mũi")</f>
        <v>Nghiên cứu điều chế gel in situ chứa ebastin hướng xịt mũi</v>
      </c>
      <c r="D29" s="4" t="str">
        <f>IFERROR(__xludf.DUMMYFUNCTION("""COMPUTED_VALUE"""),"Đặng Võ Uyên Phương; Nguyễn Đoàn Thảo Nhi; Lê Lương Minh Vy; Trần Gia Lạc")</f>
        <v>Đặng Võ Uyên Phương; Nguyễn Đoàn Thảo Nhi; Lê Lương Minh Vy; Trần Gia Lạc</v>
      </c>
      <c r="E29" s="4" t="str">
        <f>IFERROR(__xludf.DUMMYFUNCTION("""COMPUTED_VALUE"""),"Đại học Y Dược TP. Hồ Chí Minh")</f>
        <v>Đại học Y Dược TP. Hồ Chí Minh</v>
      </c>
      <c r="F29" s="4" t="str">
        <f>IFERROR(__xludf.DUMMYFUNCTION("""COMPUTED_VALUE"""),"KHYD2026-028.png")</f>
        <v>KHYD2026-028.png</v>
      </c>
    </row>
    <row r="30">
      <c r="A30" s="4" t="str">
        <f>IFERROR(__xludf.DUMMYFUNCTION("""COMPUTED_VALUE"""),"KHYD2026-029")</f>
        <v>KHYD2026-029</v>
      </c>
      <c r="B30" s="4" t="str">
        <f>IFERROR(__xludf.DUMMYFUNCTION("""COMPUTED_VALUE"""),"Khoa học Y, Dược")</f>
        <v>Khoa học Y, Dược</v>
      </c>
      <c r="C30" s="4" t="str">
        <f>IFERROR(__xludf.DUMMYFUNCTION("""COMPUTED_VALUE"""),"Phân tích tình hình sử dụng thuốc chống trầm cảm và chi phí trực tiếp y tế trong điều trị rối loạn trầm cảm ở người bệnh ngoại trú tại Bệnh viện Tâm thần Thành phố Hồ Chí Minh giai đoạn 2023-2025")</f>
        <v>Phân tích tình hình sử dụng thuốc chống trầm cảm và chi phí trực tiếp y tế trong điều trị rối loạn trầm cảm ở người bệnh ngoại trú tại Bệnh viện Tâm thần Thành phố Hồ Chí Minh giai đoạn 2023-2025</v>
      </c>
      <c r="D30" s="4" t="str">
        <f>IFERROR(__xludf.DUMMYFUNCTION("""COMPUTED_VALUE"""),"Huỳnh Phan Gia Hy; Đỗ Linh Nhân; Trần Lê Ngọc Hân; Phương Bảo Trân; Võ Huỳnh Yến My")</f>
        <v>Huỳnh Phan Gia Hy; Đỗ Linh Nhân; Trần Lê Ngọc Hân; Phương Bảo Trân; Võ Huỳnh Yến My</v>
      </c>
      <c r="E30" s="4" t="str">
        <f>IFERROR(__xludf.DUMMYFUNCTION("""COMPUTED_VALUE"""),"Đại học Y Dược TP. Hồ Chí Minh")</f>
        <v>Đại học Y Dược TP. Hồ Chí Minh</v>
      </c>
      <c r="F30" s="4" t="str">
        <f>IFERROR(__xludf.DUMMYFUNCTION("""COMPUTED_VALUE"""),"KHYD2026-029.png")</f>
        <v>KHYD2026-029.png</v>
      </c>
    </row>
    <row r="31">
      <c r="A31" s="4" t="str">
        <f>IFERROR(__xludf.DUMMYFUNCTION("""COMPUTED_VALUE"""),"KHYD2026-030")</f>
        <v>KHYD2026-030</v>
      </c>
      <c r="B31" s="4" t="str">
        <f>IFERROR(__xludf.DUMMYFUNCTION("""COMPUTED_VALUE"""),"Khoa học Y, Dược")</f>
        <v>Khoa học Y, Dược</v>
      </c>
      <c r="C31" s="4" t="str">
        <f>IFERROR(__xludf.DUMMYFUNCTION("""COMPUTED_VALUE"""),"Đánh giá cảnh giác dược hồi cứu về an toàn cefoperazon và cefoperazon/sulbactam ở bệnh nhân nội trú")</f>
        <v>Đánh giá cảnh giác dược hồi cứu về an toàn cefoperazon và cefoperazon/sulbactam ở bệnh nhân nội trú</v>
      </c>
      <c r="D31" s="4" t="str">
        <f>IFERROR(__xludf.DUMMYFUNCTION("""COMPUTED_VALUE"""),"Lê Văn Hiếu; Nguyễn Phạm Ngân Hà; Phạm Trần Thảo Linh; Khưu Tú Khang; Nguyễn Bảo Trân")</f>
        <v>Lê Văn Hiếu; Nguyễn Phạm Ngân Hà; Phạm Trần Thảo Linh; Khưu Tú Khang; Nguyễn Bảo Trân</v>
      </c>
      <c r="E31" s="4" t="str">
        <f>IFERROR(__xludf.DUMMYFUNCTION("""COMPUTED_VALUE"""),"Đại học Y Dược TP. Hồ Chí Minh")</f>
        <v>Đại học Y Dược TP. Hồ Chí Minh</v>
      </c>
      <c r="F31" s="4" t="str">
        <f>IFERROR(__xludf.DUMMYFUNCTION("""COMPUTED_VALUE"""),"KHYD2026-030.png")</f>
        <v>KHYD2026-030.png</v>
      </c>
    </row>
    <row r="32">
      <c r="A32" s="4" t="str">
        <f>IFERROR(__xludf.DUMMYFUNCTION("""COMPUTED_VALUE"""),"KHYD2026-031")</f>
        <v>KHYD2026-031</v>
      </c>
      <c r="B32" s="4" t="str">
        <f>IFERROR(__xludf.DUMMYFUNCTION("""COMPUTED_VALUE"""),"Khoa học Y, Dược")</f>
        <v>Khoa học Y, Dược</v>
      </c>
      <c r="C32" s="4" t="str">
        <f>IFERROR(__xludf.DUMMYFUNCTION("""COMPUTED_VALUE"""),"Đánh giá sự hài lòng chất lượng dịch vụ dược tại Nhà thuốc Hồng Bàng năm 2026")</f>
        <v>Đánh giá sự hài lòng chất lượng dịch vụ dược tại Nhà thuốc Hồng Bàng năm 2026</v>
      </c>
      <c r="D32" s="4" t="str">
        <f>IFERROR(__xludf.DUMMYFUNCTION("""COMPUTED_VALUE"""),"Nguyễn Quốc Thiên Ân; Lâm Bích Như; Nguyễn Lê Khánh Vân; Đỗ Thị Thủy Tiên")</f>
        <v>Nguyễn Quốc Thiên Ân; Lâm Bích Như; Nguyễn Lê Khánh Vân; Đỗ Thị Thủy Tiên</v>
      </c>
      <c r="E32" s="4" t="str">
        <f>IFERROR(__xludf.DUMMYFUNCTION("""COMPUTED_VALUE"""),"Trường Đại học Quốc tế Hồng Bàng")</f>
        <v>Trường Đại học Quốc tế Hồng Bàng</v>
      </c>
      <c r="F32" s="4" t="str">
        <f>IFERROR(__xludf.DUMMYFUNCTION("""COMPUTED_VALUE"""),"KHYD2026-031.png")</f>
        <v>KHYD2026-031.png</v>
      </c>
    </row>
    <row r="33">
      <c r="A33" s="4" t="str">
        <f>IFERROR(__xludf.DUMMYFUNCTION("""COMPUTED_VALUE"""),"KHYD2026-032")</f>
        <v>KHYD2026-032</v>
      </c>
      <c r="B33" s="4" t="str">
        <f>IFERROR(__xludf.DUMMYFUNCTION("""COMPUTED_VALUE"""),"Khoa học Y, Dược")</f>
        <v>Khoa học Y, Dược</v>
      </c>
      <c r="C33" s="4" t="str">
        <f>IFERROR(__xludf.DUMMYFUNCTION("""COMPUTED_VALUE"""),"Phân lập và nghiên cứu các hợp chất kháng khuẩn từ cây Lức (Pluchea pteropoda Hemsl.)")</f>
        <v>Phân lập và nghiên cứu các hợp chất kháng khuẩn từ cây Lức (Pluchea pteropoda Hemsl.)</v>
      </c>
      <c r="D33" s="4" t="str">
        <f>IFERROR(__xludf.DUMMYFUNCTION("""COMPUTED_VALUE"""),"Nguyễn Ngọc Anh Thư; Nguyễn Thị Bảo Ngọc")</f>
        <v>Nguyễn Ngọc Anh Thư; Nguyễn Thị Bảo Ngọc</v>
      </c>
      <c r="E33" s="4" t="str">
        <f>IFERROR(__xludf.DUMMYFUNCTION("""COMPUTED_VALUE"""),"Trường Đại học Y Dược Cần Thơ")</f>
        <v>Trường Đại học Y Dược Cần Thơ</v>
      </c>
      <c r="F33" s="4" t="str">
        <f>IFERROR(__xludf.DUMMYFUNCTION("""COMPUTED_VALUE"""),"KHYD2026-032.png")</f>
        <v>KHYD2026-032.png</v>
      </c>
    </row>
    <row r="34">
      <c r="A34" s="4" t="str">
        <f>IFERROR(__xludf.DUMMYFUNCTION("""COMPUTED_VALUE"""),"KHYD2026-033")</f>
        <v>KHYD2026-033</v>
      </c>
      <c r="B34" s="4" t="str">
        <f>IFERROR(__xludf.DUMMYFUNCTION("""COMPUTED_VALUE"""),"Khoa học Y, Dược")</f>
        <v>Khoa học Y, Dược</v>
      </c>
      <c r="C34" s="4" t="str">
        <f>IFERROR(__xludf.DUMMYFUNCTION("""COMPUTED_VALUE"""),"Nghiên cứu tác dụng chống trầm cảm của cao chiết toàn phần từ Tâm sen qua mô hình gây stress trên chuột nhắt bằng corticosteroid")</f>
        <v>Nghiên cứu tác dụng chống trầm cảm của cao chiết toàn phần từ Tâm sen qua mô hình gây stress trên chuột nhắt bằng corticosteroid</v>
      </c>
      <c r="D34" s="4" t="str">
        <f>IFERROR(__xludf.DUMMYFUNCTION("""COMPUTED_VALUE"""),"Nguyễn Trần Anh Thư; Nguyễn Trần Huỳnh Như")</f>
        <v>Nguyễn Trần Anh Thư; Nguyễn Trần Huỳnh Như</v>
      </c>
      <c r="E34" s="4" t="str">
        <f>IFERROR(__xludf.DUMMYFUNCTION("""COMPUTED_VALUE"""),"Trường Đại học Y Dược Cần Thơ")</f>
        <v>Trường Đại học Y Dược Cần Thơ</v>
      </c>
      <c r="F34" s="4" t="str">
        <f>IFERROR(__xludf.DUMMYFUNCTION("""COMPUTED_VALUE"""),"KHYD2026-033.png")</f>
        <v>KHYD2026-033.png</v>
      </c>
    </row>
    <row r="35">
      <c r="A35" s="4" t="str">
        <f>IFERROR(__xludf.DUMMYFUNCTION("""COMPUTED_VALUE"""),"KHYD2026-034")</f>
        <v>KHYD2026-034</v>
      </c>
      <c r="B35" s="4" t="str">
        <f>IFERROR(__xludf.DUMMYFUNCTION("""COMPUTED_VALUE"""),"Khoa học Y, Dược")</f>
        <v>Khoa học Y, Dược</v>
      </c>
      <c r="C35" s="4" t="str">
        <f>IFERROR(__xludf.DUMMYFUNCTION("""COMPUTED_VALUE"""),"Tác dụng cải thiện trí nhớ của cao chiết từ Tâm sen trên mô hình chuột nhắt gây stress bằng phương pháp nuôi cô lập")</f>
        <v>Tác dụng cải thiện trí nhớ của cao chiết từ Tâm sen trên mô hình chuột nhắt gây stress bằng phương pháp nuôi cô lập</v>
      </c>
      <c r="D35" s="4" t="str">
        <f>IFERROR(__xludf.DUMMYFUNCTION("""COMPUTED_VALUE"""),"Nguyễn Thị Bảo Nhi; Phạm Văn Đảm")</f>
        <v>Nguyễn Thị Bảo Nhi; Phạm Văn Đảm</v>
      </c>
      <c r="E35" s="4" t="str">
        <f>IFERROR(__xludf.DUMMYFUNCTION("""COMPUTED_VALUE"""),"Trường Đại học Y Dược Cần Thơ")</f>
        <v>Trường Đại học Y Dược Cần Thơ</v>
      </c>
      <c r="F35" s="4" t="str">
        <f>IFERROR(__xludf.DUMMYFUNCTION("""COMPUTED_VALUE"""),"KHYD2026-034.png")</f>
        <v>KHYD2026-034.png</v>
      </c>
    </row>
    <row r="36">
      <c r="A36" s="4" t="str">
        <f>IFERROR(__xludf.DUMMYFUNCTION("""COMPUTED_VALUE"""),"KHYD2026-035")</f>
        <v>KHYD2026-035</v>
      </c>
      <c r="B36" s="4" t="str">
        <f>IFERROR(__xludf.DUMMYFUNCTION("""COMPUTED_VALUE"""),"Khoa học Y, Dược")</f>
        <v>Khoa học Y, Dược</v>
      </c>
      <c r="C36" s="4" t="str">
        <f>IFERROR(__xludf.DUMMYFUNCTION("""COMPUTED_VALUE"""),"Vật liệu composite HA@UiO-66-NH2 từ Metal Organic Framework chuyển hoá kháng sinh Tetracyclin")</f>
        <v>Vật liệu composite HA@UiO-66-NH2 từ Metal Organic Framework chuyển hoá kháng sinh Tetracyclin</v>
      </c>
      <c r="D36" s="4" t="str">
        <f>IFERROR(__xludf.DUMMYFUNCTION("""COMPUTED_VALUE"""),"Phạm Thiên Bình; Nguyễn Ngọc Minh Thy; Lê Thị Bảo Ngân")</f>
        <v>Phạm Thiên Bình; Nguyễn Ngọc Minh Thy; Lê Thị Bảo Ngân</v>
      </c>
      <c r="E36" s="4" t="str">
        <f>IFERROR(__xludf.DUMMYFUNCTION("""COMPUTED_VALUE"""),"Trường Đại học Khoa học Sức khỏe, ĐHQG-HCM")</f>
        <v>Trường Đại học Khoa học Sức khỏe, ĐHQG-HCM</v>
      </c>
      <c r="F36" s="4" t="str">
        <f>IFERROR(__xludf.DUMMYFUNCTION("""COMPUTED_VALUE"""),"KHYD2026-035.png")</f>
        <v>KHYD2026-035.png</v>
      </c>
    </row>
    <row r="37">
      <c r="A37" s="4" t="str">
        <f>IFERROR(__xludf.DUMMYFUNCTION("""COMPUTED_VALUE"""),"KHYD2026-036")</f>
        <v>KHYD2026-036</v>
      </c>
      <c r="B37" s="4" t="str">
        <f>IFERROR(__xludf.DUMMYFUNCTION("""COMPUTED_VALUE"""),"Khoa học Y, Dược")</f>
        <v>Khoa học Y, Dược</v>
      </c>
      <c r="C37" s="4" t="str">
        <f>IFERROR(__xludf.DUMMYFUNCTION("""COMPUTED_VALUE"""),"Phát Triển Hệ Nano Uio-66 Chức Năng Hóa Acid Hyaluronic Ứng Dụng Trong Dẫn Truyền Oxaliplatin Có Kiểm Soát Và Theo Dõi Không Cần Chất Đánh Dấu")</f>
        <v>Phát Triển Hệ Nano Uio-66 Chức Năng Hóa Acid Hyaluronic Ứng Dụng Trong Dẫn Truyền Oxaliplatin Có Kiểm Soát Và Theo Dõi Không Cần Chất Đánh Dấu</v>
      </c>
      <c r="D37" s="4" t="str">
        <f>IFERROR(__xludf.DUMMYFUNCTION("""COMPUTED_VALUE"""),"Nguyễn Ngọc Minh Thy; Nguyễn Đỗ Nguyên; Nguyễn Thanh Trúc")</f>
        <v>Nguyễn Ngọc Minh Thy; Nguyễn Đỗ Nguyên; Nguyễn Thanh Trúc</v>
      </c>
      <c r="E37" s="4" t="str">
        <f>IFERROR(__xludf.DUMMYFUNCTION("""COMPUTED_VALUE"""),"Trường Đại học Khoa học Sức khỏe, ĐHQG-HCM")</f>
        <v>Trường Đại học Khoa học Sức khỏe, ĐHQG-HCM</v>
      </c>
      <c r="F37" s="4" t="str">
        <f>IFERROR(__xludf.DUMMYFUNCTION("""COMPUTED_VALUE"""),"KHYD2026-036.png")</f>
        <v>KHYD2026-036.png</v>
      </c>
    </row>
    <row r="38">
      <c r="A38" s="4" t="str">
        <f>IFERROR(__xludf.DUMMYFUNCTION("""COMPUTED_VALUE"""),"KHYD2026-037")</f>
        <v>KHYD2026-037</v>
      </c>
      <c r="B38" s="4" t="str">
        <f>IFERROR(__xludf.DUMMYFUNCTION("""COMPUTED_VALUE"""),"Khoa học Y, Dược")</f>
        <v>Khoa học Y, Dược</v>
      </c>
      <c r="C38" s="4" t="str">
        <f>IFERROR(__xludf.DUMMYFUNCTION("""COMPUTED_VALUE"""),"Nghiên cứu sàng lọc các chất có khả năng ức chế Aldo-keto reductase 1C2")</f>
        <v>Nghiên cứu sàng lọc các chất có khả năng ức chế Aldo-keto reductase 1C2</v>
      </c>
      <c r="D38" s="4" t="str">
        <f>IFERROR(__xludf.DUMMYFUNCTION("""COMPUTED_VALUE"""),"Nguyễn Ngọc Thạch; Trần Minh Thịnh; Đinh Vũ Khánh Huyền; Huỳnh Phan Yến Nhi; Nguyễn Ngọc Phương Trâm")</f>
        <v>Nguyễn Ngọc Thạch; Trần Minh Thịnh; Đinh Vũ Khánh Huyền; Huỳnh Phan Yến Nhi; Nguyễn Ngọc Phương Trâm</v>
      </c>
      <c r="E38" s="4" t="str">
        <f>IFERROR(__xludf.DUMMYFUNCTION("""COMPUTED_VALUE"""),"Trường Đại học Khoa học Sức khỏe, ĐHQG-HCM")</f>
        <v>Trường Đại học Khoa học Sức khỏe, ĐHQG-HCM</v>
      </c>
      <c r="F38" s="4" t="str">
        <f>IFERROR(__xludf.DUMMYFUNCTION("""COMPUTED_VALUE"""),"KHYD2026-037.png")</f>
        <v>KHYD2026-037.png</v>
      </c>
    </row>
    <row r="39">
      <c r="A39" s="4" t="str">
        <f>IFERROR(__xludf.DUMMYFUNCTION("""COMPUTED_VALUE"""),"KHYD2026-038")</f>
        <v>KHYD2026-038</v>
      </c>
      <c r="B39" s="4" t="str">
        <f>IFERROR(__xludf.DUMMYFUNCTION("""COMPUTED_VALUE"""),"Khoa học Y, Dược")</f>
        <v>Khoa học Y, Dược</v>
      </c>
      <c r="C39" s="4" t="str">
        <f>IFERROR(__xludf.DUMMYFUNCTION("""COMPUTED_VALUE"""),"Nghiên cứu khả năng gây kích ứng da và tác dụng chống viêm, giảm đau của chế phẩm HG-C trên thực nghiệm dùng trong điều trị viêm da cơ địa")</f>
        <v>Nghiên cứu khả năng gây kích ứng da và tác dụng chống viêm, giảm đau của chế phẩm HG-C trên thực nghiệm dùng trong điều trị viêm da cơ địa</v>
      </c>
      <c r="D39" s="4" t="str">
        <f>IFERROR(__xludf.DUMMYFUNCTION("""COMPUTED_VALUE"""),"Lò Thị Ánh Hồng; Nguyễn Thị Hồng; Nguyễn Thị Thu Giang; Nguyễn Thị Thanh Hiền; Phạm Quốc Khánh")</f>
        <v>Lò Thị Ánh Hồng; Nguyễn Thị Hồng; Nguyễn Thị Thu Giang; Nguyễn Thị Thanh Hiền; Phạm Quốc Khánh</v>
      </c>
      <c r="E39" s="4" t="str">
        <f>IFERROR(__xludf.DUMMYFUNCTION("""COMPUTED_VALUE"""),"Trường Đại học Victoria Hòa Bình")</f>
        <v>Trường Đại học Victoria Hòa Bình</v>
      </c>
      <c r="F39" s="4" t="str">
        <f>IFERROR(__xludf.DUMMYFUNCTION("""COMPUTED_VALUE"""),"KHYD2026-038.png")</f>
        <v>KHYD2026-038.png</v>
      </c>
    </row>
    <row r="40">
      <c r="A40" s="4" t="str">
        <f>IFERROR(__xludf.DUMMYFUNCTION("""COMPUTED_VALUE"""),"KHYD2026-039")</f>
        <v>KHYD2026-039</v>
      </c>
      <c r="B40" s="4" t="str">
        <f>IFERROR(__xludf.DUMMYFUNCTION("""COMPUTED_VALUE"""),"Khoa học Y, Dược")</f>
        <v>Khoa học Y, Dược</v>
      </c>
      <c r="C40" s="4" t="str">
        <f>IFERROR(__xludf.DUMMYFUNCTION("""COMPUTED_VALUE"""),"NGHIÊN CỨU PHÁT TRIỂN SẢN PHẨM TỪ CAO CỎ VIỆT MINH ĐƯỢC KIỂM SOÁT HÀM LƯỢNG PYRROLIZIDINE ALKALOIDS ỨNG DỤNG CÔNG NGHỆ NANOCHITOSAN")</f>
        <v>NGHIÊN CỨU PHÁT TRIỂN SẢN PHẨM TỪ CAO CỎ VIỆT MINH ĐƯỢC KIỂM SOÁT HÀM LƯỢNG PYRROLIZIDINE ALKALOIDS ỨNG DỤNG CÔNG NGHỆ NANOCHITOSAN</v>
      </c>
      <c r="D40" s="4" t="str">
        <f>IFERROR(__xludf.DUMMYFUNCTION("""COMPUTED_VALUE"""),"Đỗ Tấn Phước; Trần Hoài Thư Viễn; Tô Huy Hoàng; Võ Mỹ Yến")</f>
        <v>Đỗ Tấn Phước; Trần Hoài Thư Viễn; Tô Huy Hoàng; Võ Mỹ Yến</v>
      </c>
      <c r="E40" s="4" t="str">
        <f>IFERROR(__xludf.DUMMYFUNCTION("""COMPUTED_VALUE"""),"Trường Đại học Yersin Đà Lạt")</f>
        <v>Trường Đại học Yersin Đà Lạt</v>
      </c>
      <c r="F40" s="4" t="str">
        <f>IFERROR(__xludf.DUMMYFUNCTION("""COMPUTED_VALUE"""),"KHYD2026-039.png")</f>
        <v>KHYD2026-039.png</v>
      </c>
    </row>
    <row r="41">
      <c r="A41" s="4" t="str">
        <f>IFERROR(__xludf.DUMMYFUNCTION("""COMPUTED_VALUE"""),"KHYD2026-040")</f>
        <v>KHYD2026-040</v>
      </c>
      <c r="B41" s="4" t="str">
        <f>IFERROR(__xludf.DUMMYFUNCTION("""COMPUTED_VALUE"""),"Khoa học Y, Dược")</f>
        <v>Khoa học Y, Dược</v>
      </c>
      <c r="C41" s="4" t="str">
        <f>IFERROR(__xludf.DUMMYFUNCTION("""COMPUTED_VALUE"""),"Nghiên cứu chiết xuất hợp chất polyphenol từ quả Ké đầu ngựa (Xanthium strumarium L.)")</f>
        <v>Nghiên cứu chiết xuất hợp chất polyphenol từ quả Ké đầu ngựa (Xanthium strumarium L.)</v>
      </c>
      <c r="D41" s="4" t="str">
        <f>IFERROR(__xludf.DUMMYFUNCTION("""COMPUTED_VALUE"""),"Nguyễn Hoàng An; Đàm Quế Chi; Nguyễn Thị Phương Anh; Trần Mai Trang")</f>
        <v>Nguyễn Hoàng An; Đàm Quế Chi; Nguyễn Thị Phương Anh; Trần Mai Trang</v>
      </c>
      <c r="E41" s="4" t="str">
        <f>IFERROR(__xludf.DUMMYFUNCTION("""COMPUTED_VALUE"""),"Trường Đại học Dược Hà Nội")</f>
        <v>Trường Đại học Dược Hà Nội</v>
      </c>
      <c r="F41" s="4" t="str">
        <f>IFERROR(__xludf.DUMMYFUNCTION("""COMPUTED_VALUE"""),"KHYD2026-040.png")</f>
        <v>KHYD2026-040.png</v>
      </c>
    </row>
    <row r="42">
      <c r="A42" s="4" t="str">
        <f>IFERROR(__xludf.DUMMYFUNCTION("""COMPUTED_VALUE"""),"KHYD2026-041")</f>
        <v>KHYD2026-041</v>
      </c>
      <c r="B42" s="4" t="str">
        <f>IFERROR(__xludf.DUMMYFUNCTION("""COMPUTED_VALUE"""),"Khoa học Y, Dược")</f>
        <v>Khoa học Y, Dược</v>
      </c>
      <c r="C42" s="4" t="str">
        <f>IFERROR(__xludf.DUMMYFUNCTION("""COMPUTED_VALUE"""),"Nghiên cứu đặc điểm thực vật và thành phần hóa học của cây Xấu hổ (Mimosa sp.) thu hái tại tỉnh Nghệ An")</f>
        <v>Nghiên cứu đặc điểm thực vật và thành phần hóa học của cây Xấu hổ (Mimosa sp.) thu hái tại tỉnh Nghệ An</v>
      </c>
      <c r="D42" s="4" t="str">
        <f>IFERROR(__xludf.DUMMYFUNCTION("""COMPUTED_VALUE"""),"Nguyễn Thị Hồng Trang; Đinh Thị Thu Thảo; Trần Thị Sương; Nguyễn Ánh Nguyệt")</f>
        <v>Nguyễn Thị Hồng Trang; Đinh Thị Thu Thảo; Trần Thị Sương; Nguyễn Ánh Nguyệt</v>
      </c>
      <c r="E42" s="4" t="str">
        <f>IFERROR(__xludf.DUMMYFUNCTION("""COMPUTED_VALUE"""),"Trường Đại học Y khoa Vinh")</f>
        <v>Trường Đại học Y khoa Vinh</v>
      </c>
      <c r="F42" s="4" t="str">
        <f>IFERROR(__xludf.DUMMYFUNCTION("""COMPUTED_VALUE"""),"KHYD2026-041.png")</f>
        <v>KHYD2026-041.png</v>
      </c>
    </row>
    <row r="43">
      <c r="A43" s="4" t="str">
        <f>IFERROR(__xludf.DUMMYFUNCTION("""COMPUTED_VALUE"""),"KHYD2026-042")</f>
        <v>KHYD2026-042</v>
      </c>
      <c r="B43" s="4" t="str">
        <f>IFERROR(__xludf.DUMMYFUNCTION("""COMPUTED_VALUE"""),"Khoa học Y, Dược")</f>
        <v>Khoa học Y, Dược</v>
      </c>
      <c r="C43" s="4" t="str">
        <f>IFERROR(__xludf.DUMMYFUNCTION("""COMPUTED_VALUE"""),"ĐÁNH GIÁ TÁC DỤNG ĐIỀU HÒA LIPID MÁU VÀ LÀM GIẢM GLUCOSE MÁU CỦA CÁC CAO CHIẾT TỪ LÁ CÂY HƯƠNG THẢO (ROSMARINUS OFFICINALIS L.) TRÊN CHUỘT NHẮT")</f>
        <v>ĐÁNH GIÁ TÁC DỤNG ĐIỀU HÒA LIPID MÁU VÀ LÀM GIẢM GLUCOSE MÁU CỦA CÁC CAO CHIẾT TỪ LÁ CÂY HƯƠNG THẢO (ROSMARINUS OFFICINALIS L.) TRÊN CHUỘT NHẮT</v>
      </c>
      <c r="D43" s="4" t="str">
        <f>IFERROR(__xludf.DUMMYFUNCTION("""COMPUTED_VALUE"""),"Phạm Gia Huy; Nguyễn Ngọc Minh Hà; Đỗ Vy; Lê Nguyễn Ngọc Nhi")</f>
        <v>Phạm Gia Huy; Nguyễn Ngọc Minh Hà; Đỗ Vy; Lê Nguyễn Ngọc Nhi</v>
      </c>
      <c r="E43" s="4" t="str">
        <f>IFERROR(__xludf.DUMMYFUNCTION("""COMPUTED_VALUE"""),"Trường Đại học Khoa học Tự nhiên, ĐHQG-HCM")</f>
        <v>Trường Đại học Khoa học Tự nhiên, ĐHQG-HCM</v>
      </c>
      <c r="F43" s="4" t="str">
        <f>IFERROR(__xludf.DUMMYFUNCTION("""COMPUTED_VALUE"""),"KHYD2026-042.png")</f>
        <v>KHYD2026-042.png</v>
      </c>
    </row>
    <row r="44">
      <c r="A44" s="4" t="str">
        <f>IFERROR(__xludf.DUMMYFUNCTION("""COMPUTED_VALUE"""),"KHYD2026-043")</f>
        <v>KHYD2026-043</v>
      </c>
      <c r="B44" s="4" t="str">
        <f>IFERROR(__xludf.DUMMYFUNCTION("""COMPUTED_VALUE"""),"Khoa học Y, Dược")</f>
        <v>Khoa học Y, Dược</v>
      </c>
      <c r="C44" s="4" t="str">
        <f>IFERROR(__xludf.DUMMYFUNCTION("""COMPUTED_VALUE"""),"Nghiên cứu bào chế hệ phân tán rắn bằng phương pháp sấy phun nhằm cải thiện độ tan của silymarin trong cao chiết Kế sữa Silybum marianum (L.) Gaertn")</f>
        <v>Nghiên cứu bào chế hệ phân tán rắn bằng phương pháp sấy phun nhằm cải thiện độ tan của silymarin trong cao chiết Kế sữa Silybum marianum (L.) Gaertn</v>
      </c>
      <c r="D44" s="4" t="str">
        <f>IFERROR(__xludf.DUMMYFUNCTION("""COMPUTED_VALUE"""),"NGUYỄN NGỌC PHÚC SANG; NGUYỄN THỊ NHƯ QUỲNH; PHAN HỒNG HUY")</f>
        <v>NGUYỄN NGỌC PHÚC SANG; NGUYỄN THỊ NHƯ QUỲNH; PHAN HỒNG HUY</v>
      </c>
      <c r="E44" s="4" t="str">
        <f>IFERROR(__xludf.DUMMYFUNCTION("""COMPUTED_VALUE"""),"Trường Đại học Y khoa Phạm Ngọc Thạch")</f>
        <v>Trường Đại học Y khoa Phạm Ngọc Thạch</v>
      </c>
      <c r="F44" s="4" t="str">
        <f>IFERROR(__xludf.DUMMYFUNCTION("""COMPUTED_VALUE"""),"KHYD2026-043.png")</f>
        <v>KHYD2026-043.png</v>
      </c>
    </row>
    <row r="45">
      <c r="A45" s="4" t="str">
        <f>IFERROR(__xludf.DUMMYFUNCTION("""COMPUTED_VALUE"""),"KHYD2026-044")</f>
        <v>KHYD2026-044</v>
      </c>
      <c r="B45" s="4" t="str">
        <f>IFERROR(__xludf.DUMMYFUNCTION("""COMPUTED_VALUE"""),"Khoa học Y, Dược")</f>
        <v>Khoa học Y, Dược</v>
      </c>
      <c r="C45" s="4" t="str">
        <f>IFERROR(__xludf.DUMMYFUNCTION("""COMPUTED_VALUE"""),"Cloning and expression of Clostridium perfringens epsilon – toxin gene (etx gene) in Escherichia coli")</f>
        <v>Cloning and expression of Clostridium perfringens epsilon – toxin gene (etx gene) in Escherichia coli</v>
      </c>
      <c r="D45" s="4" t="str">
        <f>IFERROR(__xludf.DUMMYFUNCTION("""COMPUTED_VALUE"""),"Lê Cao Bích Tin; An Lê Như Khoa; Dương Nguyễn Bảo Ngọc")</f>
        <v>Lê Cao Bích Tin; An Lê Như Khoa; Dương Nguyễn Bảo Ngọc</v>
      </c>
      <c r="E45" s="4" t="str">
        <f>IFERROR(__xludf.DUMMYFUNCTION("""COMPUTED_VALUE"""),"Trường Đại học Tôn Đức Thắng")</f>
        <v>Trường Đại học Tôn Đức Thắng</v>
      </c>
      <c r="F45" s="4" t="str">
        <f>IFERROR(__xludf.DUMMYFUNCTION("""COMPUTED_VALUE"""),"KHYD2026-044.png")</f>
        <v>KHYD2026-044.png</v>
      </c>
    </row>
    <row r="46">
      <c r="A46" s="4" t="str">
        <f>IFERROR(__xludf.DUMMYFUNCTION("""COMPUTED_VALUE"""),"KHYD2026-045")</f>
        <v>KHYD2026-045</v>
      </c>
      <c r="B46" s="4" t="str">
        <f>IFERROR(__xludf.DUMMYFUNCTION("""COMPUTED_VALUE"""),"Khoa học Y, Dược")</f>
        <v>Khoa học Y, Dược</v>
      </c>
      <c r="C46" s="4" t="str">
        <f>IFERROR(__xludf.DUMMYFUNCTION("""COMPUTED_VALUE"""),"Nghiên cứu chế tạo màng sợi nanofiber trên cơ sở PVA/PVP/Sulfated Galactans/CMCs định hướng ứng dụng cho băng vết thương")</f>
        <v>Nghiên cứu chế tạo màng sợi nanofiber trên cơ sở PVA/PVP/Sulfated Galactans/CMCs định hướng ứng dụng cho băng vết thương</v>
      </c>
      <c r="D46" s="4" t="str">
        <f>IFERROR(__xludf.DUMMYFUNCTION("""COMPUTED_VALUE"""),"Nguyễn Huỳnh Thúy Vi; Huỳnh Anh Tuấn")</f>
        <v>Nguyễn Huỳnh Thúy Vi; Huỳnh Anh Tuấn</v>
      </c>
      <c r="E46" s="4" t="str">
        <f>IFERROR(__xludf.DUMMYFUNCTION("""COMPUTED_VALUE"""),"Trường Đại học Tôn Đức Thắng")</f>
        <v>Trường Đại học Tôn Đức Thắng</v>
      </c>
      <c r="F46" s="4" t="str">
        <f>IFERROR(__xludf.DUMMYFUNCTION("""COMPUTED_VALUE"""),"KHYD2026-045.png")</f>
        <v>KHYD2026-045.png</v>
      </c>
    </row>
    <row r="47">
      <c r="A47" s="4" t="str">
        <f>IFERROR(__xludf.DUMMYFUNCTION("""COMPUTED_VALUE"""),"KHYD2026-046")</f>
        <v>KHYD2026-046</v>
      </c>
      <c r="B47" s="4" t="str">
        <f>IFERROR(__xludf.DUMMYFUNCTION("""COMPUTED_VALUE"""),"Khoa học Y, Dược")</f>
        <v>Khoa học Y, Dược</v>
      </c>
      <c r="C47" s="4" t="str">
        <f>IFERROR(__xludf.DUMMYFUNCTION("""COMPUTED_VALUE"""),"Nghiên cứu tổng hợp vật liệu khung cơ kim Zn-gallate giải phóng hoạt chất có kiểm soát định hướng ứng dụng đa chức năng trong phục hồi tổn thương không lưu vết")</f>
        <v>Nghiên cứu tổng hợp vật liệu khung cơ kim Zn-gallate giải phóng hoạt chất có kiểm soát định hướng ứng dụng đa chức năng trong phục hồi tổn thương không lưu vết</v>
      </c>
      <c r="D47" s="4" t="str">
        <f>IFERROR(__xludf.DUMMYFUNCTION("""COMPUTED_VALUE"""),"Thới Thị Thu Thảo; Phan Thụy Bích Ngọc; Ngô Quang Huy; Nguyễn Thái Phương Như")</f>
        <v>Thới Thị Thu Thảo; Phan Thụy Bích Ngọc; Ngô Quang Huy; Nguyễn Thái Phương Như</v>
      </c>
      <c r="E47" s="4" t="str">
        <f>IFERROR(__xludf.DUMMYFUNCTION("""COMPUTED_VALUE"""),"Trường Đại học Tôn Đức Thắng")</f>
        <v>Trường Đại học Tôn Đức Thắng</v>
      </c>
      <c r="F47" s="4" t="str">
        <f>IFERROR(__xludf.DUMMYFUNCTION("""COMPUTED_VALUE"""),"KHYD2026-046.png")</f>
        <v>KHYD2026-046.png</v>
      </c>
    </row>
    <row r="48">
      <c r="A48" s="4" t="str">
        <f>IFERROR(__xludf.DUMMYFUNCTION("""COMPUTED_VALUE"""),"KHYD2026-047")</f>
        <v>KHYD2026-047</v>
      </c>
      <c r="B48" s="4" t="str">
        <f>IFERROR(__xludf.DUMMYFUNCTION("""COMPUTED_VALUE"""),"Khoa học Y, Dược")</f>
        <v>Khoa học Y, Dược</v>
      </c>
      <c r="C48" s="4" t="str">
        <f>IFERROR(__xludf.DUMMYFUNCTION("""COMPUTED_VALUE"""),"Chế Tạo Mặt Nạ Chống Oxi Hóa Trên Cơ Sở PVA/PGA Mang Cao Chiết Astaxanthin Từ Nấm Men Rhodosporidium Toruloides Định Hướng Ứng Dụng Trong Mỹ Phẩm")</f>
        <v>Chế Tạo Mặt Nạ Chống Oxi Hóa Trên Cơ Sở PVA/PGA Mang Cao Chiết Astaxanthin Từ Nấm Men Rhodosporidium Toruloides Định Hướng Ứng Dụng Trong Mỹ Phẩm</v>
      </c>
      <c r="D48" s="4" t="str">
        <f>IFERROR(__xludf.DUMMYFUNCTION("""COMPUTED_VALUE"""),"Đặng Lâm Cẩm Tiên; Nguyễn Đỗ Uyển Nhi")</f>
        <v>Đặng Lâm Cẩm Tiên; Nguyễn Đỗ Uyển Nhi</v>
      </c>
      <c r="E48" s="4" t="str">
        <f>IFERROR(__xludf.DUMMYFUNCTION("""COMPUTED_VALUE"""),"Trường Đại học Tôn Đức Thắng")</f>
        <v>Trường Đại học Tôn Đức Thắng</v>
      </c>
      <c r="F48" s="4" t="str">
        <f>IFERROR(__xludf.DUMMYFUNCTION("""COMPUTED_VALUE"""),"KHYD2026-047.png")</f>
        <v>KHYD2026-047.png</v>
      </c>
    </row>
    <row r="49">
      <c r="A49" s="4" t="str">
        <f>IFERROR(__xludf.DUMMYFUNCTION("""COMPUTED_VALUE"""),"KHYD2026-048")</f>
        <v>KHYD2026-048</v>
      </c>
      <c r="B49" s="4" t="str">
        <f>IFERROR(__xludf.DUMMYFUNCTION("""COMPUTED_VALUE"""),"Khoa học Y, Dược")</f>
        <v>Khoa học Y, Dược</v>
      </c>
      <c r="C49" s="4" t="str">
        <f>IFERROR(__xludf.DUMMYFUNCTION("""COMPUTED_VALUE"""),"XÂY DỰNG VÀ ĐÁNH GIÁ HỆ THỐNG TRỢ LÝ TRÍ TUỆ NHÂN TẠO HỖ TRỢ QUY TRÌNH KHÁM BỆNH VÀ KÊ ĐƠN THUỐC THEO Y HỌC CỔ TRUYỀN VIỆT NAM")</f>
        <v>XÂY DỰNG VÀ ĐÁNH GIÁ HỆ THỐNG TRỢ LÝ TRÍ TUỆ NHÂN TẠO HỖ TRỢ QUY TRÌNH KHÁM BỆNH VÀ KÊ ĐƠN THUỐC THEO Y HỌC CỔ TRUYỀN VIỆT NAM</v>
      </c>
      <c r="D49" s="4" t="str">
        <f>IFERROR(__xludf.DUMMYFUNCTION("""COMPUTED_VALUE"""),"Tiết Thành Công; Huỳnh Gia Kỳ; Ôn Văn Khiêm")</f>
        <v>Tiết Thành Công; Huỳnh Gia Kỳ; Ôn Văn Khiêm</v>
      </c>
      <c r="E49" s="4" t="str">
        <f>IFERROR(__xludf.DUMMYFUNCTION("""COMPUTED_VALUE"""),"Trường Đại học Nguyễn Tất Thành")</f>
        <v>Trường Đại học Nguyễn Tất Thành</v>
      </c>
      <c r="F49" s="4" t="str">
        <f>IFERROR(__xludf.DUMMYFUNCTION("""COMPUTED_VALUE"""),"KHYD2026-048.png")</f>
        <v>KHYD2026-048.png</v>
      </c>
    </row>
    <row r="50">
      <c r="A50" s="4" t="str">
        <f>IFERROR(__xludf.DUMMYFUNCTION("""COMPUTED_VALUE"""),"KHYD2026-049")</f>
        <v>KHYD2026-049</v>
      </c>
      <c r="B50" s="4" t="str">
        <f>IFERROR(__xludf.DUMMYFUNCTION("""COMPUTED_VALUE"""),"Khoa học Y, Dược")</f>
        <v>Khoa học Y, Dược</v>
      </c>
      <c r="C50" s="4" t="str">
        <f>IFERROR(__xludf.DUMMYFUNCTION("""COMPUTED_VALUE"""),"AN TOÀN BỨC XẠ ĐỐI VỚI PHỤ NỮ VÀ THAI NHI TRONG CHẨN ĐOÁN X-QUANG")</f>
        <v>AN TOÀN BỨC XẠ ĐỐI VỚI PHỤ NỮ VÀ THAI NHI TRONG CHẨN ĐOÁN X-QUANG</v>
      </c>
      <c r="D50" s="4" t="str">
        <f>IFERROR(__xludf.DUMMYFUNCTION("""COMPUTED_VALUE"""),"Phan Diệu Hạt; Lê Thị Phương Uyên")</f>
        <v>Phan Diệu Hạt; Lê Thị Phương Uyên</v>
      </c>
      <c r="E50" s="4" t="str">
        <f>IFERROR(__xludf.DUMMYFUNCTION("""COMPUTED_VALUE"""),"Trường Đại học Nguyễn Tất Thành")</f>
        <v>Trường Đại học Nguyễn Tất Thành</v>
      </c>
      <c r="F50" s="4" t="str">
        <f>IFERROR(__xludf.DUMMYFUNCTION("""COMPUTED_VALUE"""),"KHYD2026-049.png")</f>
        <v>KHYD2026-049.png</v>
      </c>
    </row>
    <row r="51">
      <c r="A51" s="4" t="str">
        <f>IFERROR(__xludf.DUMMYFUNCTION("""COMPUTED_VALUE"""),"KHYD2026-050")</f>
        <v>KHYD2026-050</v>
      </c>
      <c r="B51" s="4" t="str">
        <f>IFERROR(__xludf.DUMMYFUNCTION("""COMPUTED_VALUE"""),"Khoa học Y, Dược")</f>
        <v>Khoa học Y, Dược</v>
      </c>
      <c r="C51" s="4" t="str">
        <f>IFERROR(__xludf.DUMMYFUNCTION("""COMPUTED_VALUE"""),"Kiến thức, thái độ và thực hành hiến máu và các yếu tố liên quan của sinh viên Điều dưỡng")</f>
        <v>Kiến thức, thái độ và thực hành hiến máu và các yếu tố liên quan của sinh viên Điều dưỡng</v>
      </c>
      <c r="D51" s="4" t="str">
        <f>IFERROR(__xludf.DUMMYFUNCTION("""COMPUTED_VALUE"""),"Tô Nguyễn Bích Phương; Bùi Thị Kim Quyên; Nguyễn Trường Minh Anh; Trần Ngọc Cát Tường; Trần Thị Huyền Trang")</f>
        <v>Tô Nguyễn Bích Phương; Bùi Thị Kim Quyên; Nguyễn Trường Minh Anh; Trần Ngọc Cát Tường; Trần Thị Huyền Trang</v>
      </c>
      <c r="E51" s="4" t="str">
        <f>IFERROR(__xludf.DUMMYFUNCTION("""COMPUTED_VALUE"""),"Trường Đại học Nguyễn Tất Thành")</f>
        <v>Trường Đại học Nguyễn Tất Thành</v>
      </c>
      <c r="F51" s="4" t="str">
        <f>IFERROR(__xludf.DUMMYFUNCTION("""COMPUTED_VALUE"""),"KHYD2026-050.png")</f>
        <v>KHYD2026-050.png</v>
      </c>
    </row>
    <row r="52">
      <c r="A52" s="4" t="str">
        <f>IFERROR(__xludf.DUMMYFUNCTION("""COMPUTED_VALUE"""),"KHYD2026-051")</f>
        <v>KHYD2026-051</v>
      </c>
      <c r="B52" s="4" t="str">
        <f>IFERROR(__xludf.DUMMYFUNCTION("""COMPUTED_VALUE"""),"Khoa học Y, Dược")</f>
        <v>Khoa học Y, Dược</v>
      </c>
      <c r="C52" s="4" t="str">
        <f>IFERROR(__xludf.DUMMYFUNCTION("""COMPUTED_VALUE"""),"TitanSeg-Net: A Lightweight Titan-Enhanced Network for Robust Fetal Ultrasound Image Segmentation")</f>
        <v>TitanSeg-Net: A Lightweight Titan-Enhanced Network for Robust Fetal Ultrasound Image Segmentation</v>
      </c>
      <c r="D52" s="4" t="str">
        <f>IFERROR(__xludf.DUMMYFUNCTION("""COMPUTED_VALUE"""),"Nguyễn Minh Sơn; Trần Quang Tiệp; Đào Duy Phát; Lê Anh Tú; Nguyễn Hà An")</f>
        <v>Nguyễn Minh Sơn; Trần Quang Tiệp; Đào Duy Phát; Lê Anh Tú; Nguyễn Hà An</v>
      </c>
      <c r="E52" s="4" t="str">
        <f>IFERROR(__xludf.DUMMYFUNCTION("""COMPUTED_VALUE"""),"Trường Quốc tế, ĐHQG Hà Nội")</f>
        <v>Trường Quốc tế, ĐHQG Hà Nội</v>
      </c>
      <c r="F52" s="4" t="str">
        <f>IFERROR(__xludf.DUMMYFUNCTION("""COMPUTED_VALUE"""),"KHYD2026-051.png")</f>
        <v>KHYD2026-051.png</v>
      </c>
    </row>
    <row r="53">
      <c r="A53" s="4" t="str">
        <f>IFERROR(__xludf.DUMMYFUNCTION("""COMPUTED_VALUE"""),"KHYD2026-052")</f>
        <v>KHYD2026-052</v>
      </c>
      <c r="B53" s="4" t="str">
        <f>IFERROR(__xludf.DUMMYFUNCTION("""COMPUTED_VALUE"""),"Khoa học Y, Dược")</f>
        <v>Khoa học Y, Dược</v>
      </c>
      <c r="C53" s="4" t="str">
        <f>IFERROR(__xludf.DUMMYFUNCTION("""COMPUTED_VALUE"""),"UNet Mamba MoE: Advancing Blood Cell Image Segmentation with Hybrid State Space Models")</f>
        <v>UNet Mamba MoE: Advancing Blood Cell Image Segmentation with Hybrid State Space Models</v>
      </c>
      <c r="D53" s="4" t="str">
        <f>IFERROR(__xludf.DUMMYFUNCTION("""COMPUTED_VALUE"""),"Nguyễn Hà An; Trần Quang Tiệp; Nguyễn Minh Sơn; Nguyễn Gia Thanh; Lê Minh Quân")</f>
        <v>Nguyễn Hà An; Trần Quang Tiệp; Nguyễn Minh Sơn; Nguyễn Gia Thanh; Lê Minh Quân</v>
      </c>
      <c r="E53" s="4" t="str">
        <f>IFERROR(__xludf.DUMMYFUNCTION("""COMPUTED_VALUE"""),"Trường Quốc tế, ĐHQG Hà Nội")</f>
        <v>Trường Quốc tế, ĐHQG Hà Nội</v>
      </c>
      <c r="F53" s="4" t="str">
        <f>IFERROR(__xludf.DUMMYFUNCTION("""COMPUTED_VALUE"""),"KHYD2026-052.png")</f>
        <v>KHYD2026-052.png</v>
      </c>
    </row>
    <row r="54">
      <c r="A54" s="4" t="str">
        <f>IFERROR(__xludf.DUMMYFUNCTION("""COMPUTED_VALUE"""),"KHYD2026-053")</f>
        <v>KHYD2026-053</v>
      </c>
      <c r="B54" s="4" t="str">
        <f>IFERROR(__xludf.DUMMYFUNCTION("""COMPUTED_VALUE"""),"Khoa học Y, Dược")</f>
        <v>Khoa học Y, Dược</v>
      </c>
      <c r="C54" s="4" t="str">
        <f>IFERROR(__xludf.DUMMYFUNCTION("""COMPUTED_VALUE"""),"Thực trạng sử dụng thực phẩm chức năng và một số yếu tố liên quan của Sinh viên ngành Điều dưỡng ở một trường Đại học tại TP. Hồ Chí Minh năm 2026")</f>
        <v>Thực trạng sử dụng thực phẩm chức năng và một số yếu tố liên quan của Sinh viên ngành Điều dưỡng ở một trường Đại học tại TP. Hồ Chí Minh năm 2026</v>
      </c>
      <c r="D54" s="4" t="str">
        <f>IFERROR(__xludf.DUMMYFUNCTION("""COMPUTED_VALUE"""),"Lê Thị Hồng Nhung; Phan Thị Phương; Lê Ngọc Sang; Trần Ngọc Bảo Nguyên; Đặng Thị Châu Nghi")</f>
        <v>Lê Thị Hồng Nhung; Phan Thị Phương; Lê Ngọc Sang; Trần Ngọc Bảo Nguyên; Đặng Thị Châu Nghi</v>
      </c>
      <c r="E54" s="4" t="str">
        <f>IFERROR(__xludf.DUMMYFUNCTION("""COMPUTED_VALUE"""),"Trường Đại học Công nghệ TP. Hồ Chí Minh")</f>
        <v>Trường Đại học Công nghệ TP. Hồ Chí Minh</v>
      </c>
      <c r="F54" s="4" t="str">
        <f>IFERROR(__xludf.DUMMYFUNCTION("""COMPUTED_VALUE"""),"KHYD2026-053.png")</f>
        <v>KHYD2026-053.png</v>
      </c>
    </row>
    <row r="55">
      <c r="A55" s="4" t="str">
        <f>IFERROR(__xludf.DUMMYFUNCTION("""COMPUTED_VALUE"""),"KHYD2026-054")</f>
        <v>KHYD2026-054</v>
      </c>
      <c r="B55" s="4" t="str">
        <f>IFERROR(__xludf.DUMMYFUNCTION("""COMPUTED_VALUE"""),"Khoa học Y, Dược")</f>
        <v>Khoa học Y, Dược</v>
      </c>
      <c r="C55" s="4" t="str">
        <f>IFERROR(__xludf.DUMMYFUNCTION("""COMPUTED_VALUE"""),"Khảo sát mối liên quan giữa lối sống với triệu chứng gợi ý viêm loét dạ dày – tá tràng của sinh viên ở hai cơ sở tại một trường đại học ở TP. Hồ Chí Minh năm 2026")</f>
        <v>Khảo sát mối liên quan giữa lối sống với triệu chứng gợi ý viêm loét dạ dày – tá tràng của sinh viên ở hai cơ sở tại một trường đại học ở TP. Hồ Chí Minh năm 2026</v>
      </c>
      <c r="D55" s="4" t="str">
        <f>IFERROR(__xludf.DUMMYFUNCTION("""COMPUTED_VALUE"""),"Trần Nhã Phương; Đinh Ngọc Bảo Trân; Phạm Thị Hoài Thương; Nguyễn Tiền Vi; Sử Ánh Nguyên")</f>
        <v>Trần Nhã Phương; Đinh Ngọc Bảo Trân; Phạm Thị Hoài Thương; Nguyễn Tiền Vi; Sử Ánh Nguyên</v>
      </c>
      <c r="E55" s="4" t="str">
        <f>IFERROR(__xludf.DUMMYFUNCTION("""COMPUTED_VALUE"""),"Trường Đại học Công nghệ TP. Hồ Chí Minh")</f>
        <v>Trường Đại học Công nghệ TP. Hồ Chí Minh</v>
      </c>
      <c r="F55" s="4" t="str">
        <f>IFERROR(__xludf.DUMMYFUNCTION("""COMPUTED_VALUE"""),"KHYD2026-054.png")</f>
        <v>KHYD2026-054.png</v>
      </c>
    </row>
    <row r="56">
      <c r="A56" s="4" t="str">
        <f>IFERROR(__xludf.DUMMYFUNCTION("""COMPUTED_VALUE"""),"KHYD2026-055")</f>
        <v>KHYD2026-055</v>
      </c>
      <c r="B56" s="4" t="str">
        <f>IFERROR(__xludf.DUMMYFUNCTION("""COMPUTED_VALUE"""),"Khoa học Y, Dược")</f>
        <v>Khoa học Y, Dược</v>
      </c>
      <c r="C56" s="4" t="str">
        <f>IFERROR(__xludf.DUMMYFUNCTION("""COMPUTED_VALUE"""),"CRCMAMBA: THIẾT KẾ MÔ HÌNH THAM SỐ NHẸ VÀ QUÁ TRÌNH HUẤN LUYỆN ĐA GIAI ĐOẠN DỰA TRÊN HỌC ÍT MẪU CHO TÁC VỤ PHÂN LOẠI ẢNH MÔ BỆNH HỌC CĂN BỆNH UNG THƯ ĐẠI TRỰC TRÀNG")</f>
        <v>CRCMAMBA: THIẾT KẾ MÔ HÌNH THAM SỐ NHẸ VÀ QUÁ TRÌNH HUẤN LUYỆN ĐA GIAI ĐOẠN DỰA TRÊN HỌC ÍT MẪU CHO TÁC VỤ PHÂN LOẠI ẢNH MÔ BỆNH HỌC CĂN BỆNH UNG THƯ ĐẠI TRỰC TRÀNG</v>
      </c>
      <c r="D56" s="4" t="str">
        <f>IFERROR(__xludf.DUMMYFUNCTION("""COMPUTED_VALUE"""),"Hà Minh Trường; Nguyễn Gia Phú")</f>
        <v>Hà Minh Trường; Nguyễn Gia Phú</v>
      </c>
      <c r="E56" s="4" t="str">
        <f>IFERROR(__xludf.DUMMYFUNCTION("""COMPUTED_VALUE"""),"Trường Đại học Công nghệ Thông tin, ĐHQG-HCM")</f>
        <v>Trường Đại học Công nghệ Thông tin, ĐHQG-HCM</v>
      </c>
      <c r="F56" s="4" t="str">
        <f>IFERROR(__xludf.DUMMYFUNCTION("""COMPUTED_VALUE"""),"KHYD2026-055.png")</f>
        <v>KHYD2026-055.png</v>
      </c>
    </row>
    <row r="57">
      <c r="A57" s="4" t="str">
        <f>IFERROR(__xludf.DUMMYFUNCTION("""COMPUTED_VALUE"""),"KHYD2026-056")</f>
        <v>KHYD2026-056</v>
      </c>
      <c r="B57" s="4" t="str">
        <f>IFERROR(__xludf.DUMMYFUNCTION("""COMPUTED_VALUE"""),"Khoa học Y, Dược")</f>
        <v>Khoa học Y, Dược</v>
      </c>
      <c r="C57" s="4" t="str">
        <f>IFERROR(__xludf.DUMMYFUNCTION("""COMPUTED_VALUE"""),"Phát hiện sớm nguy cơ suy thận mạn tính bằng kỹ thuật học máy: Ứng dụng trong hỗ trợ quyết định y khoa")</f>
        <v>Phát hiện sớm nguy cơ suy thận mạn tính bằng kỹ thuật học máy: Ứng dụng trong hỗ trợ quyết định y khoa</v>
      </c>
      <c r="D57" s="4" t="str">
        <f>IFERROR(__xludf.DUMMYFUNCTION("""COMPUTED_VALUE"""),"Nguyễn Ngọc Thảo Nhi")</f>
        <v>Nguyễn Ngọc Thảo Nhi</v>
      </c>
      <c r="E57" s="4" t="str">
        <f>IFERROR(__xludf.DUMMYFUNCTION("""COMPUTED_VALUE"""),"Trường Đại học Mở TP. Hồ Chí Minh")</f>
        <v>Trường Đại học Mở TP. Hồ Chí Minh</v>
      </c>
      <c r="F57" s="4" t="str">
        <f>IFERROR(__xludf.DUMMYFUNCTION("""COMPUTED_VALUE"""),"KHYD2026-056.png")</f>
        <v>KHYD2026-056.png</v>
      </c>
    </row>
    <row r="58">
      <c r="A58" s="4" t="str">
        <f>IFERROR(__xludf.DUMMYFUNCTION("""COMPUTED_VALUE"""),"KHYD2026-057")</f>
        <v>KHYD2026-057</v>
      </c>
      <c r="B58" s="4" t="str">
        <f>IFERROR(__xludf.DUMMYFUNCTION("""COMPUTED_VALUE"""),"Khoa học Y, Dược")</f>
        <v>Khoa học Y, Dược</v>
      </c>
      <c r="C58" s="4" t="str">
        <f>IFERROR(__xludf.DUMMYFUNCTION("""COMPUTED_VALUE"""),"Đánh giá mối liên hệ giữa mức độ phơi nhiễm giao thông với chức năng hô hấp và chỉ số viêm hệ thống ở bệnh nhân COPD tại Bệnh viện Đa khoa Lãnh Binh Thăng giai đoạn 2020–2025")</f>
        <v>Đánh giá mối liên hệ giữa mức độ phơi nhiễm giao thông với chức năng hô hấp và chỉ số viêm hệ thống ở bệnh nhân COPD tại Bệnh viện Đa khoa Lãnh Binh Thăng giai đoạn 2020–2025</v>
      </c>
      <c r="D58" s="4" t="str">
        <f>IFERROR(__xludf.DUMMYFUNCTION("""COMPUTED_VALUE"""),"Đặng Bảo Vân; Thân Trần Minh Tâm; Phạm Hồ Minh Anh")</f>
        <v>Đặng Bảo Vân; Thân Trần Minh Tâm; Phạm Hồ Minh Anh</v>
      </c>
      <c r="E58" s="4" t="str">
        <f>IFERROR(__xludf.DUMMYFUNCTION("""COMPUTED_VALUE"""),"Trường Đại học Văn Lang")</f>
        <v>Trường Đại học Văn Lang</v>
      </c>
      <c r="F58" s="4" t="str">
        <f>IFERROR(__xludf.DUMMYFUNCTION("""COMPUTED_VALUE"""),"KHYD2026-057.png")</f>
        <v>KHYD2026-057.png</v>
      </c>
    </row>
    <row r="59">
      <c r="A59" s="4" t="str">
        <f>IFERROR(__xludf.DUMMYFUNCTION("""COMPUTED_VALUE"""),"KHYD2026-058")</f>
        <v>KHYD2026-058</v>
      </c>
      <c r="B59" s="4" t="str">
        <f>IFERROR(__xludf.DUMMYFUNCTION("""COMPUTED_VALUE"""),"Khoa học Y, Dược")</f>
        <v>Khoa học Y, Dược</v>
      </c>
      <c r="C59" s="4" t="str">
        <f>IFERROR(__xludf.DUMMYFUNCTION("""COMPUTED_VALUE"""),"Khảo sát nỗi lo sợ nha khoa của sinh viên Trường Đại học Văn Lang và các yếu tố liên quan")</f>
        <v>Khảo sát nỗi lo sợ nha khoa của sinh viên Trường Đại học Văn Lang và các yếu tố liên quan</v>
      </c>
      <c r="D59" s="4" t="str">
        <f>IFERROR(__xludf.DUMMYFUNCTION("""COMPUTED_VALUE"""),"Nguyễn Lê Phương Nghi; Nguyễn Thị Thuỳ Linh; Lâm Nguyễn Đoan Trang; Nguyễn Lý Bảo Trâm; Nguyễn Ngọc Thanh Tuyền")</f>
        <v>Nguyễn Lê Phương Nghi; Nguyễn Thị Thuỳ Linh; Lâm Nguyễn Đoan Trang; Nguyễn Lý Bảo Trâm; Nguyễn Ngọc Thanh Tuyền</v>
      </c>
      <c r="E59" s="4" t="str">
        <f>IFERROR(__xludf.DUMMYFUNCTION("""COMPUTED_VALUE"""),"Trường Đại học Văn Lang")</f>
        <v>Trường Đại học Văn Lang</v>
      </c>
      <c r="F59" s="4" t="str">
        <f>IFERROR(__xludf.DUMMYFUNCTION("""COMPUTED_VALUE"""),"KHYD2026-058.png")</f>
        <v>KHYD2026-058.png</v>
      </c>
    </row>
    <row r="60">
      <c r="A60" s="4" t="str">
        <f>IFERROR(__xludf.DUMMYFUNCTION("""COMPUTED_VALUE"""),"KHYD2026-059")</f>
        <v>KHYD2026-059</v>
      </c>
      <c r="B60" s="4" t="str">
        <f>IFERROR(__xludf.DUMMYFUNCTION("""COMPUTED_VALUE"""),"Khoa học Y, Dược")</f>
        <v>Khoa học Y, Dược</v>
      </c>
      <c r="C60" s="4" t="str">
        <f>IFERROR(__xludf.DUMMYFUNCTION("""COMPUTED_VALUE"""),"Xây dựng quy trình sản xuất mẫu ngoại kiểm tế bào học cổ tử cung bằng kỹ thuật tạo mẫu gộp và phương pháp nhuộm Papanicolaou.")</f>
        <v>Xây dựng quy trình sản xuất mẫu ngoại kiểm tế bào học cổ tử cung bằng kỹ thuật tạo mẫu gộp và phương pháp nhuộm Papanicolaou.</v>
      </c>
      <c r="D60" s="4" t="str">
        <f>IFERROR(__xludf.DUMMYFUNCTION("""COMPUTED_VALUE"""),"Châu Kim Luân")</f>
        <v>Châu Kim Luân</v>
      </c>
      <c r="E60" s="4" t="str">
        <f>IFERROR(__xludf.DUMMYFUNCTION("""COMPUTED_VALUE"""),"Đại học Y Dược TP. Hồ Chí Minh")</f>
        <v>Đại học Y Dược TP. Hồ Chí Minh</v>
      </c>
      <c r="F60" s="4" t="str">
        <f>IFERROR(__xludf.DUMMYFUNCTION("""COMPUTED_VALUE"""),"KHYD2026-059.png")</f>
        <v>KHYD2026-059.png</v>
      </c>
    </row>
    <row r="61">
      <c r="A61" s="4" t="str">
        <f>IFERROR(__xludf.DUMMYFUNCTION("""COMPUTED_VALUE"""),"KHYD2026-060")</f>
        <v>KHYD2026-060</v>
      </c>
      <c r="B61" s="4" t="str">
        <f>IFERROR(__xludf.DUMMYFUNCTION("""COMPUTED_VALUE"""),"Khoa học Y, Dược")</f>
        <v>Khoa học Y, Dược</v>
      </c>
      <c r="C61" s="4" t="str">
        <f>IFERROR(__xludf.DUMMYFUNCTION("""COMPUTED_VALUE"""),"Kiến thức và thái độ về xử trí phơi nhiễm với vật sắc nhọn của sinh viên điều dưỡng Trường Đại học Khoa học Sức khỏe")</f>
        <v>Kiến thức và thái độ về xử trí phơi nhiễm với vật sắc nhọn của sinh viên điều dưỡng Trường Đại học Khoa học Sức khỏe</v>
      </c>
      <c r="D61" s="4" t="str">
        <f>IFERROR(__xludf.DUMMYFUNCTION("""COMPUTED_VALUE"""),"Đỗ Nguyễn Mai Trinh; Nguyễn Minh Thụy; Nguyễn Ngọc Trân; Nguyễn Đặng Kim Thủy; Nguyễn Thị Trúc")</f>
        <v>Đỗ Nguyễn Mai Trinh; Nguyễn Minh Thụy; Nguyễn Ngọc Trân; Nguyễn Đặng Kim Thủy; Nguyễn Thị Trúc</v>
      </c>
      <c r="E61" s="4" t="str">
        <f>IFERROR(__xludf.DUMMYFUNCTION("""COMPUTED_VALUE"""),"Trường Đại học Khoa học Sức khỏe, ĐHQG-HCM")</f>
        <v>Trường Đại học Khoa học Sức khỏe, ĐHQG-HCM</v>
      </c>
      <c r="F61" s="4" t="str">
        <f>IFERROR(__xludf.DUMMYFUNCTION("""COMPUTED_VALUE"""),"KHYD2026-060.png")</f>
        <v>KHYD2026-060.png</v>
      </c>
    </row>
    <row r="62">
      <c r="A62" s="4" t="str">
        <f>IFERROR(__xludf.DUMMYFUNCTION("""COMPUTED_VALUE"""),"KHYD2026-061")</f>
        <v>KHYD2026-061</v>
      </c>
      <c r="B62" s="4" t="str">
        <f>IFERROR(__xludf.DUMMYFUNCTION("""COMPUTED_VALUE"""),"Khoa học Y, Dược")</f>
        <v>Khoa học Y, Dược</v>
      </c>
      <c r="C62" s="4" t="str">
        <f>IFERROR(__xludf.DUMMYFUNCTION("""COMPUTED_VALUE"""),"Nghiên cứu dấu ấn sinh học hỗ trợ chẩn đoán ung thư biểu mô tế bào gai khoang miệng bằng phương pháp phân tích hệ phiên mã tích hợp")</f>
        <v>Nghiên cứu dấu ấn sinh học hỗ trợ chẩn đoán ung thư biểu mô tế bào gai khoang miệng bằng phương pháp phân tích hệ phiên mã tích hợp</v>
      </c>
      <c r="D62" s="4" t="str">
        <f>IFERROR(__xludf.DUMMYFUNCTION("""COMPUTED_VALUE"""),"Lương Công Đức; Huỳnh Hoàng Thương; Trần Yến Nhi; Nguyễn Thị Thảo Quyên; Đặng Phan Ngọc Hậu")</f>
        <v>Lương Công Đức; Huỳnh Hoàng Thương; Trần Yến Nhi; Nguyễn Thị Thảo Quyên; Đặng Phan Ngọc Hậu</v>
      </c>
      <c r="E62" s="4" t="str">
        <f>IFERROR(__xludf.DUMMYFUNCTION("""COMPUTED_VALUE"""),"Trường Đại học Y Dược Cần Thơ")</f>
        <v>Trường Đại học Y Dược Cần Thơ</v>
      </c>
      <c r="F62" s="4" t="str">
        <f>IFERROR(__xludf.DUMMYFUNCTION("""COMPUTED_VALUE"""),"KHYD2026-061.png")</f>
        <v>KHYD2026-061.png</v>
      </c>
    </row>
    <row r="63">
      <c r="A63" s="4" t="str">
        <f>IFERROR(__xludf.DUMMYFUNCTION("""COMPUTED_VALUE"""),"KHYD2026-062")</f>
        <v>KHYD2026-062</v>
      </c>
      <c r="B63" s="4" t="str">
        <f>IFERROR(__xludf.DUMMYFUNCTION("""COMPUTED_VALUE"""),"Khoa học Y, Dược")</f>
        <v>Khoa học Y, Dược</v>
      </c>
      <c r="C63" s="4" t="str">
        <f>IFERROR(__xludf.DUMMYFUNCTION("""COMPUTED_VALUE"""),"Hiệu quả giảm lo âu trên thai phụ chọc ối bằng công cụ STOP-4P: một thử nghiệm lâm sàng ngẫu nhiên có đối chứng tại Bệnh viện Hùng Vương")</f>
        <v>Hiệu quả giảm lo âu trên thai phụ chọc ối bằng công cụ STOP-4P: một thử nghiệm lâm sàng ngẫu nhiên có đối chứng tại Bệnh viện Hùng Vương</v>
      </c>
      <c r="D63" s="4" t="str">
        <f>IFERROR(__xludf.DUMMYFUNCTION("""COMPUTED_VALUE"""),"Trần Quỳnh Nguyên; Thân Trọng Mai Thanh; Huỳnh Lê Đăng Khoa; Nguyễn Ngọc Bảo Nhi")</f>
        <v>Trần Quỳnh Nguyên; Thân Trọng Mai Thanh; Huỳnh Lê Đăng Khoa; Nguyễn Ngọc Bảo Nhi</v>
      </c>
      <c r="E63" s="4" t="str">
        <f>IFERROR(__xludf.DUMMYFUNCTION("""COMPUTED_VALUE"""),"Trường Đại học Khoa học xã hội và Nhân văn, ĐHQG-HCM")</f>
        <v>Trường Đại học Khoa học xã hội và Nhân văn, ĐHQG-HCM</v>
      </c>
      <c r="F63" s="4" t="str">
        <f>IFERROR(__xludf.DUMMYFUNCTION("""COMPUTED_VALUE"""),"KHYD2026-062.png")</f>
        <v>KHYD2026-062.png</v>
      </c>
    </row>
    <row r="64">
      <c r="A64" s="4" t="str">
        <f>IFERROR(__xludf.DUMMYFUNCTION("""COMPUTED_VALUE"""),"KHYD2026-063")</f>
        <v>KHYD2026-063</v>
      </c>
      <c r="B64" s="4" t="str">
        <f>IFERROR(__xludf.DUMMYFUNCTION("""COMPUTED_VALUE"""),"Khoa học Y, Dược")</f>
        <v>Khoa học Y, Dược</v>
      </c>
      <c r="C64" s="4" t="str">
        <f>IFERROR(__xludf.DUMMYFUNCTION("""COMPUTED_VALUE"""),"KHẢO SÁT TỶ LỆ TÍN HIỆU T1W/T2W TRÊN HÌNH ẢNH CỘNG HƯỞNG TỪ NÃO Ở NGƯỜI VIỆT NAM TRƯỞNG THÀNH KHÔNG CÓ TỔN THƯƠNG THẦN KINH TẠI BỆNH VIỆN ĐA KHOA LÃNH BINH THĂNG")</f>
        <v>KHẢO SÁT TỶ LỆ TÍN HIỆU T1W/T2W TRÊN HÌNH ẢNH CỘNG HƯỞNG TỪ NÃO Ở NGƯỜI VIỆT NAM TRƯỞNG THÀNH KHÔNG CÓ TỔN THƯƠNG THẦN KINH TẠI BỆNH VIỆN ĐA KHOA LÃNH BINH THĂNG</v>
      </c>
      <c r="D64" s="4" t="str">
        <f>IFERROR(__xludf.DUMMYFUNCTION("""COMPUTED_VALUE"""),"Nguyễn Thị Thùy Dung")</f>
        <v>Nguyễn Thị Thùy Dung</v>
      </c>
      <c r="E64" s="4" t="str">
        <f>IFERROR(__xludf.DUMMYFUNCTION("""COMPUTED_VALUE"""),"Trường Đại học Y khoa Phạm Ngọc Thạch")</f>
        <v>Trường Đại học Y khoa Phạm Ngọc Thạch</v>
      </c>
      <c r="F64" s="4" t="str">
        <f>IFERROR(__xludf.DUMMYFUNCTION("""COMPUTED_VALUE"""),"KHYD2026-063.png")</f>
        <v>KHYD2026-063.png</v>
      </c>
    </row>
    <row r="65">
      <c r="A65" s="4" t="str">
        <f>IFERROR(__xludf.DUMMYFUNCTION("""COMPUTED_VALUE"""),"KHYD2026-064")</f>
        <v>KHYD2026-064</v>
      </c>
      <c r="B65" s="4" t="str">
        <f>IFERROR(__xludf.DUMMYFUNCTION("""COMPUTED_VALUE"""),"Khoa học Y, Dược")</f>
        <v>Khoa học Y, Dược</v>
      </c>
      <c r="C65" s="4" t="str">
        <f>IFERROR(__xludf.DUMMYFUNCTION("""COMPUTED_VALUE"""),"Nghiên cứu sự thay đổi về thông tin di truyền và biểu hiện gen ở bệnh lý Alzheimer, sử dụng dữ liệu sinh học single cell – RNA sequencing")</f>
        <v>Nghiên cứu sự thay đổi về thông tin di truyền và biểu hiện gen ở bệnh lý Alzheimer, sử dụng dữ liệu sinh học single cell – RNA sequencing</v>
      </c>
      <c r="D65" s="4" t="str">
        <f>IFERROR(__xludf.DUMMYFUNCTION("""COMPUTED_VALUE"""),"Trần vân An; Mạc Thu Trang; Phạm Đức Anh; Nguyễn Trang Nhung; Nguyễn Trần Phương Thảo")</f>
        <v>Trần vân An; Mạc Thu Trang; Phạm Đức Anh; Nguyễn Trang Nhung; Nguyễn Trần Phương Thảo</v>
      </c>
      <c r="E65" s="4" t="str">
        <f>IFERROR(__xludf.DUMMYFUNCTION("""COMPUTED_VALUE"""),"Đại học Phenikaa")</f>
        <v>Đại học Phenikaa</v>
      </c>
      <c r="F65" s="4" t="str">
        <f>IFERROR(__xludf.DUMMYFUNCTION("""COMPUTED_VALUE"""),"KHYD2026-064.png")</f>
        <v>KHYD2026-064.png</v>
      </c>
    </row>
    <row r="66">
      <c r="A66" s="4" t="str">
        <f>IFERROR(__xludf.DUMMYFUNCTION("""COMPUTED_VALUE"""),"KHYD2026-065")</f>
        <v>KHYD2026-065</v>
      </c>
      <c r="B66" s="4" t="str">
        <f>IFERROR(__xludf.DUMMYFUNCTION("""COMPUTED_VALUE"""),"Khoa học Y, Dược")</f>
        <v>Khoa học Y, Dược</v>
      </c>
      <c r="C66" s="4" t="str">
        <f>IFERROR(__xludf.DUMMYFUNCTION("""COMPUTED_VALUE"""),"Sàng lọc hoạt tính kháng khuẩn của một số thảo dược bằng kỹ thuật khoanh giấy khuếch tán tại Trung tâm xét nghiệm, Trường Đại học Y tế công cộng giai đoạn 2025 - 2026")</f>
        <v>Sàng lọc hoạt tính kháng khuẩn của một số thảo dược bằng kỹ thuật khoanh giấy khuếch tán tại Trung tâm xét nghiệm, Trường Đại học Y tế công cộng giai đoạn 2025 - 2026</v>
      </c>
      <c r="D66" s="4" t="str">
        <f>IFERROR(__xludf.DUMMYFUNCTION("""COMPUTED_VALUE"""),"Đinh Thị Ngọc Ánh; Nguyễn Kiều Việt Hoa; Nguyễn Ngọc Anh; Bùi Trịnh Bảo Lâm; Trịnh Ngọc Kiên")</f>
        <v>Đinh Thị Ngọc Ánh; Nguyễn Kiều Việt Hoa; Nguyễn Ngọc Anh; Bùi Trịnh Bảo Lâm; Trịnh Ngọc Kiên</v>
      </c>
      <c r="E66" s="4" t="str">
        <f>IFERROR(__xludf.DUMMYFUNCTION("""COMPUTED_VALUE"""),"Trường Đại học Y tế Công cộng")</f>
        <v>Trường Đại học Y tế Công cộng</v>
      </c>
      <c r="F66" s="4" t="str">
        <f>IFERROR(__xludf.DUMMYFUNCTION("""COMPUTED_VALUE"""),"KHYD2026-065.png")</f>
        <v>KHYD2026-065.png</v>
      </c>
    </row>
    <row r="67">
      <c r="A67" s="4" t="str">
        <f>IFERROR(__xludf.DUMMYFUNCTION("""COMPUTED_VALUE"""),"KHYD2026-066")</f>
        <v>KHYD2026-066</v>
      </c>
      <c r="B67" s="4" t="str">
        <f>IFERROR(__xludf.DUMMYFUNCTION("""COMPUTED_VALUE"""),"Khoa học Y, Dược")</f>
        <v>Khoa học Y, Dược</v>
      </c>
      <c r="C67" s="4" t="str">
        <f>IFERROR(__xludf.DUMMYFUNCTION("""COMPUTED_VALUE"""),"Sàng lọc ảo các ứng viên dicarbonyl hữu cơ thay thế formalin cho cố định mô tương thích với hóa mô miễn dịch (IHC): Quy trình in silico đa tiêu chí.")</f>
        <v>Sàng lọc ảo các ứng viên dicarbonyl hữu cơ thay thế formalin cho cố định mô tương thích với hóa mô miễn dịch (IHC): Quy trình in silico đa tiêu chí.</v>
      </c>
      <c r="D67" s="4" t="str">
        <f>IFERROR(__xludf.DUMMYFUNCTION("""COMPUTED_VALUE"""),"Nguyễn Minh Gia Khang; Lý Thị Bích Hồng; Thân Trần Minh Tâm; Trương Chánh Tín")</f>
        <v>Nguyễn Minh Gia Khang; Lý Thị Bích Hồng; Thân Trần Minh Tâm; Trương Chánh Tín</v>
      </c>
      <c r="E67" s="4" t="str">
        <f>IFERROR(__xludf.DUMMYFUNCTION("""COMPUTED_VALUE"""),"Trường Đại học Văn Lang")</f>
        <v>Trường Đại học Văn Lang</v>
      </c>
      <c r="F67" s="4" t="str">
        <f>IFERROR(__xludf.DUMMYFUNCTION("""COMPUTED_VALUE"""),"KHYD2026-066.png")</f>
        <v>KHYD2026-066.png</v>
      </c>
    </row>
    <row r="68">
      <c r="A68" s="4" t="str">
        <f>IFERROR(__xludf.DUMMYFUNCTION("""COMPUTED_VALUE"""),"KHYD2026-067")</f>
        <v>KHYD2026-067</v>
      </c>
      <c r="B68" s="4" t="str">
        <f>IFERROR(__xludf.DUMMYFUNCTION("""COMPUTED_VALUE"""),"Khoa học Y, Dược")</f>
        <v>Khoa học Y, Dược</v>
      </c>
      <c r="C68" s="4" t="str">
        <f>IFERROR(__xludf.DUMMYFUNCTION("""COMPUTED_VALUE"""),"Đánh giá độ chính xác của dấu kỹ thuật số ống mang chốt có chiều dài và đường kính khác nhau: Nghiên cứu in vitro")</f>
        <v>Đánh giá độ chính xác của dấu kỹ thuật số ống mang chốt có chiều dài và đường kính khác nhau: Nghiên cứu in vitro</v>
      </c>
      <c r="D68" s="4" t="str">
        <f>IFERROR(__xludf.DUMMYFUNCTION("""COMPUTED_VALUE"""),"Lê Giũ Phụng; Nguyễn Trương Nam Thuận; Phan Trần Khánh Phương; Lê Nguyễn Yến Nhi; Phạm Mạnh Hùng")</f>
        <v>Lê Giũ Phụng; Nguyễn Trương Nam Thuận; Phan Trần Khánh Phương; Lê Nguyễn Yến Nhi; Phạm Mạnh Hùng</v>
      </c>
      <c r="E68" s="4" t="str">
        <f>IFERROR(__xludf.DUMMYFUNCTION("""COMPUTED_VALUE"""),"Trường Đại học Văn Lang")</f>
        <v>Trường Đại học Văn Lang</v>
      </c>
      <c r="F68" s="4" t="str">
        <f>IFERROR(__xludf.DUMMYFUNCTION("""COMPUTED_VALUE"""),"KHYD2026-067.png")</f>
        <v>KHYD2026-067.png</v>
      </c>
    </row>
    <row r="69">
      <c r="A69" s="4" t="str">
        <f>IFERROR(__xludf.DUMMYFUNCTION("""COMPUTED_VALUE"""),"KHYD2026-068")</f>
        <v>KHYD2026-068</v>
      </c>
      <c r="B69" s="4" t="str">
        <f>IFERROR(__xludf.DUMMYFUNCTION("""COMPUTED_VALUE"""),"Khoa học Y, Dược")</f>
        <v>Khoa học Y, Dược</v>
      </c>
      <c r="C69" s="4" t="str">
        <f>IFERROR(__xludf.DUMMYFUNCTION("""COMPUTED_VALUE"""),"Xác định epitope đặc hiệu khối u và đề xuất ứng viên vaccine đa epitope cho bệnh Tân sinh tăng sinh tủy bằng tin sinh miễn dịch")</f>
        <v>Xác định epitope đặc hiệu khối u và đề xuất ứng viên vaccine đa epitope cho bệnh Tân sinh tăng sinh tủy bằng tin sinh miễn dịch</v>
      </c>
      <c r="D69" s="4" t="str">
        <f>IFERROR(__xludf.DUMMYFUNCTION("""COMPUTED_VALUE"""),"Huỳnh Gia Phúc; Lê Quốc Việt; Lê Hoàng Bảo Châu; Hình Ngọc Tường Hảo")</f>
        <v>Huỳnh Gia Phúc; Lê Quốc Việt; Lê Hoàng Bảo Châu; Hình Ngọc Tường Hảo</v>
      </c>
      <c r="E69" s="4" t="str">
        <f>IFERROR(__xludf.DUMMYFUNCTION("""COMPUTED_VALUE"""),"Trường Đại học Khoa học Sức khỏe, ĐHQG-HCM")</f>
        <v>Trường Đại học Khoa học Sức khỏe, ĐHQG-HCM</v>
      </c>
      <c r="F69" s="4" t="str">
        <f>IFERROR(__xludf.DUMMYFUNCTION("""COMPUTED_VALUE"""),"KHYD2026-068.png")</f>
        <v>KHYD2026-068.png</v>
      </c>
    </row>
    <row r="70">
      <c r="A70" s="4" t="str">
        <f>IFERROR(__xludf.DUMMYFUNCTION("""COMPUTED_VALUE"""),"KHYD2026-069")</f>
        <v>KHYD2026-069</v>
      </c>
      <c r="B70" s="4" t="str">
        <f>IFERROR(__xludf.DUMMYFUNCTION("""COMPUTED_VALUE"""),"Khoa học Y, Dược")</f>
        <v>Khoa học Y, Dược</v>
      </c>
      <c r="C70" s="4" t="str">
        <f>IFERROR(__xludf.DUMMYFUNCTION("""COMPUTED_VALUE"""),"ĐỊNH DANH LOÀI BẰNG PHƯƠNG PHÁP SINH HỌC PHÂN TỬ VÀ KHẢO SÁT CÁC GEN LIÊN QUAN ĐẾN KHÁNG KHÁNG SINH Ở ENTEROCOCCUS FAECALIS")</f>
        <v>ĐỊNH DANH LOÀI BẰNG PHƯƠNG PHÁP SINH HỌC PHÂN TỬ VÀ KHẢO SÁT CÁC GEN LIÊN QUAN ĐẾN KHÁNG KHÁNG SINH Ở ENTEROCOCCUS FAECALIS</v>
      </c>
      <c r="D70" s="4" t="str">
        <f>IFERROR(__xludf.DUMMYFUNCTION("""COMPUTED_VALUE"""),"Phạm Nguyễn Huy Hoàng; Nguyễn Như Hoàng Oanh")</f>
        <v>Phạm Nguyễn Huy Hoàng; Nguyễn Như Hoàng Oanh</v>
      </c>
      <c r="E70" s="4" t="str">
        <f>IFERROR(__xludf.DUMMYFUNCTION("""COMPUTED_VALUE"""),"Trường Đại học Nguyễn Tất Thành")</f>
        <v>Trường Đại học Nguyễn Tất Thành</v>
      </c>
      <c r="F70" s="4" t="str">
        <f>IFERROR(__xludf.DUMMYFUNCTION("""COMPUTED_VALUE"""),"KHYD2026-069.png")</f>
        <v>KHYD2026-069.png</v>
      </c>
    </row>
    <row r="71">
      <c r="A71" s="4" t="str">
        <f>IFERROR(__xludf.DUMMYFUNCTION("""COMPUTED_VALUE"""),"KHYD2026-070")</f>
        <v>KHYD2026-070</v>
      </c>
      <c r="B71" s="4" t="str">
        <f>IFERROR(__xludf.DUMMYFUNCTION("""COMPUTED_VALUE"""),"Khoa học Y, Dược")</f>
        <v>Khoa học Y, Dược</v>
      </c>
      <c r="C71" s="4" t="str">
        <f>IFERROR(__xludf.DUMMYFUNCTION("""COMPUTED_VALUE"""),"Viêm phổi kém đáp ứng điều trị và một số yếu tố liên quan ở trẻ 2 tháng đến 5 tuổi tại Bệnh viện đa khoa vùng Tây Nguyên")</f>
        <v>Viêm phổi kém đáp ứng điều trị và một số yếu tố liên quan ở trẻ 2 tháng đến 5 tuổi tại Bệnh viện đa khoa vùng Tây Nguyên</v>
      </c>
      <c r="D71" s="4" t="str">
        <f>IFERROR(__xludf.DUMMYFUNCTION("""COMPUTED_VALUE"""),"TRẦN THỊ THANH NHÀN; PHAN VĂN YÊN; NGUYỄN CÔNG TÂM; NGUYỄN KIỀU BĂNG LINH")</f>
        <v>TRẦN THỊ THANH NHÀN; PHAN VĂN YÊN; NGUYỄN CÔNG TÂM; NGUYỄN KIỀU BĂNG LINH</v>
      </c>
      <c r="E71" s="4" t="str">
        <f>IFERROR(__xludf.DUMMYFUNCTION("""COMPUTED_VALUE"""),"Trường Đại học Tây Nguyên")</f>
        <v>Trường Đại học Tây Nguyên</v>
      </c>
      <c r="F71" s="4" t="str">
        <f>IFERROR(__xludf.DUMMYFUNCTION("""COMPUTED_VALUE"""),"KHYD2026-070.png")</f>
        <v>KHYD2026-070.png</v>
      </c>
    </row>
    <row r="72">
      <c r="A72" s="4" t="str">
        <f>IFERROR(__xludf.DUMMYFUNCTION("""COMPUTED_VALUE"""),"KHYD2026-071")</f>
        <v>KHYD2026-071</v>
      </c>
      <c r="B72" s="4" t="str">
        <f>IFERROR(__xludf.DUMMYFUNCTION("""COMPUTED_VALUE"""),"Khoa học Y, Dược")</f>
        <v>Khoa học Y, Dược</v>
      </c>
      <c r="C72" s="4" t="str">
        <f>IFERROR(__xludf.DUMMYFUNCTION("""COMPUTED_VALUE"""),"Tỉ lệ rối loạn lo âu sau đột quỵ và một số yếu tố liên quan ở bệnh nhân điều trị tại Bệnh viện Y học Cổ truyền tỉnh Đắk Lắk, năm 2024.")</f>
        <v>Tỉ lệ rối loạn lo âu sau đột quỵ và một số yếu tố liên quan ở bệnh nhân điều trị tại Bệnh viện Y học Cổ truyền tỉnh Đắk Lắk, năm 2024.</v>
      </c>
      <c r="D72" s="4" t="str">
        <f>IFERROR(__xludf.DUMMYFUNCTION("""COMPUTED_VALUE"""),"Nguyễn Thị Thảo Nguyên; Lâm Ngọc Quỳnh Anh; Đỗ Thanh Cao; Nguyễn Phúc Nguyên; Nguyễn Minh Hạnh")</f>
        <v>Nguyễn Thị Thảo Nguyên; Lâm Ngọc Quỳnh Anh; Đỗ Thanh Cao; Nguyễn Phúc Nguyên; Nguyễn Minh Hạnh</v>
      </c>
      <c r="E72" s="4" t="str">
        <f>IFERROR(__xludf.DUMMYFUNCTION("""COMPUTED_VALUE"""),"Trường Đại học Tây Nguyên")</f>
        <v>Trường Đại học Tây Nguyên</v>
      </c>
      <c r="F72" s="4" t="str">
        <f>IFERROR(__xludf.DUMMYFUNCTION("""COMPUTED_VALUE"""),"KHYD2026-071.png")</f>
        <v>KHYD2026-071.png</v>
      </c>
    </row>
    <row r="73">
      <c r="A73" s="4" t="str">
        <f>IFERROR(__xludf.DUMMYFUNCTION("""COMPUTED_VALUE"""),"KHYD2026-072")</f>
        <v>KHYD2026-072</v>
      </c>
      <c r="B73" s="4" t="str">
        <f>IFERROR(__xludf.DUMMYFUNCTION("""COMPUTED_VALUE"""),"Khoa học Y, Dược")</f>
        <v>Khoa học Y, Dược</v>
      </c>
      <c r="C73" s="4" t="str">
        <f>IFERROR(__xludf.DUMMYFUNCTION("""COMPUTED_VALUE"""),"Ảnh hưởng của keo dán, kiểu trùng hợp và phương pháp chế tác lên độ bền dán của mắc cài cá nhân với chụp zirconia nguyên khối")</f>
        <v>Ảnh hưởng của keo dán, kiểu trùng hợp và phương pháp chế tác lên độ bền dán của mắc cài cá nhân với chụp zirconia nguyên khối</v>
      </c>
      <c r="D73" s="4" t="str">
        <f>IFERROR(__xludf.DUMMYFUNCTION("""COMPUTED_VALUE"""),"Trần Minh Ngọc; Hà Thị Bích Ngọc; Phạm Ngô Thế Minh")</f>
        <v>Trần Minh Ngọc; Hà Thị Bích Ngọc; Phạm Ngô Thế Minh</v>
      </c>
      <c r="E73" s="4" t="str">
        <f>IFERROR(__xludf.DUMMYFUNCTION("""COMPUTED_VALUE"""),"Đại học Phenikaa")</f>
        <v>Đại học Phenikaa</v>
      </c>
      <c r="F73" s="4" t="str">
        <f>IFERROR(__xludf.DUMMYFUNCTION("""COMPUTED_VALUE"""),"KHYD2026-072.png")</f>
        <v>KHYD2026-072.png</v>
      </c>
    </row>
    <row r="74">
      <c r="A74" s="4" t="str">
        <f>IFERROR(__xludf.DUMMYFUNCTION("""COMPUTED_VALUE"""),"KHYD2026-073")</f>
        <v>KHYD2026-073</v>
      </c>
      <c r="B74" s="4" t="str">
        <f>IFERROR(__xludf.DUMMYFUNCTION("""COMPUTED_VALUE"""),"Khoa học Y, Dược")</f>
        <v>Khoa học Y, Dược</v>
      </c>
      <c r="C74" s="4" t="str">
        <f>IFERROR(__xludf.DUMMYFUNCTION("""COMPUTED_VALUE"""),"Đánh giá tiêu chí sẵn sàng xuất viện ở người bệnh sau phẫu thuật u não tại Bệnh viện Hữu nghị Việt Đức năm 2026")</f>
        <v>Đánh giá tiêu chí sẵn sàng xuất viện ở người bệnh sau phẫu thuật u não tại Bệnh viện Hữu nghị Việt Đức năm 2026</v>
      </c>
      <c r="D74" s="4" t="str">
        <f>IFERROR(__xludf.DUMMYFUNCTION("""COMPUTED_VALUE"""),"Nguyễn Thu Uyên; Bùi Thúy Vy; Hoàng Thị Như; Nguyễn Thị Phương Thanh; Phạm Thị Khánh Hòa")</f>
        <v>Nguyễn Thu Uyên; Bùi Thúy Vy; Hoàng Thị Như; Nguyễn Thị Phương Thanh; Phạm Thị Khánh Hòa</v>
      </c>
      <c r="E74" s="4" t="str">
        <f>IFERROR(__xludf.DUMMYFUNCTION("""COMPUTED_VALUE"""),"Trường Đại học Thăng Long")</f>
        <v>Trường Đại học Thăng Long</v>
      </c>
      <c r="F74" s="4" t="str">
        <f>IFERROR(__xludf.DUMMYFUNCTION("""COMPUTED_VALUE"""),"KHYD2026-073.png")</f>
        <v>KHYD2026-073.png</v>
      </c>
    </row>
    <row r="75">
      <c r="A75" s="4" t="str">
        <f>IFERROR(__xludf.DUMMYFUNCTION("""COMPUTED_VALUE"""),"KHYD2026-074")</f>
        <v>KHYD2026-074</v>
      </c>
      <c r="B75" s="4" t="str">
        <f>IFERROR(__xludf.DUMMYFUNCTION("""COMPUTED_VALUE"""),"Khoa học Y, Dược")</f>
        <v>Khoa học Y, Dược</v>
      </c>
      <c r="C75" s="4" t="str">
        <f>IFERROR(__xludf.DUMMYFUNCTION("""COMPUTED_VALUE"""),"Đánh giá các phương pháp làm giảm liều thấp vào não lành trong kỹ thuật xạ phẫu lập thể SRS cho ung thư di căn não đa ổ")</f>
        <v>Đánh giá các phương pháp làm giảm liều thấp vào não lành trong kỹ thuật xạ phẫu lập thể SRS cho ung thư di căn não đa ổ</v>
      </c>
      <c r="D75" s="4" t="str">
        <f>IFERROR(__xludf.DUMMYFUNCTION("""COMPUTED_VALUE"""),"Lê Tuấn Anh")</f>
        <v>Lê Tuấn Anh</v>
      </c>
      <c r="E75" s="4" t="str">
        <f>IFERROR(__xludf.DUMMYFUNCTION("""COMPUTED_VALUE"""),"Trường Đại học Khoa học Tự nhiên, ĐHQG-HCM")</f>
        <v>Trường Đại học Khoa học Tự nhiên, ĐHQG-HCM</v>
      </c>
      <c r="F75" s="4" t="str">
        <f>IFERROR(__xludf.DUMMYFUNCTION("""COMPUTED_VALUE"""),"KHYD2026-074.png")</f>
        <v>KHYD2026-074.png</v>
      </c>
    </row>
    <row r="76">
      <c r="A76" s="4" t="str">
        <f>IFERROR(__xludf.DUMMYFUNCTION("""COMPUTED_VALUE"""),"KHYD2026-075")</f>
        <v>KHYD2026-075</v>
      </c>
      <c r="B76" s="4" t="str">
        <f>IFERROR(__xludf.DUMMYFUNCTION("""COMPUTED_VALUE"""),"Khoa học Y, Dược")</f>
        <v>Khoa học Y, Dược</v>
      </c>
      <c r="C76" s="4" t="str">
        <f>IFERROR(__xludf.DUMMYFUNCTION("""COMPUTED_VALUE"""),"Khảo sát mô hình sử dụng và phối hợp thuốc Y học cổ truyền, phân tích mạng lưới dược liệu và xác định các yếu tố liên quan trong điều trị viêm loét dạ dày –tá tràng ở người bệnh Helicobacter pylori âm tính")</f>
        <v>Khảo sát mô hình sử dụng và phối hợp thuốc Y học cổ truyền, phân tích mạng lưới dược liệu và xác định các yếu tố liên quan trong điều trị viêm loét dạ dày –tá tràng ở người bệnh Helicobacter pylori âm tính</v>
      </c>
      <c r="D76" s="4" t="str">
        <f>IFERROR(__xludf.DUMMYFUNCTION("""COMPUTED_VALUE"""),"Trần Thúy Vy")</f>
        <v>Trần Thúy Vy</v>
      </c>
      <c r="E76" s="4" t="str">
        <f>IFERROR(__xludf.DUMMYFUNCTION("""COMPUTED_VALUE"""),"Đại học Y Dược TP. Hồ Chí Minh")</f>
        <v>Đại học Y Dược TP. Hồ Chí Minh</v>
      </c>
      <c r="F76" s="4" t="str">
        <f>IFERROR(__xludf.DUMMYFUNCTION("""COMPUTED_VALUE"""),"KHYD2026-075.png")</f>
        <v>KHYD2026-075.png</v>
      </c>
    </row>
    <row r="77">
      <c r="A77" s="4" t="str">
        <f>IFERROR(__xludf.DUMMYFUNCTION("""COMPUTED_VALUE"""),"KHYD2026-076")</f>
        <v>KHYD2026-076</v>
      </c>
      <c r="B77" s="4" t="str">
        <f>IFERROR(__xludf.DUMMYFUNCTION("""COMPUTED_VALUE"""),"Khoa học Y, Dược")</f>
        <v>Khoa học Y, Dược</v>
      </c>
      <c r="C77" s="4" t="str">
        <f>IFERROR(__xludf.DUMMYFUNCTION("""COMPUTED_VALUE"""),"Đáp ứng tức thời về nhiệt và biên độ vận động cổ chân sau bài tập Xuống Tấn Lắc Thân theo Y học cổ truyền, có hoặc không kết hợp gel làm ấm, ở tình nguyện viên có thể chất Dương hư: nghiên cứu thí điểm theo dõi bằng ATHERM theo thời gian thực")</f>
        <v>Đáp ứng tức thời về nhiệt và biên độ vận động cổ chân sau bài tập Xuống Tấn Lắc Thân theo Y học cổ truyền, có hoặc không kết hợp gel làm ấm, ở tình nguyện viên có thể chất Dương hư: nghiên cứu thí điểm theo dõi bằng ATHERM theo thời gian thực</v>
      </c>
      <c r="D77" s="4" t="str">
        <f>IFERROR(__xludf.DUMMYFUNCTION("""COMPUTED_VALUE"""),"Hoàng Văn Long; Ngô Nam Công; Lê Phan Thế Vinh; Lê Thanh Ngân; Nguyễn Lê Ngọc Ánh")</f>
        <v>Hoàng Văn Long; Ngô Nam Công; Lê Phan Thế Vinh; Lê Thanh Ngân; Nguyễn Lê Ngọc Ánh</v>
      </c>
      <c r="E77" s="4" t="str">
        <f>IFERROR(__xludf.DUMMYFUNCTION("""COMPUTED_VALUE"""),"Đại học Y Dược TP. Hồ Chí Minh")</f>
        <v>Đại học Y Dược TP. Hồ Chí Minh</v>
      </c>
      <c r="F77" s="4" t="str">
        <f>IFERROR(__xludf.DUMMYFUNCTION("""COMPUTED_VALUE"""),"KHYD2026-076.png")</f>
        <v>KHYD2026-076.png</v>
      </c>
    </row>
    <row r="78">
      <c r="A78" s="4" t="str">
        <f>IFERROR(__xludf.DUMMYFUNCTION("""COMPUTED_VALUE"""),"KHYD2026-077")</f>
        <v>KHYD2026-077</v>
      </c>
      <c r="B78" s="4" t="str">
        <f>IFERROR(__xludf.DUMMYFUNCTION("""COMPUTED_VALUE"""),"Khoa học Y, Dược")</f>
        <v>Khoa học Y, Dược</v>
      </c>
      <c r="C78" s="4" t="str">
        <f>IFERROR(__xludf.DUMMYFUNCTION("""COMPUTED_VALUE"""),"Đánh giá chỉ số TyG và mối liên quan với một số đặc điểm ở người bệnh đến khám tại Bệnh viện Đa khoa Phạm Ngọc Thạch giai đoạn 2025-2026.")</f>
        <v>Đánh giá chỉ số TyG và mối liên quan với một số đặc điểm ở người bệnh đến khám tại Bệnh viện Đa khoa Phạm Ngọc Thạch giai đoạn 2025-2026.</v>
      </c>
      <c r="D78" s="4" t="str">
        <f>IFERROR(__xludf.DUMMYFUNCTION("""COMPUTED_VALUE"""),"Huỳnh Bảo Uyên; Thái Lê Ngọc Thư")</f>
        <v>Huỳnh Bảo Uyên; Thái Lê Ngọc Thư</v>
      </c>
      <c r="E78" s="4" t="str">
        <f>IFERROR(__xludf.DUMMYFUNCTION("""COMPUTED_VALUE"""),"Trường Đại học Y tế Công cộng")</f>
        <v>Trường Đại học Y tế Công cộng</v>
      </c>
      <c r="F78" s="4" t="str">
        <f>IFERROR(__xludf.DUMMYFUNCTION("""COMPUTED_VALUE"""),"KHYD2026-077.png")</f>
        <v>KHYD2026-077.png</v>
      </c>
    </row>
    <row r="79">
      <c r="A79" s="4" t="str">
        <f>IFERROR(__xludf.DUMMYFUNCTION("""COMPUTED_VALUE"""),"KHYD2026-078")</f>
        <v>KHYD2026-078</v>
      </c>
      <c r="B79" s="4" t="str">
        <f>IFERROR(__xludf.DUMMYFUNCTION("""COMPUTED_VALUE"""),"Khoa học Y, Dược")</f>
        <v>Khoa học Y, Dược</v>
      </c>
      <c r="C79" s="4" t="str">
        <f>IFERROR(__xludf.DUMMYFUNCTION("""COMPUTED_VALUE"""),"Nồng độ anti-HBs và một số yếu tố liên quan ở sinh viên y khoa năm thứ nhất tại Đại học Y Dược Thành phố Hồ Chí Minh năm 2026")</f>
        <v>Nồng độ anti-HBs và một số yếu tố liên quan ở sinh viên y khoa năm thứ nhất tại Đại học Y Dược Thành phố Hồ Chí Minh năm 2026</v>
      </c>
      <c r="D79" s="4" t="str">
        <f>IFERROR(__xludf.DUMMYFUNCTION("""COMPUTED_VALUE"""),"Phạm Đăng Huy; Đoàn Trần Diễm Phúc; Trần Nguyễn Thùy Trang; Phan Minh Trí")</f>
        <v>Phạm Đăng Huy; Đoàn Trần Diễm Phúc; Trần Nguyễn Thùy Trang; Phan Minh Trí</v>
      </c>
      <c r="E79" s="4" t="str">
        <f>IFERROR(__xludf.DUMMYFUNCTION("""COMPUTED_VALUE"""),"Đại học Y Dược TP. Hồ Chí Minh")</f>
        <v>Đại học Y Dược TP. Hồ Chí Minh</v>
      </c>
      <c r="F79" s="4" t="str">
        <f>IFERROR(__xludf.DUMMYFUNCTION("""COMPUTED_VALUE"""),"KHYD2026-078.png")</f>
        <v>KHYD2026-078.png</v>
      </c>
    </row>
    <row r="80">
      <c r="A80" s="4" t="str">
        <f>IFERROR(__xludf.DUMMYFUNCTION("""COMPUTED_VALUE"""),"KHYD2026-079")</f>
        <v>KHYD2026-079</v>
      </c>
      <c r="B80" s="4" t="str">
        <f>IFERROR(__xludf.DUMMYFUNCTION("""COMPUTED_VALUE"""),"Khoa học Y, Dược")</f>
        <v>Khoa học Y, Dược</v>
      </c>
      <c r="C80" s="4" t="str">
        <f>IFERROR(__xludf.DUMMYFUNCTION("""COMPUTED_VALUE"""),"So sánh IMRT và VMAT trong xạ trị toàn bộ não bảo tồn hồi hải mã")</f>
        <v>So sánh IMRT và VMAT trong xạ trị toàn bộ não bảo tồn hồi hải mã</v>
      </c>
      <c r="D80" s="4" t="str">
        <f>IFERROR(__xludf.DUMMYFUNCTION("""COMPUTED_VALUE"""),"Phạm Tấn Đạt")</f>
        <v>Phạm Tấn Đạt</v>
      </c>
      <c r="E80" s="4" t="str">
        <f>IFERROR(__xludf.DUMMYFUNCTION("""COMPUTED_VALUE"""),"Trường Đại học Khoa học Tự nhiên, ĐHQG-HCM")</f>
        <v>Trường Đại học Khoa học Tự nhiên, ĐHQG-HCM</v>
      </c>
      <c r="F80" s="4" t="str">
        <f>IFERROR(__xludf.DUMMYFUNCTION("""COMPUTED_VALUE"""),"KHYD2026-079.png")</f>
        <v>KHYD2026-079.png</v>
      </c>
    </row>
    <row r="81">
      <c r="A81" s="4" t="str">
        <f>IFERROR(__xludf.DUMMYFUNCTION("""COMPUTED_VALUE"""),"KHYD2026-080")</f>
        <v>KHYD2026-080</v>
      </c>
      <c r="B81" s="4" t="str">
        <f>IFERROR(__xludf.DUMMYFUNCTION("""COMPUTED_VALUE"""),"Khoa học Y, Dược")</f>
        <v>Khoa học Y, Dược</v>
      </c>
      <c r="C81" s="4" t="str">
        <f>IFERROR(__xludf.DUMMYFUNCTION("""COMPUTED_VALUE"""),"MỐI LIÊN QUAN GIỮA ĐIỀU TRỊ DỰ PHÒNG HEN TRƯỚC NHẬP VIỆN VÀ MỨC ĐỘ NẶNG CỦA CƠN HEN CẤP Ở TRẺ DƯỚI 5 TUỔI")</f>
        <v>MỐI LIÊN QUAN GIỮA ĐIỀU TRỊ DỰ PHÒNG HEN TRƯỚC NHẬP VIỆN VÀ MỨC ĐỘ NẶNG CỦA CƠN HEN CẤP Ở TRẺ DƯỚI 5 TUỔI</v>
      </c>
      <c r="D81" s="4" t="str">
        <f>IFERROR(__xludf.DUMMYFUNCTION("""COMPUTED_VALUE"""),"Nguyễn Thái Thuỷ Anh Thư; Đỗ Quốc Trung; Đỗ Ngọc Huỳnh")</f>
        <v>Nguyễn Thái Thuỷ Anh Thư; Đỗ Quốc Trung; Đỗ Ngọc Huỳnh</v>
      </c>
      <c r="E81" s="4" t="str">
        <f>IFERROR(__xludf.DUMMYFUNCTION("""COMPUTED_VALUE"""),"Trường Đại học Quốc tế Hồng Bàng")</f>
        <v>Trường Đại học Quốc tế Hồng Bàng</v>
      </c>
      <c r="F81" s="4" t="str">
        <f>IFERROR(__xludf.DUMMYFUNCTION("""COMPUTED_VALUE"""),"KHYD2026-080.png")</f>
        <v>KHYD2026-080.png</v>
      </c>
    </row>
    <row r="82">
      <c r="A82" s="4" t="str">
        <f>IFERROR(__xludf.DUMMYFUNCTION("""COMPUTED_VALUE"""),"KHYD2026-081")</f>
        <v>KHYD2026-081</v>
      </c>
      <c r="B82" s="4" t="str">
        <f>IFERROR(__xludf.DUMMYFUNCTION("""COMPUTED_VALUE"""),"Khoa học Y, Dược")</f>
        <v>Khoa học Y, Dược</v>
      </c>
      <c r="C82" s="4" t="str">
        <f>IFERROR(__xludf.DUMMYFUNCTION("""COMPUTED_VALUE"""),"ĐÁNH GIÁ KẾT QUẢ PHẪU THUẬT NỘI SOI ĐIỀU TRỊ VIÊM RUỘT THỪA Ở NGƯỜI CAO TUỔI TẠI BỆNH VIỆN TRUNG ƯƠNG HUẾ")</f>
        <v>ĐÁNH GIÁ KẾT QUẢ PHẪU THUẬT NỘI SOI ĐIỀU TRỊ VIÊM RUỘT THỪA Ở NGƯỜI CAO TUỔI TẠI BỆNH VIỆN TRUNG ƯƠNG HUẾ</v>
      </c>
      <c r="D82" s="4" t="str">
        <f>IFERROR(__xludf.DUMMYFUNCTION("""COMPUTED_VALUE"""),"Huỳnh Hoàng Thái; Đoàn Nguyễn Ánh Thư; Nguyễn Thị Anh Thư")</f>
        <v>Huỳnh Hoàng Thái; Đoàn Nguyễn Ánh Thư; Nguyễn Thị Anh Thư</v>
      </c>
      <c r="E82" s="4" t="str">
        <f>IFERROR(__xludf.DUMMYFUNCTION("""COMPUTED_VALUE"""),"Trường Đại học Nam Cần Thơ")</f>
        <v>Trường Đại học Nam Cần Thơ</v>
      </c>
      <c r="F82" s="4" t="str">
        <f>IFERROR(__xludf.DUMMYFUNCTION("""COMPUTED_VALUE"""),"KHYD2026-081.png")</f>
        <v>KHYD2026-081.png</v>
      </c>
    </row>
    <row r="83">
      <c r="A83" s="4" t="str">
        <f>IFERROR(__xludf.DUMMYFUNCTION("""COMPUTED_VALUE"""),"KHYD2026-082")</f>
        <v>KHYD2026-082</v>
      </c>
      <c r="B83" s="4" t="str">
        <f>IFERROR(__xludf.DUMMYFUNCTION("""COMPUTED_VALUE"""),"Khoa học Y, Dược")</f>
        <v>Khoa học Y, Dược</v>
      </c>
      <c r="C83" s="4" t="str">
        <f>IFERROR(__xludf.DUMMYFUNCTION("""COMPUTED_VALUE"""),"Vai trò của nội soi đại tràng trong tiếp cận xuất huyết tiêu hóa dưới ở trẻ em")</f>
        <v>Vai trò của nội soi đại tràng trong tiếp cận xuất huyết tiêu hóa dưới ở trẻ em</v>
      </c>
      <c r="D83" s="4" t="str">
        <f>IFERROR(__xludf.DUMMYFUNCTION("""COMPUTED_VALUE"""),"Trần Đăng Khoa; Ôn Thủy Vân Trang; Huỳnh Ái Tâm")</f>
        <v>Trần Đăng Khoa; Ôn Thủy Vân Trang; Huỳnh Ái Tâm</v>
      </c>
      <c r="E83" s="4" t="str">
        <f>IFERROR(__xludf.DUMMYFUNCTION("""COMPUTED_VALUE"""),"Trường Đại học Quốc tế Hồng Bàng")</f>
        <v>Trường Đại học Quốc tế Hồng Bàng</v>
      </c>
      <c r="F83" s="4" t="str">
        <f>IFERROR(__xludf.DUMMYFUNCTION("""COMPUTED_VALUE"""),"KHYD2026-082.png")</f>
        <v>KHYD2026-082.png</v>
      </c>
    </row>
    <row r="84">
      <c r="A84" s="4" t="str">
        <f>IFERROR(__xludf.DUMMYFUNCTION("""COMPUTED_VALUE"""),"KHYD2026-083")</f>
        <v>KHYD2026-083</v>
      </c>
      <c r="B84" s="4" t="str">
        <f>IFERROR(__xludf.DUMMYFUNCTION("""COMPUTED_VALUE"""),"Khoa học Y, Dược")</f>
        <v>Khoa học Y, Dược</v>
      </c>
      <c r="C84" s="4" t="str">
        <f>IFERROR(__xludf.DUMMYFUNCTION("""COMPUTED_VALUE"""),"Tiêu chảy cấp ở trẻ 6–24 tháng: Từ dự phòng đến kết quả điều trị")</f>
        <v>Tiêu chảy cấp ở trẻ 6–24 tháng: Từ dự phòng đến kết quả điều trị</v>
      </c>
      <c r="D84" s="4" t="str">
        <f>IFERROR(__xludf.DUMMYFUNCTION("""COMPUTED_VALUE"""),"Phạm Nguyễn Uyên Phương; Nguyễn Ngọc An; Lê Nguyễn Hoàng Anh; THẠCH TRẦN THỊ TƯỜNG VY")</f>
        <v>Phạm Nguyễn Uyên Phương; Nguyễn Ngọc An; Lê Nguyễn Hoàng Anh; THẠCH TRẦN THỊ TƯỜNG VY</v>
      </c>
      <c r="E84" s="4" t="str">
        <f>IFERROR(__xludf.DUMMYFUNCTION("""COMPUTED_VALUE"""),"Trường Đại học Quốc tế Hồng Bàng")</f>
        <v>Trường Đại học Quốc tế Hồng Bàng</v>
      </c>
      <c r="F84" s="4" t="str">
        <f>IFERROR(__xludf.DUMMYFUNCTION("""COMPUTED_VALUE"""),"KHYD2026-083.png")</f>
        <v>KHYD2026-083.png</v>
      </c>
    </row>
    <row r="85">
      <c r="A85" s="4" t="str">
        <f>IFERROR(__xludf.DUMMYFUNCTION("""COMPUTED_VALUE"""),"KHYD2026-084")</f>
        <v>KHYD2026-084</v>
      </c>
      <c r="B85" s="4" t="str">
        <f>IFERROR(__xludf.DUMMYFUNCTION("""COMPUTED_VALUE"""),"Khoa học Y, Dược")</f>
        <v>Khoa học Y, Dược</v>
      </c>
      <c r="C85" s="4" t="str">
        <f>IFERROR(__xludf.DUMMYFUNCTION("""COMPUTED_VALUE"""),"Đánh giá chất lượng giấc ngủ của bệnh nhân ung thư hốc miệng tại bệnh viện Ung bướu thành phố Hồ Chí Minh trong hai năm 2024 và 2025")</f>
        <v>Đánh giá chất lượng giấc ngủ của bệnh nhân ung thư hốc miệng tại bệnh viện Ung bướu thành phố Hồ Chí Minh trong hai năm 2024 và 2025</v>
      </c>
      <c r="D85" s="4" t="str">
        <f>IFERROR(__xludf.DUMMYFUNCTION("""COMPUTED_VALUE"""),"Trần Bảo Khang; Phạm Võ Ngọc Ngân; Trương Nguyên Thịnh; Trương Phước Thanh Ngân; Võ Hồng Đan Thy")</f>
        <v>Trần Bảo Khang; Phạm Võ Ngọc Ngân; Trương Nguyên Thịnh; Trương Phước Thanh Ngân; Võ Hồng Đan Thy</v>
      </c>
      <c r="E85" s="4" t="str">
        <f>IFERROR(__xludf.DUMMYFUNCTION("""COMPUTED_VALUE"""),"Trường Đại học Quốc tế Hồng Bàng")</f>
        <v>Trường Đại học Quốc tế Hồng Bàng</v>
      </c>
      <c r="F85" s="4" t="str">
        <f>IFERROR(__xludf.DUMMYFUNCTION("""COMPUTED_VALUE"""),"KHYD2026-084.png")</f>
        <v>KHYD2026-084.png</v>
      </c>
    </row>
    <row r="86">
      <c r="A86" s="4" t="str">
        <f>IFERROR(__xludf.DUMMYFUNCTION("""COMPUTED_VALUE"""),"KHYD2026-085")</f>
        <v>KHYD2026-085</v>
      </c>
      <c r="B86" s="4" t="str">
        <f>IFERROR(__xludf.DUMMYFUNCTION("""COMPUTED_VALUE"""),"Khoa học Y, Dược")</f>
        <v>Khoa học Y, Dược</v>
      </c>
      <c r="C86" s="4" t="str">
        <f>IFERROR(__xludf.DUMMYFUNCTION("""COMPUTED_VALUE"""),"Vai trò của tần số cộng hưởng (Fres) trong phân loại độ nặng cơn hen cấp ở trẻ em tại Bệnh viện Nhi đồng Cần Thơ")</f>
        <v>Vai trò của tần số cộng hưởng (Fres) trong phân loại độ nặng cơn hen cấp ở trẻ em tại Bệnh viện Nhi đồng Cần Thơ</v>
      </c>
      <c r="D86" s="4" t="str">
        <f>IFERROR(__xludf.DUMMYFUNCTION("""COMPUTED_VALUE"""),"Lê Quang Lượng")</f>
        <v>Lê Quang Lượng</v>
      </c>
      <c r="E86" s="4" t="str">
        <f>IFERROR(__xludf.DUMMYFUNCTION("""COMPUTED_VALUE"""),"Trường Đại học Y Dược Cần Thơ")</f>
        <v>Trường Đại học Y Dược Cần Thơ</v>
      </c>
      <c r="F86" s="4" t="str">
        <f>IFERROR(__xludf.DUMMYFUNCTION("""COMPUTED_VALUE"""),"KHYD2026-085.png")</f>
        <v>KHYD2026-085.png</v>
      </c>
    </row>
    <row r="87">
      <c r="A87" s="4" t="str">
        <f>IFERROR(__xludf.DUMMYFUNCTION("""COMPUTED_VALUE"""),"KHYD2026-086")</f>
        <v>KHYD2026-086</v>
      </c>
      <c r="B87" s="4" t="str">
        <f>IFERROR(__xludf.DUMMYFUNCTION("""COMPUTED_VALUE"""),"Khoa học Y, Dược")</f>
        <v>Khoa học Y, Dược</v>
      </c>
      <c r="C87" s="4" t="str">
        <f>IFERROR(__xludf.DUMMYFUNCTION("""COMPUTED_VALUE"""),"Ứng dụng máng in kỹ thuật số trong đo đạc độ dày niêm mạc vùng khẩu cái cứng")</f>
        <v>Ứng dụng máng in kỹ thuật số trong đo đạc độ dày niêm mạc vùng khẩu cái cứng</v>
      </c>
      <c r="D87" s="4" t="str">
        <f>IFERROR(__xludf.DUMMYFUNCTION("""COMPUTED_VALUE"""),"Bùi Thị Minh Châu; Dương Gia Huy; Mai Xuân Khánh Trân; Ngô Nguyễn Ý Thơ")</f>
        <v>Bùi Thị Minh Châu; Dương Gia Huy; Mai Xuân Khánh Trân; Ngô Nguyễn Ý Thơ</v>
      </c>
      <c r="E87" s="4" t="str">
        <f>IFERROR(__xludf.DUMMYFUNCTION("""COMPUTED_VALUE"""),"Trường Đại học Khoa học Sức khỏe, ĐHQG-HCM")</f>
        <v>Trường Đại học Khoa học Sức khỏe, ĐHQG-HCM</v>
      </c>
      <c r="F87" s="4" t="str">
        <f>IFERROR(__xludf.DUMMYFUNCTION("""COMPUTED_VALUE"""),"KHYD2026-086.png")</f>
        <v>KHYD2026-086.png</v>
      </c>
    </row>
    <row r="88">
      <c r="A88" s="4" t="str">
        <f>IFERROR(__xludf.DUMMYFUNCTION("""COMPUTED_VALUE"""),"KHYD2026-087")</f>
        <v>KHYD2026-087</v>
      </c>
      <c r="B88" s="4" t="str">
        <f>IFERROR(__xludf.DUMMYFUNCTION("""COMPUTED_VALUE"""),"Khoa học Y, Dược")</f>
        <v>Khoa học Y, Dược</v>
      </c>
      <c r="C88" s="4" t="str">
        <f>IFERROR(__xludf.DUMMYFUNCTION("""COMPUTED_VALUE"""),"Mối liên quan giữa thực hành chăm sóc, nuôi dưỡng và sự phát triển của trẻ em từ 2 tháng đến 5 tuổi tại Bệnh viện Nhi đồng 1")</f>
        <v>Mối liên quan giữa thực hành chăm sóc, nuôi dưỡng và sự phát triển của trẻ em từ 2 tháng đến 5 tuổi tại Bệnh viện Nhi đồng 1</v>
      </c>
      <c r="D88" s="4" t="str">
        <f>IFERROR(__xludf.DUMMYFUNCTION("""COMPUTED_VALUE"""),"Trần Bảo Ngọc; Trần Thanh Ngọc; Hồ Trần Bảo Nhi; Nguyễn Anh Thy")</f>
        <v>Trần Bảo Ngọc; Trần Thanh Ngọc; Hồ Trần Bảo Nhi; Nguyễn Anh Thy</v>
      </c>
      <c r="E88" s="4" t="str">
        <f>IFERROR(__xludf.DUMMYFUNCTION("""COMPUTED_VALUE"""),"Trường Đại học Khoa học Sức khỏe, ĐHQG-HCM")</f>
        <v>Trường Đại học Khoa học Sức khỏe, ĐHQG-HCM</v>
      </c>
      <c r="F88" s="4" t="str">
        <f>IFERROR(__xludf.DUMMYFUNCTION("""COMPUTED_VALUE"""),"KHYD2026-087.png")</f>
        <v>KHYD2026-087.png</v>
      </c>
    </row>
    <row r="89">
      <c r="A89" s="4" t="str">
        <f>IFERROR(__xludf.DUMMYFUNCTION("""COMPUTED_VALUE"""),"KHYD2026-088")</f>
        <v>KHYD2026-088</v>
      </c>
      <c r="B89" s="4" t="str">
        <f>IFERROR(__xludf.DUMMYFUNCTION("""COMPUTED_VALUE"""),"Khoa học Y, Dược")</f>
        <v>Khoa học Y, Dược</v>
      </c>
      <c r="C89" s="4" t="str">
        <f>IFERROR(__xludf.DUMMYFUNCTION("""COMPUTED_VALUE"""),"Đánh giá hiệu quả kháng sinh tĩnh mạch ban đầu trong điều trị viêm phổi cộng đồng ở trẻ em có tiền căn sanh non từ 2 tháng đến 24 tháng tuổi nhập viện Bệnh viện Nhi đồng 1")</f>
        <v>Đánh giá hiệu quả kháng sinh tĩnh mạch ban đầu trong điều trị viêm phổi cộng đồng ở trẻ em có tiền căn sanh non từ 2 tháng đến 24 tháng tuổi nhập viện Bệnh viện Nhi đồng 1</v>
      </c>
      <c r="D89" s="4" t="str">
        <f>IFERROR(__xludf.DUMMYFUNCTION("""COMPUTED_VALUE"""),"Trần Bảo Ngọc; Phạm Hồng Nhung; Nguyễn Anh Thy")</f>
        <v>Trần Bảo Ngọc; Phạm Hồng Nhung; Nguyễn Anh Thy</v>
      </c>
      <c r="E89" s="4" t="str">
        <f>IFERROR(__xludf.DUMMYFUNCTION("""COMPUTED_VALUE"""),"Trường Đại học Khoa học Sức khỏe, ĐHQG-HCM")</f>
        <v>Trường Đại học Khoa học Sức khỏe, ĐHQG-HCM</v>
      </c>
      <c r="F89" s="4" t="str">
        <f>IFERROR(__xludf.DUMMYFUNCTION("""COMPUTED_VALUE"""),"KHYD2026-088.png")</f>
        <v>KHYD2026-088.png</v>
      </c>
    </row>
    <row r="90">
      <c r="A90" s="4" t="str">
        <f>IFERROR(__xludf.DUMMYFUNCTION("""COMPUTED_VALUE"""),"KHYD2026-089")</f>
        <v>KHYD2026-089</v>
      </c>
      <c r="B90" s="4" t="str">
        <f>IFERROR(__xludf.DUMMYFUNCTION("""COMPUTED_VALUE"""),"Khoa học Y, Dược")</f>
        <v>Khoa học Y, Dược</v>
      </c>
      <c r="C90" s="4" t="str">
        <f>IFERROR(__xludf.DUMMYFUNCTION("""COMPUTED_VALUE"""),"Xây dựng nền tảng digital twin cá thể hóa cho bệnh lý kênh ion Natri tim – thần kinh sử dụng tế bào cơ tim và tế bào thần kinh biệt hóa từ tế bào gốc đa năng cảm ứng (iPSCs)")</f>
        <v>Xây dựng nền tảng digital twin cá thể hóa cho bệnh lý kênh ion Natri tim – thần kinh sử dụng tế bào cơ tim và tế bào thần kinh biệt hóa từ tế bào gốc đa năng cảm ứng (iPSCs)</v>
      </c>
      <c r="D90" s="4" t="str">
        <f>IFERROR(__xludf.DUMMYFUNCTION("""COMPUTED_VALUE"""),"Trần Khang Thịnh; Trương Ngọc Sang; Nguyễn Duy Khang")</f>
        <v>Trần Khang Thịnh; Trương Ngọc Sang; Nguyễn Duy Khang</v>
      </c>
      <c r="E90" s="4" t="str">
        <f>IFERROR(__xludf.DUMMYFUNCTION("""COMPUTED_VALUE"""),"Trường Đại học Khoa học Sức khỏe, ĐHQG-HCM")</f>
        <v>Trường Đại học Khoa học Sức khỏe, ĐHQG-HCM</v>
      </c>
      <c r="F90" s="4" t="str">
        <f>IFERROR(__xludf.DUMMYFUNCTION("""COMPUTED_VALUE"""),"KHYD2026-089.png")</f>
        <v>KHYD2026-089.png</v>
      </c>
    </row>
    <row r="91">
      <c r="A91" s="4" t="str">
        <f>IFERROR(__xludf.DUMMYFUNCTION("""COMPUTED_VALUE"""),"KHYD2026-090")</f>
        <v>KHYD2026-090</v>
      </c>
      <c r="B91" s="4" t="str">
        <f>IFERROR(__xludf.DUMMYFUNCTION("""COMPUTED_VALUE"""),"Khoa học Y, Dược")</f>
        <v>Khoa học Y, Dược</v>
      </c>
      <c r="C91" s="4" t="str">
        <f>IFERROR(__xludf.DUMMYFUNCTION("""COMPUTED_VALUE"""),"Giải mã mối liên hệ kiểu gen - kiểu hình trong mụn trứng cá, bước đầu xây dựng mô hình học máy nhận diện biến thể di truyền chi phối viêm và sẹo, hướng tới y học cá thể hóa")</f>
        <v>Giải mã mối liên hệ kiểu gen - kiểu hình trong mụn trứng cá, bước đầu xây dựng mô hình học máy nhận diện biến thể di truyền chi phối viêm và sẹo, hướng tới y học cá thể hóa</v>
      </c>
      <c r="D91" s="4" t="str">
        <f>IFERROR(__xludf.DUMMYFUNCTION("""COMPUTED_VALUE"""),"Nguyễn Thái Học; Lê Quốc Hưng; Nguyễn Thị Bảo Châu; Phạm Thế Nhân; Trần Giao My")</f>
        <v>Nguyễn Thái Học; Lê Quốc Hưng; Nguyễn Thị Bảo Châu; Phạm Thế Nhân; Trần Giao My</v>
      </c>
      <c r="E91" s="4" t="str">
        <f>IFERROR(__xludf.DUMMYFUNCTION("""COMPUTED_VALUE"""),"Trường Đại học Khoa học Sức khỏe, ĐHQG-HCM")</f>
        <v>Trường Đại học Khoa học Sức khỏe, ĐHQG-HCM</v>
      </c>
      <c r="F91" s="4" t="str">
        <f>IFERROR(__xludf.DUMMYFUNCTION("""COMPUTED_VALUE"""),"KHYD2026-090.png")</f>
        <v>KHYD2026-090.png</v>
      </c>
    </row>
    <row r="92">
      <c r="A92" s="4" t="str">
        <f>IFERROR(__xludf.DUMMYFUNCTION("""COMPUTED_VALUE"""),"KHYD2026-091")</f>
        <v>KHYD2026-091</v>
      </c>
      <c r="B92" s="4" t="str">
        <f>IFERROR(__xludf.DUMMYFUNCTION("""COMPUTED_VALUE"""),"Khoa học Y, Dược")</f>
        <v>Khoa học Y, Dược</v>
      </c>
      <c r="C92" s="4" t="str">
        <f>IFERROR(__xludf.DUMMYFUNCTION("""COMPUTED_VALUE"""),"Efficacy of S-PRG Filler Paste in Preventing Dental Plaque in 6-Year-Old Children in a Primary School in Can Tho: A 6-Month Randomized Clinical Trial")</f>
        <v>Efficacy of S-PRG Filler Paste in Preventing Dental Plaque in 6-Year-Old Children in a Primary School in Can Tho: A 6-Month Randomized Clinical Trial</v>
      </c>
      <c r="D92" s="4" t="str">
        <f>IFERROR(__xludf.DUMMYFUNCTION("""COMPUTED_VALUE"""),"Nguyễn Điền Trúc Ly; Bùi Hoàng Minh Phước; Lê Khải Vinh; Lê Thị Cẩm Tiên; Nguyễn Ngọc Thảo Uyên")</f>
        <v>Nguyễn Điền Trúc Ly; Bùi Hoàng Minh Phước; Lê Khải Vinh; Lê Thị Cẩm Tiên; Nguyễn Ngọc Thảo Uyên</v>
      </c>
      <c r="E92" s="4" t="str">
        <f>IFERROR(__xludf.DUMMYFUNCTION("""COMPUTED_VALUE"""),"Trường Đại học Y Dược Cần Thơ")</f>
        <v>Trường Đại học Y Dược Cần Thơ</v>
      </c>
      <c r="F92" s="4" t="str">
        <f>IFERROR(__xludf.DUMMYFUNCTION("""COMPUTED_VALUE"""),"KHYD2026-091.png")</f>
        <v>KHYD2026-091.png</v>
      </c>
    </row>
    <row r="93">
      <c r="A93" s="4" t="str">
        <f>IFERROR(__xludf.DUMMYFUNCTION("""COMPUTED_VALUE"""),"KHYD2026-092")</f>
        <v>KHYD2026-092</v>
      </c>
      <c r="B93" s="4" t="str">
        <f>IFERROR(__xludf.DUMMYFUNCTION("""COMPUTED_VALUE"""),"Khoa học Y, Dược")</f>
        <v>Khoa học Y, Dược</v>
      </c>
      <c r="C93" s="4" t="str">
        <f>IFERROR(__xludf.DUMMYFUNCTION("""COMPUTED_VALUE"""),"HỘI CHỨNG NGƯNG THỞ TẮC NGHẼN KHI NGỦ: TỶ LỆ MẮC VÀ MỘT SỐ YẾU TỐ NGUY CƠ Ở SINH VIÊN Y KHOA TẠI CẦN THƠ")</f>
        <v>HỘI CHỨNG NGƯNG THỞ TẮC NGHẼN KHI NGỦ: TỶ LỆ MẮC VÀ MỘT SỐ YẾU TỐ NGUY CƠ Ở SINH VIÊN Y KHOA TẠI CẦN THƠ</v>
      </c>
      <c r="D93" s="4" t="str">
        <f>IFERROR(__xludf.DUMMYFUNCTION("""COMPUTED_VALUE"""),"Phạm Nhật Nam; Bùi Thị Hồng Gấm; Huỳnh Dư Minh Thư; Nguyễn Gia Nghiêm; Nguyễn Nhật Hào")</f>
        <v>Phạm Nhật Nam; Bùi Thị Hồng Gấm; Huỳnh Dư Minh Thư; Nguyễn Gia Nghiêm; Nguyễn Nhật Hào</v>
      </c>
      <c r="E93" s="4" t="str">
        <f>IFERROR(__xludf.DUMMYFUNCTION("""COMPUTED_VALUE"""),"Trường Đại học Nam Cần Thơ")</f>
        <v>Trường Đại học Nam Cần Thơ</v>
      </c>
      <c r="F93" s="4" t="str">
        <f>IFERROR(__xludf.DUMMYFUNCTION("""COMPUTED_VALUE"""),"KHYD2026-092.png")</f>
        <v>KHYD2026-092.png</v>
      </c>
    </row>
    <row r="94">
      <c r="A94" s="4" t="str">
        <f>IFERROR(__xludf.DUMMYFUNCTION("""COMPUTED_VALUE"""),"KHYD2026-093")</f>
        <v>KHYD2026-093</v>
      </c>
      <c r="B94" s="4" t="str">
        <f>IFERROR(__xludf.DUMMYFUNCTION("""COMPUTED_VALUE"""),"Khoa học Y, Dược")</f>
        <v>Khoa học Y, Dược</v>
      </c>
      <c r="C94" s="4" t="str">
        <f>IFERROR(__xludf.DUMMYFUNCTION("""COMPUTED_VALUE"""),"NGHIÊN CỨU KẾT QUẢ SỚM ĐIỀU TRỊ KHÁNG SINH DỰ PHÒNG TRONG PHẪU THUẬT CẮT TÚI MẬT NỘI SOI TẠI BỆNH VIỆN TRUNG ƯƠNG HUẾ")</f>
        <v>NGHIÊN CỨU KẾT QUẢ SỚM ĐIỀU TRỊ KHÁNG SINH DỰ PHÒNG TRONG PHẪU THUẬT CẮT TÚI MẬT NỘI SOI TẠI BỆNH VIỆN TRUNG ƯƠNG HUẾ</v>
      </c>
      <c r="D94" s="4" t="str">
        <f>IFERROR(__xludf.DUMMYFUNCTION("""COMPUTED_VALUE"""),"Cao Thúy Vy; Nguyễn Trần Diễm Quỳnh; Nguyễn Gia Nghiêm")</f>
        <v>Cao Thúy Vy; Nguyễn Trần Diễm Quỳnh; Nguyễn Gia Nghiêm</v>
      </c>
      <c r="E94" s="4" t="str">
        <f>IFERROR(__xludf.DUMMYFUNCTION("""COMPUTED_VALUE"""),"Trường Đại học Nam Cần Thơ")</f>
        <v>Trường Đại học Nam Cần Thơ</v>
      </c>
      <c r="F94" s="4" t="str">
        <f>IFERROR(__xludf.DUMMYFUNCTION("""COMPUTED_VALUE"""),"KHYD2026-093.png")</f>
        <v>KHYD2026-093.png</v>
      </c>
    </row>
    <row r="95">
      <c r="A95" s="4" t="str">
        <f>IFERROR(__xludf.DUMMYFUNCTION("""COMPUTED_VALUE"""),"KHYD2026-094")</f>
        <v>KHYD2026-094</v>
      </c>
      <c r="B95" s="4" t="str">
        <f>IFERROR(__xludf.DUMMYFUNCTION("""COMPUTED_VALUE"""),"Khoa học Y, Dược")</f>
        <v>Khoa học Y, Dược</v>
      </c>
      <c r="C95" s="4" t="str">
        <f>IFERROR(__xludf.DUMMYFUNCTION("""COMPUTED_VALUE"""),"NGHIÊN CỨU TỶ LỆ SINH NON VÀ CÁC YẾU TỐ LIÊN QUAN TẠI BỆNH VIỆN SẢN NHI KIÊN GIANG NĂM 2026")</f>
        <v>NGHIÊN CỨU TỶ LỆ SINH NON VÀ CÁC YẾU TỐ LIÊN QUAN TẠI BỆNH VIỆN SẢN NHI KIÊN GIANG NĂM 2026</v>
      </c>
      <c r="D95" s="4" t="str">
        <f>IFERROR(__xludf.DUMMYFUNCTION("""COMPUTED_VALUE"""),"Phạm Thị Mỹ Hạnh; Nguyễn Ngọc Hiền; Nguyễn Gia Nghiêm; Neha Agarwal")</f>
        <v>Phạm Thị Mỹ Hạnh; Nguyễn Ngọc Hiền; Nguyễn Gia Nghiêm; Neha Agarwal</v>
      </c>
      <c r="E95" s="4" t="str">
        <f>IFERROR(__xludf.DUMMYFUNCTION("""COMPUTED_VALUE"""),"Trường Đại học Nam Cần Thơ")</f>
        <v>Trường Đại học Nam Cần Thơ</v>
      </c>
      <c r="F95" s="4" t="str">
        <f>IFERROR(__xludf.DUMMYFUNCTION("""COMPUTED_VALUE"""),"KHYD2026-094.png")</f>
        <v>KHYD2026-094.png</v>
      </c>
    </row>
    <row r="96">
      <c r="A96" s="4" t="str">
        <f>IFERROR(__xludf.DUMMYFUNCTION("""COMPUTED_VALUE"""),"KHYD2026-095")</f>
        <v>KHYD2026-095</v>
      </c>
      <c r="B96" s="4" t="str">
        <f>IFERROR(__xludf.DUMMYFUNCTION("""COMPUTED_VALUE"""),"Khoa học Y, Dược")</f>
        <v>Khoa học Y, Dược</v>
      </c>
      <c r="C96" s="4" t="str">
        <f>IFERROR(__xludf.DUMMYFUNCTION("""COMPUTED_VALUE"""),"Nhận xét sự phù hợp của mô hình CheXNet so với bác sĩ chẩn đoán hình ảnh")</f>
        <v>Nhận xét sự phù hợp của mô hình CheXNet so với bác sĩ chẩn đoán hình ảnh</v>
      </c>
      <c r="D96" s="4" t="str">
        <f>IFERROR(__xludf.DUMMYFUNCTION("""COMPUTED_VALUE"""),"Nguyễn Văn Hưng; Lê Thị Yến Nhi; Trần Thị Thùy Linh")</f>
        <v>Nguyễn Văn Hưng; Lê Thị Yến Nhi; Trần Thị Thùy Linh</v>
      </c>
      <c r="E96" s="4" t="str">
        <f>IFERROR(__xludf.DUMMYFUNCTION("""COMPUTED_VALUE"""),"Trường Đại học Y khoa Vinh")</f>
        <v>Trường Đại học Y khoa Vinh</v>
      </c>
      <c r="F96" s="4" t="str">
        <f>IFERROR(__xludf.DUMMYFUNCTION("""COMPUTED_VALUE"""),"KHYD2026-095.png")</f>
        <v>KHYD2026-095.png</v>
      </c>
    </row>
    <row r="97">
      <c r="A97" s="4" t="str">
        <f>IFERROR(__xludf.DUMMYFUNCTION("""COMPUTED_VALUE"""),"KHYD2026-096")</f>
        <v>KHYD2026-096</v>
      </c>
      <c r="B97" s="4" t="str">
        <f>IFERROR(__xludf.DUMMYFUNCTION("""COMPUTED_VALUE"""),"Khoa học Y, Dược")</f>
        <v>Khoa học Y, Dược</v>
      </c>
      <c r="C97" s="4" t="str">
        <f>IFERROR(__xludf.DUMMYFUNCTION("""COMPUTED_VALUE"""),"Nghiên cứu tỷ lệ nhiễm HPV và ứng dụng trong quản lý ung thư cổ tử cung ở phụ nữ tại Đồng Nai năm 2026.")</f>
        <v>Nghiên cứu tỷ lệ nhiễm HPV và ứng dụng trong quản lý ung thư cổ tử cung ở phụ nữ tại Đồng Nai năm 2026.</v>
      </c>
      <c r="D97" s="4" t="str">
        <f>IFERROR(__xludf.DUMMYFUNCTION("""COMPUTED_VALUE"""),"Nguyễn Thu Thảo; Nguyễn Thị Thanh Thủy; Phạm Thị Kim Oanh")</f>
        <v>Nguyễn Thu Thảo; Nguyễn Thị Thanh Thủy; Phạm Thị Kim Oanh</v>
      </c>
      <c r="E97" s="4" t="str">
        <f>IFERROR(__xludf.DUMMYFUNCTION("""COMPUTED_VALUE"""),"Trường Đại học Công nghệ Đồng Nai")</f>
        <v>Trường Đại học Công nghệ Đồng Nai</v>
      </c>
      <c r="F97" s="4" t="str">
        <f>IFERROR(__xludf.DUMMYFUNCTION("""COMPUTED_VALUE"""),"KHYD2026-096.png")</f>
        <v>KHYD2026-096.png</v>
      </c>
    </row>
    <row r="98">
      <c r="A98" s="4" t="str">
        <f>IFERROR(__xludf.DUMMYFUNCTION("""COMPUTED_VALUE"""),"KHYD2026-097")</f>
        <v>KHYD2026-097</v>
      </c>
      <c r="B98" s="4" t="str">
        <f>IFERROR(__xludf.DUMMYFUNCTION("""COMPUTED_VALUE"""),"Khoa học Y, Dược")</f>
        <v>Khoa học Y, Dược</v>
      </c>
      <c r="C98" s="4" t="str">
        <f>IFERROR(__xludf.DUMMYFUNCTION("""COMPUTED_VALUE"""),"Phát triển khung phân tích biểu hiện gen tích hợp để xác định các dấu ấn phân tử liên quan đến chiếu xạ proton và photon trong tế bào ung thư vú")</f>
        <v>Phát triển khung phân tích biểu hiện gen tích hợp để xác định các dấu ấn phân tử liên quan đến chiếu xạ proton và photon trong tế bào ung thư vú</v>
      </c>
      <c r="D98" s="4" t="str">
        <f>IFERROR(__xludf.DUMMYFUNCTION("""COMPUTED_VALUE"""),"Trần Võ Lâm Nhi; Nguyễn Ngọc Thảo Vân; Hồ Bình Phương; Trương Lê Khánh Vy; Đinh Quang Nhật")</f>
        <v>Trần Võ Lâm Nhi; Nguyễn Ngọc Thảo Vân; Hồ Bình Phương; Trương Lê Khánh Vy; Đinh Quang Nhật</v>
      </c>
      <c r="E98" s="4" t="str">
        <f>IFERROR(__xludf.DUMMYFUNCTION("""COMPUTED_VALUE"""),"Đại học Duy Tân")</f>
        <v>Đại học Duy Tân</v>
      </c>
      <c r="F98" s="4" t="str">
        <f>IFERROR(__xludf.DUMMYFUNCTION("""COMPUTED_VALUE"""),"KHYD2026-097.png")</f>
        <v>KHYD2026-097.png</v>
      </c>
    </row>
    <row r="99">
      <c r="A99" s="4" t="str">
        <f>IFERROR(__xludf.DUMMYFUNCTION("""COMPUTED_VALUE"""),"KHYD2026-098")</f>
        <v>KHYD2026-098</v>
      </c>
      <c r="B99" s="4" t="str">
        <f>IFERROR(__xludf.DUMMYFUNCTION("""COMPUTED_VALUE"""),"Khoa học Y, Dược")</f>
        <v>Khoa học Y, Dược</v>
      </c>
      <c r="C99" s="4" t="str">
        <f>IFERROR(__xludf.DUMMYFUNCTION("""COMPUTED_VALUE"""),"Mối liên quan giữa các chỉ số ước tính kháng insulin (TyG, TG/HDL-C, METS-IR) và suy giảm chức năng thận sớm (eGFR) ở người trưởng thành khám sức khỏe định kỳ")</f>
        <v>Mối liên quan giữa các chỉ số ước tính kháng insulin (TyG, TG/HDL-C, METS-IR) và suy giảm chức năng thận sớm (eGFR) ở người trưởng thành khám sức khỏe định kỳ</v>
      </c>
      <c r="D99" s="4" t="str">
        <f>IFERROR(__xludf.DUMMYFUNCTION("""COMPUTED_VALUE"""),"Lê Huỳnh Tuệ Nhã; Huỳnh Nguyễn Kiều My; Ngô Trúc Phương; Phan Phương Nguyên")</f>
        <v>Lê Huỳnh Tuệ Nhã; Huỳnh Nguyễn Kiều My; Ngô Trúc Phương; Phan Phương Nguyên</v>
      </c>
      <c r="E99" s="4" t="str">
        <f>IFERROR(__xludf.DUMMYFUNCTION("""COMPUTED_VALUE"""),"Trường Đại học Công nghệ TP. Hồ Chí Minh")</f>
        <v>Trường Đại học Công nghệ TP. Hồ Chí Minh</v>
      </c>
      <c r="F99" s="4" t="str">
        <f>IFERROR(__xludf.DUMMYFUNCTION("""COMPUTED_VALUE"""),"KHYD2026-098.png")</f>
        <v>KHYD2026-098.png</v>
      </c>
    </row>
    <row r="100">
      <c r="A100" s="4" t="str">
        <f>IFERROR(__xludf.DUMMYFUNCTION("""COMPUTED_VALUE"""),"KHYD2026-099")</f>
        <v>KHYD2026-099</v>
      </c>
      <c r="B100" s="4" t="str">
        <f>IFERROR(__xludf.DUMMYFUNCTION("""COMPUTED_VALUE"""),"Khoa học Y, Dược")</f>
        <v>Khoa học Y, Dược</v>
      </c>
      <c r="C100" s="4" t="str">
        <f>IFERROR(__xludf.DUMMYFUNCTION("""COMPUTED_VALUE"""),"Nghiên cứu đặc điểm rối loạn lipid máu và một số yếu tố nguy cơ tim mạch trên bệnh nhân mắc hội chứng vành cấp tại Bệnh viện Đa khoa Trung ương Cần Thơ năm 2025-2026")</f>
        <v>Nghiên cứu đặc điểm rối loạn lipid máu và một số yếu tố nguy cơ tim mạch trên bệnh nhân mắc hội chứng vành cấp tại Bệnh viện Đa khoa Trung ương Cần Thơ năm 2025-2026</v>
      </c>
      <c r="D100" s="4" t="str">
        <f>IFERROR(__xludf.DUMMYFUNCTION("""COMPUTED_VALUE"""),"Lê Quang Huy; Nguyễn Thị Ngọc Phel; Trần Việt Thành; Lahtaw Gum Awn Joshua")</f>
        <v>Lê Quang Huy; Nguyễn Thị Ngọc Phel; Trần Việt Thành; Lahtaw Gum Awn Joshua</v>
      </c>
      <c r="E100" s="4" t="str">
        <f>IFERROR(__xludf.DUMMYFUNCTION("""COMPUTED_VALUE"""),"Trường Đại học Nam Cần Thơ")</f>
        <v>Trường Đại học Nam Cần Thơ</v>
      </c>
      <c r="F100" s="4" t="str">
        <f>IFERROR(__xludf.DUMMYFUNCTION("""COMPUTED_VALUE"""),"KHYD2026-099.png")</f>
        <v>KHYD2026-099.png</v>
      </c>
    </row>
    <row r="101">
      <c r="A101" s="4" t="str">
        <f>IFERROR(__xludf.DUMMYFUNCTION("""COMPUTED_VALUE"""),"KHYD2026-100")</f>
        <v>KHYD2026-100</v>
      </c>
      <c r="B101" s="4" t="str">
        <f>IFERROR(__xludf.DUMMYFUNCTION("""COMPUTED_VALUE"""),"Khoa học Y, Dược")</f>
        <v>Khoa học Y, Dược</v>
      </c>
      <c r="C101" s="4" t="str">
        <f>IFERROR(__xludf.DUMMYFUNCTION("""COMPUTED_VALUE"""),"MỐI LIÊN QUAN GIỮA CÁC DẠNG THỂ CHẤT Y HỌC CỔ TRUYỀN VÀ TÌNH TRẠNG STRESS Ở SINH VIÊN NGÀNH Y TẠI HỌC VIỆN Y-DƯỢC HỌC CỔ TRUYỀN VIỆT NAM NĂM 2025")</f>
        <v>MỐI LIÊN QUAN GIỮA CÁC DẠNG THỂ CHẤT Y HỌC CỔ TRUYỀN VÀ TÌNH TRẠNG STRESS Ở SINH VIÊN NGÀNH Y TẠI HỌC VIỆN Y-DƯỢC HỌC CỔ TRUYỀN VIỆT NAM NĂM 2025</v>
      </c>
      <c r="D101" s="4" t="str">
        <f>IFERROR(__xludf.DUMMYFUNCTION("""COMPUTED_VALUE"""),"Vũ Kim Dung; Đặng Bảo Anh; Nguyễn Đức Anh; Phạm Đăng Mạnh")</f>
        <v>Vũ Kim Dung; Đặng Bảo Anh; Nguyễn Đức Anh; Phạm Đăng Mạnh</v>
      </c>
      <c r="E101" s="4" t="str">
        <f>IFERROR(__xludf.DUMMYFUNCTION("""COMPUTED_VALUE"""),"Học viện Y Dược học Cổ truyền Việt Nam")</f>
        <v>Học viện Y Dược học Cổ truyền Việt Nam</v>
      </c>
      <c r="F101" s="4" t="str">
        <f>IFERROR(__xludf.DUMMYFUNCTION("""COMPUTED_VALUE"""),"KHYD2026-100.png")</f>
        <v>KHYD2026-100.png</v>
      </c>
    </row>
    <row r="102">
      <c r="A102" s="4" t="str">
        <f>IFERROR(__xludf.DUMMYFUNCTION("""COMPUTED_VALUE"""),"KHYD2026-101")</f>
        <v>KHYD2026-101</v>
      </c>
      <c r="B102" s="4" t="str">
        <f>IFERROR(__xludf.DUMMYFUNCTION("""COMPUTED_VALUE"""),"Khoa học Y, Dược")</f>
        <v>Khoa học Y, Dược</v>
      </c>
      <c r="C102" s="4" t="str">
        <f>IFERROR(__xludf.DUMMYFUNCTION("""COMPUTED_VALUE"""),"NGHIÊN CỨU VÀ THIẾT KẾ TAY GIẢ SINH HỌC ĐA BẬC TỰ DO ĐIỀU KHIỂN BẰNG TÍN HIỆU ĐIỆN CƠ (EMG) ỨNG DỤNG HỌC BẮT CHƯỚC CHO NGƯỜI ĐOẠN CHI TRÊN")</f>
        <v>NGHIÊN CỨU VÀ THIẾT KẾ TAY GIẢ SINH HỌC ĐA BẬC TỰ DO ĐIỀU KHIỂN BẰNG TÍN HIỆU ĐIỆN CƠ (EMG) ỨNG DỤNG HỌC BẮT CHƯỚC CHO NGƯỜI ĐOẠN CHI TRÊN</v>
      </c>
      <c r="D102" s="4" t="str">
        <f>IFERROR(__xludf.DUMMYFUNCTION("""COMPUTED_VALUE"""),"Võ Nhựt Huỳnh Anh; Cao Quốc Thịnh; Thái Trung Nhân; Châu Minh Luân")</f>
        <v>Võ Nhựt Huỳnh Anh; Cao Quốc Thịnh; Thái Trung Nhân; Châu Minh Luân</v>
      </c>
      <c r="E102" s="4" t="str">
        <f>IFERROR(__xludf.DUMMYFUNCTION("""COMPUTED_VALUE"""),"Trường Đại học Bách Khoa, ĐHQG-HCM")</f>
        <v>Trường Đại học Bách Khoa, ĐHQG-HCM</v>
      </c>
      <c r="F102" s="4" t="str">
        <f>IFERROR(__xludf.DUMMYFUNCTION("""COMPUTED_VALUE"""),"KHYD2026-101.png")</f>
        <v>KHYD2026-101.png</v>
      </c>
    </row>
    <row r="103">
      <c r="A103" s="4" t="str">
        <f>IFERROR(__xludf.DUMMYFUNCTION("""COMPUTED_VALUE"""),"KHYD2026-102")</f>
        <v>KHYD2026-102</v>
      </c>
      <c r="B103" s="4" t="str">
        <f>IFERROR(__xludf.DUMMYFUNCTION("""COMPUTED_VALUE"""),"Khoa học Y, Dược")</f>
        <v>Khoa học Y, Dược</v>
      </c>
      <c r="C103" s="4" t="str">
        <f>IFERROR(__xludf.DUMMYFUNCTION("""COMPUTED_VALUE"""),"NGHIÊN CỨU CHẾ TẠO BĂNG CẦM MÁU DẠNG XEROGEL ĐA LỚP TỪ CHITOTAN, ZEOLITE, ALGINATE TÍCH HỢP TINH DẦU OẢI HƯƠNG ỨNG DỤNG TRONG KIỂM SOÁT XUẤT HUYẾT CẤP TÍNH")</f>
        <v>NGHIÊN CỨU CHẾ TẠO BĂNG CẦM MÁU DẠNG XEROGEL ĐA LỚP TỪ CHITOTAN, ZEOLITE, ALGINATE TÍCH HỢP TINH DẦU OẢI HƯƠNG ỨNG DỤNG TRONG KIỂM SOÁT XUẤT HUYẾT CẤP TÍNH</v>
      </c>
      <c r="D103" s="4" t="str">
        <f>IFERROR(__xludf.DUMMYFUNCTION("""COMPUTED_VALUE"""),"Nguyễn Tiến Dũng; Vũ Kim Giang")</f>
        <v>Nguyễn Tiến Dũng; Vũ Kim Giang</v>
      </c>
      <c r="E103" s="4" t="str">
        <f>IFERROR(__xludf.DUMMYFUNCTION("""COMPUTED_VALUE"""),"Trường Đại học Bách Khoa, ĐHQG-HCM")</f>
        <v>Trường Đại học Bách Khoa, ĐHQG-HCM</v>
      </c>
      <c r="F103" s="4" t="str">
        <f>IFERROR(__xludf.DUMMYFUNCTION("""COMPUTED_VALUE"""),"KHYD2026-102.png")</f>
        <v>KHYD2026-102.png</v>
      </c>
    </row>
    <row r="104">
      <c r="A104" s="4" t="str">
        <f>IFERROR(__xludf.DUMMYFUNCTION("""COMPUTED_VALUE"""),"KHYD2026-103")</f>
        <v>KHYD2026-103</v>
      </c>
      <c r="B104" s="4" t="str">
        <f>IFERROR(__xludf.DUMMYFUNCTION("""COMPUTED_VALUE"""),"Khoa học Y, Dược")</f>
        <v>Khoa học Y, Dược</v>
      </c>
      <c r="C104" s="4" t="str">
        <f>IFERROR(__xludf.DUMMYFUNCTION("""COMPUTED_VALUE"""),"NGHỊCH LÝ RỦI RO VÀ VAI TRÒ TRUNG GIAN CỦA NIỀM TIN TRONG VIỆC CHẤP NHẬN ỨNG DỤNG TRÍ TUỆ NHÂN TẠO Ở NHÂN VIÊN Y TẾ: NGHIÊN CỨU MÔ HÌNH PHƯƠNG TRÌNH CẦU TRÚC PHÂN TÍCH GỘP")</f>
        <v>NGHỊCH LÝ RỦI RO VÀ VAI TRÒ TRUNG GIAN CỦA NIỀM TIN TRONG VIỆC CHẤP NHẬN ỨNG DỤNG TRÍ TUỆ NHÂN TẠO Ở NHÂN VIÊN Y TẾ: NGHIÊN CỨU MÔ HÌNH PHƯƠNG TRÌNH CẦU TRÚC PHÂN TÍCH GỘP</v>
      </c>
      <c r="D104" s="4" t="str">
        <f>IFERROR(__xludf.DUMMYFUNCTION("""COMPUTED_VALUE"""),"Nguyễn Thanh Ngọc; Phạm Thế Lâm; Phan Thị Thanh Nhàn; Nguyễn Đỗ Đăng Tùng; Trần Thu Hà")</f>
        <v>Nguyễn Thanh Ngọc; Phạm Thế Lâm; Phan Thị Thanh Nhàn; Nguyễn Đỗ Đăng Tùng; Trần Thu Hà</v>
      </c>
      <c r="E104" s="4" t="str">
        <f>IFERROR(__xludf.DUMMYFUNCTION("""COMPUTED_VALUE"""),"Trường Đại học Y Hà Nội")</f>
        <v>Trường Đại học Y Hà Nội</v>
      </c>
      <c r="F104" s="4" t="str">
        <f>IFERROR(__xludf.DUMMYFUNCTION("""COMPUTED_VALUE"""),"KHYD2026-103.png")</f>
        <v>KHYD2026-103.png</v>
      </c>
    </row>
    <row r="105">
      <c r="A105" s="4" t="str">
        <f>IFERROR(__xludf.DUMMYFUNCTION("""COMPUTED_VALUE"""),"KHYD2026-104")</f>
        <v>KHYD2026-104</v>
      </c>
      <c r="B105" s="4" t="str">
        <f>IFERROR(__xludf.DUMMYFUNCTION("""COMPUTED_VALUE"""),"Khoa học Y, Dược")</f>
        <v>Khoa học Y, Dược</v>
      </c>
      <c r="C105" s="4" t="str">
        <f>IFERROR(__xludf.DUMMYFUNCTION("""COMPUTED_VALUE"""),"Development and validation of the Contraceptive Counseling Readiness Inventory (CCREI) among Vietnamese medical students: a multicentes psychometric study")</f>
        <v>Development and validation of the Contraceptive Counseling Readiness Inventory (CCREI) among Vietnamese medical students: a multicentes psychometric study</v>
      </c>
      <c r="D105" s="4" t="str">
        <f>IFERROR(__xludf.DUMMYFUNCTION("""COMPUTED_VALUE"""),"Nguyễn Đình Ký; Trần Ngọc Tâm Phúc; Nguyễn Ngọc Minh Tâm; Phạm Nguyễn Khánh Huyền; Nguyễn Ngọc Minh")</f>
        <v>Nguyễn Đình Ký; Trần Ngọc Tâm Phúc; Nguyễn Ngọc Minh Tâm; Phạm Nguyễn Khánh Huyền; Nguyễn Ngọc Minh</v>
      </c>
      <c r="E105" s="4" t="str">
        <f>IFERROR(__xludf.DUMMYFUNCTION("""COMPUTED_VALUE"""),"Trường Đại học Y Hà Nội")</f>
        <v>Trường Đại học Y Hà Nội</v>
      </c>
      <c r="F105" s="4" t="str">
        <f>IFERROR(__xludf.DUMMYFUNCTION("""COMPUTED_VALUE"""),"KHYD2026-104.png")</f>
        <v>KHYD2026-104.png</v>
      </c>
    </row>
    <row r="106">
      <c r="A106" s="4" t="str">
        <f>IFERROR(__xludf.DUMMYFUNCTION("""COMPUTED_VALUE"""),"KHYD2026-105")</f>
        <v>KHYD2026-105</v>
      </c>
      <c r="B106" s="4" t="str">
        <f>IFERROR(__xludf.DUMMYFUNCTION("""COMPUTED_VALUE"""),"Khoa học Y, Dược")</f>
        <v>Khoa học Y, Dược</v>
      </c>
      <c r="C106" s="4" t="str">
        <f>IFERROR(__xludf.DUMMYFUNCTION("""COMPUTED_VALUE"""),"CAN THIỆP CỦA DƯỢC SĨ TRONG SỬ DỤNG THUỐC AN TOÀN TRÊN BỆNH NHÂN LỌC MÁU (BỆNH THẬN MẠN GIAI ĐOẠN CUỐI)")</f>
        <v>CAN THIỆP CỦA DƯỢC SĨ TRONG SỬ DỤNG THUỐC AN TOÀN TRÊN BỆNH NHÂN LỌC MÁU (BỆNH THẬN MẠN GIAI ĐOẠN CUỐI)</v>
      </c>
      <c r="D106" s="4" t="str">
        <f>IFERROR(__xludf.DUMMYFUNCTION("""COMPUTED_VALUE"""),"Nguyễn Lê Thương; Huỳnh Nhật Tín")</f>
        <v>Nguyễn Lê Thương; Huỳnh Nhật Tín</v>
      </c>
      <c r="E106" s="4" t="str">
        <f>IFERROR(__xludf.DUMMYFUNCTION("""COMPUTED_VALUE"""),"Trường Đại học Nguyễn Tất Thành")</f>
        <v>Trường Đại học Nguyễn Tất Thành</v>
      </c>
      <c r="F106" s="4" t="str">
        <f>IFERROR(__xludf.DUMMYFUNCTION("""COMPUTED_VALUE"""),"KHYD2026-105.png")</f>
        <v>KHYD2026-105.png</v>
      </c>
    </row>
    <row r="107">
      <c r="A107" s="4" t="str">
        <f>IFERROR(__xludf.DUMMYFUNCTION("""COMPUTED_VALUE"""),"KHYD2026-106")</f>
        <v>KHYD2026-106</v>
      </c>
      <c r="B107" s="4" t="str">
        <f>IFERROR(__xludf.DUMMYFUNCTION("""COMPUTED_VALUE"""),"Khoa học Y, Dược")</f>
        <v>Khoa học Y, Dược</v>
      </c>
      <c r="C107" s="4" t="str">
        <f>IFERROR(__xludf.DUMMYFUNCTION("""COMPUTED_VALUE"""),"XÂY DỰNG DANH MỤC TƯƠNG TÁC THUỐC CẦN CHÚ Ý TRONG ĐIỀU TRỊ ĐÁI THÁO ĐƯỜNG TRÊN BỆNH NHÂN BỆNH THẬN MẠN TẠI BỆNH VIỆN NHÂN DÂN GIA ĐỊNH")</f>
        <v>XÂY DỰNG DANH MỤC TƯƠNG TÁC THUỐC CẦN CHÚ Ý TRONG ĐIỀU TRỊ ĐÁI THÁO ĐƯỜNG TRÊN BỆNH NHÂN BỆNH THẬN MẠN TẠI BỆNH VIỆN NHÂN DÂN GIA ĐỊNH</v>
      </c>
      <c r="D107" s="4" t="str">
        <f>IFERROR(__xludf.DUMMYFUNCTION("""COMPUTED_VALUE"""),"Nguyễn Lê Thương; Huỳnh Nhật Tín")</f>
        <v>Nguyễn Lê Thương; Huỳnh Nhật Tín</v>
      </c>
      <c r="E107" s="4" t="str">
        <f>IFERROR(__xludf.DUMMYFUNCTION("""COMPUTED_VALUE"""),"Trường Đại học Nguyễn Tất Thành")</f>
        <v>Trường Đại học Nguyễn Tất Thành</v>
      </c>
      <c r="F107" s="4" t="str">
        <f>IFERROR(__xludf.DUMMYFUNCTION("""COMPUTED_VALUE"""),"KHYD2026-106.png")</f>
        <v>KHYD2026-106.png</v>
      </c>
    </row>
    <row r="108">
      <c r="A108" s="4" t="str">
        <f>IFERROR(__xludf.DUMMYFUNCTION("""COMPUTED_VALUE"""),"KHYD2026-107")</f>
        <v>KHYD2026-107</v>
      </c>
      <c r="B108" s="4" t="str">
        <f>IFERROR(__xludf.DUMMYFUNCTION("""COMPUTED_VALUE"""),"Khoa học Y, Dược")</f>
        <v>Khoa học Y, Dược</v>
      </c>
      <c r="C108" s="4" t="str">
        <f>IFERROR(__xludf.DUMMYFUNCTION("""COMPUTED_VALUE"""),"Global attractor for a SAIR model with diffusion")</f>
        <v>Global attractor for a SAIR model with diffusion</v>
      </c>
      <c r="D108" s="4" t="str">
        <f>IFERROR(__xludf.DUMMYFUNCTION("""COMPUTED_VALUE"""),"Cung Lê Như Quỳnh; Vương Thị Tâm")</f>
        <v>Cung Lê Như Quỳnh; Vương Thị Tâm</v>
      </c>
      <c r="E108" s="4" t="str">
        <f>IFERROR(__xludf.DUMMYFUNCTION("""COMPUTED_VALUE"""),"Trường Đại học Sư phạm Hà Nội")</f>
        <v>Trường Đại học Sư phạm Hà Nội</v>
      </c>
      <c r="F108" s="4" t="str">
        <f>IFERROR(__xludf.DUMMYFUNCTION("""COMPUTED_VALUE"""),"KHYD2026-107.png")</f>
        <v>KHYD2026-107.png</v>
      </c>
    </row>
    <row r="109">
      <c r="A109" s="4" t="str">
        <f>IFERROR(__xludf.DUMMYFUNCTION("""COMPUTED_VALUE"""),"KHYD2026-108")</f>
        <v>KHYD2026-108</v>
      </c>
      <c r="B109" s="4" t="str">
        <f>IFERROR(__xludf.DUMMYFUNCTION("""COMPUTED_VALUE"""),"Khoa học Y, Dược")</f>
        <v>Khoa học Y, Dược</v>
      </c>
      <c r="C109" s="4" t="str">
        <f>IFERROR(__xludf.DUMMYFUNCTION("""COMPUTED_VALUE"""),"Năng lực về sức khoẻ điện tử, sức khoẻ tinh thần của sinh viên Trường Y - Dược Phenikaa năm 2025 và một số yếu tố liên quan")</f>
        <v>Năng lực về sức khoẻ điện tử, sức khoẻ tinh thần của sinh viên Trường Y - Dược Phenikaa năm 2025 và một số yếu tố liên quan</v>
      </c>
      <c r="D109" s="4" t="str">
        <f>IFERROR(__xludf.DUMMYFUNCTION("""COMPUTED_VALUE"""),"Đỗ Bảo Hằng; Nguyễn Hải Ngân; Nguyễn Thu Thủy; Bùi Thị Quỳnh Trâm; Nguyễn Văn Đức")</f>
        <v>Đỗ Bảo Hằng; Nguyễn Hải Ngân; Nguyễn Thu Thủy; Bùi Thị Quỳnh Trâm; Nguyễn Văn Đức</v>
      </c>
      <c r="E109" s="4" t="str">
        <f>IFERROR(__xludf.DUMMYFUNCTION("""COMPUTED_VALUE"""),"Đại học Phenikaa")</f>
        <v>Đại học Phenikaa</v>
      </c>
      <c r="F109" s="4" t="str">
        <f>IFERROR(__xludf.DUMMYFUNCTION("""COMPUTED_VALUE"""),"KHYD2026-108.png")</f>
        <v>KHYD2026-108.png</v>
      </c>
    </row>
    <row r="110">
      <c r="A110" s="4" t="str">
        <f>IFERROR(__xludf.DUMMYFUNCTION("""COMPUTED_VALUE"""),"KHYD2026-109")</f>
        <v>KHYD2026-109</v>
      </c>
      <c r="B110" s="4" t="str">
        <f>IFERROR(__xludf.DUMMYFUNCTION("""COMPUTED_VALUE"""),"Khoa học Y, Dược")</f>
        <v>Khoa học Y, Dược</v>
      </c>
      <c r="C110" s="4" t="str">
        <f>IFERROR(__xludf.DUMMYFUNCTION("""COMPUTED_VALUE"""),"Khảo sát nhu cầu chăm sóc khi về già của người độ tuổi trung niên")</f>
        <v>Khảo sát nhu cầu chăm sóc khi về già của người độ tuổi trung niên</v>
      </c>
      <c r="D110" s="4" t="str">
        <f>IFERROR(__xludf.DUMMYFUNCTION("""COMPUTED_VALUE"""),"Vũ Ngọc Thư; Nguyễn Thị Yên Mỹ; Nguyễn Hương Ly; Nguyễn Xuân Bách")</f>
        <v>Vũ Ngọc Thư; Nguyễn Thị Yên Mỹ; Nguyễn Hương Ly; Nguyễn Xuân Bách</v>
      </c>
      <c r="E110" s="4" t="str">
        <f>IFERROR(__xludf.DUMMYFUNCTION("""COMPUTED_VALUE"""),"Đại học Phenikaa")</f>
        <v>Đại học Phenikaa</v>
      </c>
      <c r="F110" s="4" t="str">
        <f>IFERROR(__xludf.DUMMYFUNCTION("""COMPUTED_VALUE"""),"KHYD2026-109.png")</f>
        <v>KHYD2026-109.png</v>
      </c>
    </row>
    <row r="111">
      <c r="A111" s="4" t="str">
        <f>IFERROR(__xludf.DUMMYFUNCTION("""COMPUTED_VALUE"""),"KHYD2026-110")</f>
        <v>KHYD2026-110</v>
      </c>
      <c r="B111" s="4" t="str">
        <f>IFERROR(__xludf.DUMMYFUNCTION("""COMPUTED_VALUE"""),"Khoa học Y, Dược")</f>
        <v>Khoa học Y, Dược</v>
      </c>
      <c r="C111" s="4" t="str">
        <f>IFERROR(__xludf.DUMMYFUNCTION("""COMPUTED_VALUE"""),"Kiến thức, thái độ, độ sẵn lòng và yếu tố ảnh hưởng đến sơ cứu ban đầu của sinh viên Trường Y–Dược Phenikaa năm 2025")</f>
        <v>Kiến thức, thái độ, độ sẵn lòng và yếu tố ảnh hưởng đến sơ cứu ban đầu của sinh viên Trường Y–Dược Phenikaa năm 2025</v>
      </c>
      <c r="D111" s="4" t="str">
        <f>IFERROR(__xludf.DUMMYFUNCTION("""COMPUTED_VALUE"""),"Mai Như Nguyệt; Dương Vũ Bảo Trâm; Đỗ Huyền Uyên; Nghiêm Minh Thu")</f>
        <v>Mai Như Nguyệt; Dương Vũ Bảo Trâm; Đỗ Huyền Uyên; Nghiêm Minh Thu</v>
      </c>
      <c r="E111" s="4" t="str">
        <f>IFERROR(__xludf.DUMMYFUNCTION("""COMPUTED_VALUE"""),"Đại học Phenikaa")</f>
        <v>Đại học Phenikaa</v>
      </c>
      <c r="F111" s="4" t="str">
        <f>IFERROR(__xludf.DUMMYFUNCTION("""COMPUTED_VALUE"""),"KHYD2026-110.png")</f>
        <v>KHYD2026-110.png</v>
      </c>
    </row>
    <row r="112">
      <c r="A112" s="4" t="str">
        <f>IFERROR(__xludf.DUMMYFUNCTION("""COMPUTED_VALUE"""),"KHYD2026-111")</f>
        <v>KHYD2026-111</v>
      </c>
      <c r="B112" s="4" t="str">
        <f>IFERROR(__xludf.DUMMYFUNCTION("""COMPUTED_VALUE"""),"Khoa học Y, Dược")</f>
        <v>Khoa học Y, Dược</v>
      </c>
      <c r="C112" s="4" t="str">
        <f>IFERROR(__xludf.DUMMYFUNCTION("""COMPUTED_VALUE"""),"Kiến thức và thái độ về kiểm soát lây nhiễm của sinh viên Khoa Răng Hàm Mặt Trường Đại học Văn Lang")</f>
        <v>Kiến thức và thái độ về kiểm soát lây nhiễm của sinh viên Khoa Răng Hàm Mặt Trường Đại học Văn Lang</v>
      </c>
      <c r="D112" s="4" t="str">
        <f>IFERROR(__xludf.DUMMYFUNCTION("""COMPUTED_VALUE"""),"Hồ Phước Toàn; Trần Đức Hoàng Tiến; Nguyễn Ngọc Bảo Hân; Cao Phương Hằng")</f>
        <v>Hồ Phước Toàn; Trần Đức Hoàng Tiến; Nguyễn Ngọc Bảo Hân; Cao Phương Hằng</v>
      </c>
      <c r="E112" s="4" t="str">
        <f>IFERROR(__xludf.DUMMYFUNCTION("""COMPUTED_VALUE"""),"Trường Đại học Văn Lang")</f>
        <v>Trường Đại học Văn Lang</v>
      </c>
      <c r="F112" s="4" t="str">
        <f>IFERROR(__xludf.DUMMYFUNCTION("""COMPUTED_VALUE"""),"KHYD2026-111.png")</f>
        <v>KHYD2026-111.png</v>
      </c>
    </row>
    <row r="113">
      <c r="A113" s="4" t="str">
        <f>IFERROR(__xludf.DUMMYFUNCTION("""COMPUTED_VALUE"""),"KHYD2026-112")</f>
        <v>KHYD2026-112</v>
      </c>
      <c r="B113" s="4" t="str">
        <f>IFERROR(__xludf.DUMMYFUNCTION("""COMPUTED_VALUE"""),"Khoa học Y, Dược")</f>
        <v>Khoa học Y, Dược</v>
      </c>
      <c r="C113" s="4" t="str">
        <f>IFERROR(__xludf.DUMMYFUNCTION("""COMPUTED_VALUE"""),"Thực trạng sức khoẻ thể chất của sinh viên năm thứ nhất Trường Đại học Y tế công cộng, năm học 2025-2026.")</f>
        <v>Thực trạng sức khoẻ thể chất của sinh viên năm thứ nhất Trường Đại học Y tế công cộng, năm học 2025-2026.</v>
      </c>
      <c r="D113" s="4" t="str">
        <f>IFERROR(__xludf.DUMMYFUNCTION("""COMPUTED_VALUE"""),"Trần Vũ Minh Đức; Phạm Đức Tâm; Hoàng Hạnh Trang")</f>
        <v>Trần Vũ Minh Đức; Phạm Đức Tâm; Hoàng Hạnh Trang</v>
      </c>
      <c r="E113" s="4" t="str">
        <f>IFERROR(__xludf.DUMMYFUNCTION("""COMPUTED_VALUE"""),"Trường Đại học Y tế Công cộng")</f>
        <v>Trường Đại học Y tế Công cộng</v>
      </c>
      <c r="F113" s="4" t="str">
        <f>IFERROR(__xludf.DUMMYFUNCTION("""COMPUTED_VALUE"""),"KHYD2026-112.png")</f>
        <v>KHYD2026-112.png</v>
      </c>
    </row>
    <row r="114">
      <c r="A114" s="4" t="str">
        <f>IFERROR(__xludf.DUMMYFUNCTION("""COMPUTED_VALUE"""),"KHYD2026-113")</f>
        <v>KHYD2026-113</v>
      </c>
      <c r="B114" s="4" t="str">
        <f>IFERROR(__xludf.DUMMYFUNCTION("""COMPUTED_VALUE"""),"Khoa học Y, Dược")</f>
        <v>Khoa học Y, Dược</v>
      </c>
      <c r="C114" s="4" t="str">
        <f>IFERROR(__xludf.DUMMYFUNCTION("""COMPUTED_VALUE"""),"Thực trạng và các yếu tố liên quan đến tình trạng đau cổ ở cán bộ, nhân viên Trường Đại học Y tế Công cộng năm 2026")</f>
        <v>Thực trạng và các yếu tố liên quan đến tình trạng đau cổ ở cán bộ, nhân viên Trường Đại học Y tế Công cộng năm 2026</v>
      </c>
      <c r="D114" s="4" t="str">
        <f>IFERROR(__xludf.DUMMYFUNCTION("""COMPUTED_VALUE"""),"Tạ Quỳnh Nga; Nguyễn Thu Ngân; Nguyễn Quang Bảo Anh; Nguyễn Duy Anh")</f>
        <v>Tạ Quỳnh Nga; Nguyễn Thu Ngân; Nguyễn Quang Bảo Anh; Nguyễn Duy Anh</v>
      </c>
      <c r="E114" s="4" t="str">
        <f>IFERROR(__xludf.DUMMYFUNCTION("""COMPUTED_VALUE"""),"Trường Đại học Y tế Công cộng")</f>
        <v>Trường Đại học Y tế Công cộng</v>
      </c>
      <c r="F114" s="4" t="str">
        <f>IFERROR(__xludf.DUMMYFUNCTION("""COMPUTED_VALUE"""),"KHYD2026-113.png")</f>
        <v>KHYD2026-113.png</v>
      </c>
    </row>
    <row r="115">
      <c r="A115" s="4" t="str">
        <f>IFERROR(__xludf.DUMMYFUNCTION("""COMPUTED_VALUE"""),"KHYD2026-114")</f>
        <v>KHYD2026-114</v>
      </c>
      <c r="B115" s="4" t="str">
        <f>IFERROR(__xludf.DUMMYFUNCTION("""COMPUTED_VALUE"""),"Khoa học Y, Dược")</f>
        <v>Khoa học Y, Dược</v>
      </c>
      <c r="C115" s="4" t="str">
        <f>IFERROR(__xludf.DUMMYFUNCTION("""COMPUTED_VALUE"""),"THỰC TRẠNG KIẾN THỨC, THÁI ĐỘ VÀ HÀNH VI TIÊM PHÒNG HPV CỦA SINH VIÊN HỌC VIỆN Y DƯỢC HỌC CỔ TRUYỀN VIỆT NAM NĂM HỌC 2024-2025")</f>
        <v>THỰC TRẠNG KIẾN THỨC, THÁI ĐỘ VÀ HÀNH VI TIÊM PHÒNG HPV CỦA SINH VIÊN HỌC VIỆN Y DƯỢC HỌC CỔ TRUYỀN VIỆT NAM NĂM HỌC 2024-2025</v>
      </c>
      <c r="D115" s="4" t="str">
        <f>IFERROR(__xludf.DUMMYFUNCTION("""COMPUTED_VALUE"""),"Nguyễn Quang Dũng; Trịnh Lan Anh")</f>
        <v>Nguyễn Quang Dũng; Trịnh Lan Anh</v>
      </c>
      <c r="E115" s="4" t="str">
        <f>IFERROR(__xludf.DUMMYFUNCTION("""COMPUTED_VALUE"""),"Học viện Y Dược học Cổ truyền Việt Nam")</f>
        <v>Học viện Y Dược học Cổ truyền Việt Nam</v>
      </c>
      <c r="F115" s="4" t="str">
        <f>IFERROR(__xludf.DUMMYFUNCTION("""COMPUTED_VALUE"""),"KHYD2026-114.png")</f>
        <v>KHYD2026-114.png</v>
      </c>
    </row>
    <row r="116">
      <c r="A116" s="4" t="str">
        <f>IFERROR(__xludf.DUMMYFUNCTION("""COMPUTED_VALUE"""),"KHYD2026-115")</f>
        <v>KHYD2026-115</v>
      </c>
      <c r="B116" s="4" t="str">
        <f>IFERROR(__xludf.DUMMYFUNCTION("""COMPUTED_VALUE"""),"Khoa học Y, Dược")</f>
        <v>Khoa học Y, Dược</v>
      </c>
      <c r="C116" s="4" t="str">
        <f>IFERROR(__xludf.DUMMYFUNCTION("""COMPUTED_VALUE"""),"MỐI LIÊN QUAN GIỮA TÌNH TRẠNG BUỒN NGỦ BAN NGÀY QUÁ MỨC VÀ CHẤT LƯỢNG GIẤC NGỦ KÉM VỚI THÀNH TÍCH HỌC TẬP CỦA SINH VIÊN Y KHOA TẠI TRƯỜNG ĐẠI HỌC NAM CẦN THƠ")</f>
        <v>MỐI LIÊN QUAN GIỮA TÌNH TRẠNG BUỒN NGỦ BAN NGÀY QUÁ MỨC VÀ CHẤT LƯỢNG GIẤC NGỦ KÉM VỚI THÀNH TÍCH HỌC TẬP CỦA SINH VIÊN Y KHOA TẠI TRƯỜNG ĐẠI HỌC NAM CẦN THƠ</v>
      </c>
      <c r="D116" s="4" t="str">
        <f>IFERROR(__xludf.DUMMYFUNCTION("""COMPUTED_VALUE"""),"Nguyễn Nhật Hào; Tô Nguyễn Quốc Khánh; Ong Ngọc Vy; Nguyễn Gia Nghiêm; Nguyễn Ngọc Hiền")</f>
        <v>Nguyễn Nhật Hào; Tô Nguyễn Quốc Khánh; Ong Ngọc Vy; Nguyễn Gia Nghiêm; Nguyễn Ngọc Hiền</v>
      </c>
      <c r="E116" s="4" t="str">
        <f>IFERROR(__xludf.DUMMYFUNCTION("""COMPUTED_VALUE"""),"Trường Đại học Nam Cần Thơ")</f>
        <v>Trường Đại học Nam Cần Thơ</v>
      </c>
      <c r="F116" s="4" t="str">
        <f>IFERROR(__xludf.DUMMYFUNCTION("""COMPUTED_VALUE"""),"KHYD2026-115.png")</f>
        <v>KHYD2026-115.png</v>
      </c>
    </row>
    <row r="117">
      <c r="A117" s="4" t="str">
        <f>IFERROR(__xludf.DUMMYFUNCTION("""COMPUTED_VALUE"""),"KHYD2026-116")</f>
        <v>KHYD2026-116</v>
      </c>
      <c r="B117" s="4" t="str">
        <f>IFERROR(__xludf.DUMMYFUNCTION("""COMPUTED_VALUE"""),"Khoa học Y, Dược")</f>
        <v>Khoa học Y, Dược</v>
      </c>
      <c r="C117" s="4" t="str">
        <f>IFERROR(__xludf.DUMMYFUNCTION("""COMPUTED_VALUE"""),"THỰC TRẠNG KIẾN THỨC CỦA NHÂN VIÊN Y TẾ VỀ SÀNG LỌC UNG THƯ ĐẠI TRỰC TRÀNG VÀ MỘT SỐ YẾU TỐ LIÊN QUAN TẠI BỆNH VIỆN ĐA KHOA SƠN TÂY NĂM 2026")</f>
        <v>THỰC TRẠNG KIẾN THỨC CỦA NHÂN VIÊN Y TẾ VỀ SÀNG LỌC UNG THƯ ĐẠI TRỰC TRÀNG VÀ MỘT SỐ YẾU TỐ LIÊN QUAN TẠI BỆNH VIỆN ĐA KHOA SƠN TÂY NĂM 2026</v>
      </c>
      <c r="D117" s="4" t="str">
        <f>IFERROR(__xludf.DUMMYFUNCTION("""COMPUTED_VALUE"""),"Hà Đức Anh; Hà Thị Minh Ngọc")</f>
        <v>Hà Đức Anh; Hà Thị Minh Ngọc</v>
      </c>
      <c r="E117" s="4" t="str">
        <f>IFERROR(__xludf.DUMMYFUNCTION("""COMPUTED_VALUE"""),"Học viện Y Dược học Cổ truyền Việt Nam")</f>
        <v>Học viện Y Dược học Cổ truyền Việt Nam</v>
      </c>
      <c r="F117" s="4" t="str">
        <f>IFERROR(__xludf.DUMMYFUNCTION("""COMPUTED_VALUE"""),"KHYD2026-116.png")</f>
        <v>KHYD2026-116.png</v>
      </c>
    </row>
    <row r="118">
      <c r="A118" s="4" t="str">
        <f>IFERROR(__xludf.DUMMYFUNCTION("""COMPUTED_VALUE"""),"KHYD2026-117")</f>
        <v>KHYD2026-117</v>
      </c>
      <c r="B118" s="4" t="str">
        <f>IFERROR(__xludf.DUMMYFUNCTION("""COMPUTED_VALUE"""),"Khoa học Y, Dược")</f>
        <v>Khoa học Y, Dược</v>
      </c>
      <c r="C118" s="4" t="str">
        <f>IFERROR(__xludf.DUMMYFUNCTION("""COMPUTED_VALUE"""),"Mối liên quan giữa năng lực sức khỏe số và kiến thức phòng chống bệnh mạn tính ở sinh viên Trường Đại học Y khoa Vinh")</f>
        <v>Mối liên quan giữa năng lực sức khỏe số và kiến thức phòng chống bệnh mạn tính ở sinh viên Trường Đại học Y khoa Vinh</v>
      </c>
      <c r="D118" s="4" t="str">
        <f>IFERROR(__xludf.DUMMYFUNCTION("""COMPUTED_VALUE"""),"Hồ Ngọc Linh Phương; Lê Tiến Đạt; Đỗ Doãn Đạt; Nguyễn Phương Hằng; Phạm Thị Hằng")</f>
        <v>Hồ Ngọc Linh Phương; Lê Tiến Đạt; Đỗ Doãn Đạt; Nguyễn Phương Hằng; Phạm Thị Hằng</v>
      </c>
      <c r="E118" s="4" t="str">
        <f>IFERROR(__xludf.DUMMYFUNCTION("""COMPUTED_VALUE"""),"Trường Đại học Y khoa Vinh")</f>
        <v>Trường Đại học Y khoa Vinh</v>
      </c>
      <c r="F118" s="4" t="str">
        <f>IFERROR(__xludf.DUMMYFUNCTION("""COMPUTED_VALUE"""),"KHYD2026-117.png")</f>
        <v>KHYD2026-117.png</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29"/>
    <col customWidth="1" min="2" max="2" width="24.0"/>
    <col customWidth="1" min="3" max="3" width="246.71"/>
    <col customWidth="1" min="4" max="4" width="106.57"/>
    <col customWidth="1" min="5" max="5" width="97.86"/>
    <col customWidth="1" min="6" max="6" width="19.29"/>
  </cols>
  <sheetData>
    <row r="1">
      <c r="A1" s="1" t="s">
        <v>0</v>
      </c>
      <c r="B1" s="1" t="s">
        <v>1</v>
      </c>
      <c r="C1" s="1" t="s">
        <v>2</v>
      </c>
      <c r="D1" s="1" t="s">
        <v>3</v>
      </c>
      <c r="E1" s="1" t="s">
        <v>4</v>
      </c>
      <c r="F1" s="1" t="s">
        <v>5</v>
      </c>
    </row>
    <row r="2">
      <c r="A2" s="4" t="str">
        <f>IFERROR(__xludf.DUMMYFUNCTION("FILTER('Danh sach'!A2:F2184, 'Danh sach'!B2:B2184=""Tài nguyên và Môi trường"")"),"TNMT2026-001")</f>
        <v>TNMT2026-001</v>
      </c>
      <c r="B2" s="4" t="str">
        <f>IFERROR(__xludf.DUMMYFUNCTION("""COMPUTED_VALUE"""),"Tài nguyên và Môi trường")</f>
        <v>Tài nguyên và Môi trường</v>
      </c>
      <c r="C2" s="4" t="str">
        <f>IFERROR(__xludf.DUMMYFUNCTION("""COMPUTED_VALUE"""),"Nghiên cứu tổng hợp vật liệu khung cơ kim Mg-gallate từ lá trà ứng dụng hấp phụ và lưu trữ CO2 hiệu quả ở điều kiện thường.")</f>
        <v>Nghiên cứu tổng hợp vật liệu khung cơ kim Mg-gallate từ lá trà ứng dụng hấp phụ và lưu trữ CO2 hiệu quả ở điều kiện thường.</v>
      </c>
      <c r="D2" s="4" t="str">
        <f>IFERROR(__xludf.DUMMYFUNCTION("""COMPUTED_VALUE"""),"Ngô Quang Huy; Nguyễn Thái Phương Như; Thới Thị Thu Thảo; Phan Thụy Bích Ngọc")</f>
        <v>Ngô Quang Huy; Nguyễn Thái Phương Như; Thới Thị Thu Thảo; Phan Thụy Bích Ngọc</v>
      </c>
      <c r="E2" s="4" t="str">
        <f>IFERROR(__xludf.DUMMYFUNCTION("""COMPUTED_VALUE"""),"Trường Đại học Tôn Đức Thắng")</f>
        <v>Trường Đại học Tôn Đức Thắng</v>
      </c>
      <c r="F2" s="4" t="str">
        <f>IFERROR(__xludf.DUMMYFUNCTION("""COMPUTED_VALUE"""),"TNMT2026-001.png")</f>
        <v>TNMT2026-001.png</v>
      </c>
    </row>
    <row r="3">
      <c r="A3" s="4" t="str">
        <f>IFERROR(__xludf.DUMMYFUNCTION("""COMPUTED_VALUE"""),"TNMT2026-002")</f>
        <v>TNMT2026-002</v>
      </c>
      <c r="B3" s="4" t="str">
        <f>IFERROR(__xludf.DUMMYFUNCTION("""COMPUTED_VALUE"""),"Tài nguyên và Môi trường")</f>
        <v>Tài nguyên và Môi trường</v>
      </c>
      <c r="C3" s="4" t="str">
        <f>IFERROR(__xludf.DUMMYFUNCTION("""COMPUTED_VALUE"""),"Giải mã hành vi của người tiêu dùng trong bối cảnh bù đắp carbon: Vai trò trung gian của thái độ và vai trò điều tiết của truyền thông chính sách, văn hóa sĩ diện và nhận thức hiệu quả chi phí")</f>
        <v>Giải mã hành vi của người tiêu dùng trong bối cảnh bù đắp carbon: Vai trò trung gian của thái độ và vai trò điều tiết của truyền thông chính sách, văn hóa sĩ diện và nhận thức hiệu quả chi phí</v>
      </c>
      <c r="D3" s="4" t="str">
        <f>IFERROR(__xludf.DUMMYFUNCTION("""COMPUTED_VALUE"""),"Nguyễn Hồ Gia Bảo")</f>
        <v>Nguyễn Hồ Gia Bảo</v>
      </c>
      <c r="E3" s="4" t="str">
        <f>IFERROR(__xludf.DUMMYFUNCTION("""COMPUTED_VALUE"""),"Trường Đại học Văn Lang")</f>
        <v>Trường Đại học Văn Lang</v>
      </c>
      <c r="F3" s="4" t="str">
        <f>IFERROR(__xludf.DUMMYFUNCTION("""COMPUTED_VALUE"""),"TNMT2026-002.png")</f>
        <v>TNMT2026-002.png</v>
      </c>
    </row>
    <row r="4">
      <c r="A4" s="4" t="str">
        <f>IFERROR(__xludf.DUMMYFUNCTION("""COMPUTED_VALUE"""),"TNMT2026-003")</f>
        <v>TNMT2026-003</v>
      </c>
      <c r="B4" s="4" t="str">
        <f>IFERROR(__xludf.DUMMYFUNCTION("""COMPUTED_VALUE"""),"Tài nguyên và Môi trường")</f>
        <v>Tài nguyên và Môi trường</v>
      </c>
      <c r="C4" s="4" t="str">
        <f>IFERROR(__xludf.DUMMYFUNCTION("""COMPUTED_VALUE"""),"Thiết kế Website giáo dục biến đổi khí hậu dành cho thanh niên")</f>
        <v>Thiết kế Website giáo dục biến đổi khí hậu dành cho thanh niên</v>
      </c>
      <c r="D4" s="4" t="str">
        <f>IFERROR(__xludf.DUMMYFUNCTION("""COMPUTED_VALUE"""),"Ngô Thị Anh Thư")</f>
        <v>Ngô Thị Anh Thư</v>
      </c>
      <c r="E4" s="4" t="str">
        <f>IFERROR(__xludf.DUMMYFUNCTION("""COMPUTED_VALUE"""),"Trường Đại học Kiến trúc TP. Hồ Chí Minh")</f>
        <v>Trường Đại học Kiến trúc TP. Hồ Chí Minh</v>
      </c>
      <c r="F4" s="4" t="str">
        <f>IFERROR(__xludf.DUMMYFUNCTION("""COMPUTED_VALUE"""),"TNMT2026-003.png")</f>
        <v>TNMT2026-003.png</v>
      </c>
    </row>
    <row r="5">
      <c r="A5" s="4" t="str">
        <f>IFERROR(__xludf.DUMMYFUNCTION("""COMPUTED_VALUE"""),"TNMT2026-004")</f>
        <v>TNMT2026-004</v>
      </c>
      <c r="B5" s="4" t="str">
        <f>IFERROR(__xludf.DUMMYFUNCTION("""COMPUTED_VALUE"""),"Tài nguyên và Môi trường")</f>
        <v>Tài nguyên và Môi trường</v>
      </c>
      <c r="C5" s="4" t="str">
        <f>IFERROR(__xludf.DUMMYFUNCTION("""COMPUTED_VALUE"""),"Giải pháp huy động tài chính xanh cho hạ tầng chống ngập lụt độ thị ven biển Thành phố Hải Phòng")</f>
        <v>Giải pháp huy động tài chính xanh cho hạ tầng chống ngập lụt độ thị ven biển Thành phố Hải Phòng</v>
      </c>
      <c r="D5" s="4" t="str">
        <f>IFERROR(__xludf.DUMMYFUNCTION("""COMPUTED_VALUE"""),"Thân Đức Lương; Đồng Thị Diệu Trinh; Nguyễn Hữu Thuyên; Phan Dương Yến Nhi")</f>
        <v>Thân Đức Lương; Đồng Thị Diệu Trinh; Nguyễn Hữu Thuyên; Phan Dương Yến Nhi</v>
      </c>
      <c r="E5" s="4" t="str">
        <f>IFERROR(__xludf.DUMMYFUNCTION("""COMPUTED_VALUE"""),"Trường Đại học Kiến trúc Hà Nội")</f>
        <v>Trường Đại học Kiến trúc Hà Nội</v>
      </c>
      <c r="F5" s="4" t="str">
        <f>IFERROR(__xludf.DUMMYFUNCTION("""COMPUTED_VALUE"""),"TNMT2026-004.png")</f>
        <v>TNMT2026-004.png</v>
      </c>
    </row>
    <row r="6">
      <c r="A6" s="4" t="str">
        <f>IFERROR(__xludf.DUMMYFUNCTION("""COMPUTED_VALUE"""),"TNMT2026-005")</f>
        <v>TNMT2026-005</v>
      </c>
      <c r="B6" s="4" t="str">
        <f>IFERROR(__xludf.DUMMYFUNCTION("""COMPUTED_VALUE"""),"Tài nguyên và Môi trường")</f>
        <v>Tài nguyên và Môi trường</v>
      </c>
      <c r="C6" s="4" t="str">
        <f>IFERROR(__xludf.DUMMYFUNCTION("""COMPUTED_VALUE"""),"Phân tích sự ảnh hưởng của phát triển đô thị đến đảo nhiệt đô thị tại TP.HCM giai đoạn 1995-2025")</f>
        <v>Phân tích sự ảnh hưởng của phát triển đô thị đến đảo nhiệt đô thị tại TP.HCM giai đoạn 1995-2025</v>
      </c>
      <c r="D6" s="4" t="str">
        <f>IFERROR(__xludf.DUMMYFUNCTION("""COMPUTED_VALUE"""),"Lê Hoàng Gia Khánh; Nguyễn Thanh Ngọc; Huỳnh Đức Anh Khoa")</f>
        <v>Lê Hoàng Gia Khánh; Nguyễn Thanh Ngọc; Huỳnh Đức Anh Khoa</v>
      </c>
      <c r="E6" s="4" t="str">
        <f>IFERROR(__xludf.DUMMYFUNCTION("""COMPUTED_VALUE"""),"Trường Đại học Khoa học Tự nhiên, ĐHQG-HCM")</f>
        <v>Trường Đại học Khoa học Tự nhiên, ĐHQG-HCM</v>
      </c>
      <c r="F6" s="4" t="str">
        <f>IFERROR(__xludf.DUMMYFUNCTION("""COMPUTED_VALUE"""),"TNMT2026-005.png")</f>
        <v>TNMT2026-005.png</v>
      </c>
    </row>
    <row r="7">
      <c r="A7" s="4" t="str">
        <f>IFERROR(__xludf.DUMMYFUNCTION("""COMPUTED_VALUE"""),"TNMT2026-006")</f>
        <v>TNMT2026-006</v>
      </c>
      <c r="B7" s="4" t="str">
        <f>IFERROR(__xludf.DUMMYFUNCTION("""COMPUTED_VALUE"""),"Tài nguyên và Môi trường")</f>
        <v>Tài nguyên và Môi trường</v>
      </c>
      <c r="C7" s="4" t="str">
        <f>IFERROR(__xludf.DUMMYFUNCTION("""COMPUTED_VALUE"""),"Ứng dụng Viễn thám và GIS lập bản đồ chỉ số không gian xanh WUGSI cho khu vực trung tâm thành phố Hồ Chí Minh")</f>
        <v>Ứng dụng Viễn thám và GIS lập bản đồ chỉ số không gian xanh WUGSI cho khu vực trung tâm thành phố Hồ Chí Minh</v>
      </c>
      <c r="D7" s="4" t="str">
        <f>IFERROR(__xludf.DUMMYFUNCTION("""COMPUTED_VALUE"""),"Bùi Thị Thu Huyền; Huỳnh Thị Kim Duyên; Lê Huỳnh Phương Nhã")</f>
        <v>Bùi Thị Thu Huyền; Huỳnh Thị Kim Duyên; Lê Huỳnh Phương Nhã</v>
      </c>
      <c r="E7" s="4" t="str">
        <f>IFERROR(__xludf.DUMMYFUNCTION("""COMPUTED_VALUE"""),"Trường Đại học Khoa học xã hội và Nhân văn, ĐHQG-HCM")</f>
        <v>Trường Đại học Khoa học xã hội và Nhân văn, ĐHQG-HCM</v>
      </c>
      <c r="F7" s="4" t="str">
        <f>IFERROR(__xludf.DUMMYFUNCTION("""COMPUTED_VALUE"""),"TNMT2026-006.png")</f>
        <v>TNMT2026-006.png</v>
      </c>
    </row>
    <row r="8">
      <c r="A8" s="4" t="str">
        <f>IFERROR(__xludf.DUMMYFUNCTION("""COMPUTED_VALUE"""),"TNMT2026-007")</f>
        <v>TNMT2026-007</v>
      </c>
      <c r="B8" s="4" t="str">
        <f>IFERROR(__xludf.DUMMYFUNCTION("""COMPUTED_VALUE"""),"Tài nguyên và Môi trường")</f>
        <v>Tài nguyên và Môi trường</v>
      </c>
      <c r="C8" s="4" t="str">
        <f>IFERROR(__xludf.DUMMYFUNCTION("""COMPUTED_VALUE"""),"Ước tính phát thải carbon phát sinh từ việc sử dụng năng lượng tại hộ gia đình ở vùng ven biển Thành phố Hồ Chí Minh")</f>
        <v>Ước tính phát thải carbon phát sinh từ việc sử dụng năng lượng tại hộ gia đình ở vùng ven biển Thành phố Hồ Chí Minh</v>
      </c>
      <c r="D8" s="4" t="str">
        <f>IFERROR(__xludf.DUMMYFUNCTION("""COMPUTED_VALUE"""),"Nguyễn Thị Mỹ Phụng")</f>
        <v>Nguyễn Thị Mỹ Phụng</v>
      </c>
      <c r="E8" s="4" t="str">
        <f>IFERROR(__xludf.DUMMYFUNCTION("""COMPUTED_VALUE"""),"Trường Đại học Khoa học Tự nhiên, ĐHQG-HCM")</f>
        <v>Trường Đại học Khoa học Tự nhiên, ĐHQG-HCM</v>
      </c>
      <c r="F8" s="4" t="str">
        <f>IFERROR(__xludf.DUMMYFUNCTION("""COMPUTED_VALUE"""),"TNMT2026-007.png")</f>
        <v>TNMT2026-007.png</v>
      </c>
    </row>
    <row r="9">
      <c r="A9" s="4" t="str">
        <f>IFERROR(__xludf.DUMMYFUNCTION("""COMPUTED_VALUE"""),"TNMT2026-008")</f>
        <v>TNMT2026-008</v>
      </c>
      <c r="B9" s="4" t="str">
        <f>IFERROR(__xludf.DUMMYFUNCTION("""COMPUTED_VALUE"""),"Tài nguyên và Môi trường")</f>
        <v>Tài nguyên và Môi trường</v>
      </c>
      <c r="C9" s="4" t="str">
        <f>IFERROR(__xludf.DUMMYFUNCTION("""COMPUTED_VALUE"""),"Cơ chế chia sẻ lợi ích cho dự án tín chỉ Carbon rừng ngập mặn Cần Giờ")</f>
        <v>Cơ chế chia sẻ lợi ích cho dự án tín chỉ Carbon rừng ngập mặn Cần Giờ</v>
      </c>
      <c r="D9" s="4" t="str">
        <f>IFERROR(__xludf.DUMMYFUNCTION("""COMPUTED_VALUE"""),"Trần Ngọc Hải Lý")</f>
        <v>Trần Ngọc Hải Lý</v>
      </c>
      <c r="E9" s="4" t="str">
        <f>IFERROR(__xludf.DUMMYFUNCTION("""COMPUTED_VALUE"""),"Trường Đại học Khoa học xã hội và Nhân văn, ĐHQG-HCM")</f>
        <v>Trường Đại học Khoa học xã hội và Nhân văn, ĐHQG-HCM</v>
      </c>
      <c r="F9" s="4" t="str">
        <f>IFERROR(__xludf.DUMMYFUNCTION("""COMPUTED_VALUE"""),"TNMT2026-008.png")</f>
        <v>TNMT2026-008.png</v>
      </c>
    </row>
    <row r="10">
      <c r="A10" s="4" t="str">
        <f>IFERROR(__xludf.DUMMYFUNCTION("""COMPUTED_VALUE"""),"TNMT2026-009")</f>
        <v>TNMT2026-009</v>
      </c>
      <c r="B10" s="4" t="str">
        <f>IFERROR(__xludf.DUMMYFUNCTION("""COMPUTED_VALUE"""),"Tài nguyên và Môi trường")</f>
        <v>Tài nguyên và Môi trường</v>
      </c>
      <c r="C10" s="4" t="str">
        <f>IFERROR(__xludf.DUMMYFUNCTION("""COMPUTED_VALUE"""),"Nghiên cứu hệ đồng nuôi cấy Chlorella sp. phân lập từ ao nuôi thủy sản và Bacillus sp. hướng đến cải thiện chất lượng nước và tạo bông sinh học")</f>
        <v>Nghiên cứu hệ đồng nuôi cấy Chlorella sp. phân lập từ ao nuôi thủy sản và Bacillus sp. hướng đến cải thiện chất lượng nước và tạo bông sinh học</v>
      </c>
      <c r="D10" s="4" t="str">
        <f>IFERROR(__xludf.DUMMYFUNCTION("""COMPUTED_VALUE"""),"Châu Thái Anh Hào; Cao Xuân Nam; Nguyễn Thành Tài")</f>
        <v>Châu Thái Anh Hào; Cao Xuân Nam; Nguyễn Thành Tài</v>
      </c>
      <c r="E10" s="4" t="str">
        <f>IFERROR(__xludf.DUMMYFUNCTION("""COMPUTED_VALUE"""),"Trường Đại học Nguyễn Tất Thành")</f>
        <v>Trường Đại học Nguyễn Tất Thành</v>
      </c>
      <c r="F10" s="4" t="str">
        <f>IFERROR(__xludf.DUMMYFUNCTION("""COMPUTED_VALUE"""),"TNMT2026-009.png")</f>
        <v>TNMT2026-009.png</v>
      </c>
    </row>
    <row r="11">
      <c r="A11" s="4" t="str">
        <f>IFERROR(__xludf.DUMMYFUNCTION("""COMPUTED_VALUE"""),"TNMT2026-010")</f>
        <v>TNMT2026-010</v>
      </c>
      <c r="B11" s="4" t="str">
        <f>IFERROR(__xludf.DUMMYFUNCTION("""COMPUTED_VALUE"""),"Tài nguyên và Môi trường")</f>
        <v>Tài nguyên và Môi trường</v>
      </c>
      <c r="C11" s="4" t="str">
        <f>IFERROR(__xludf.DUMMYFUNCTION("""COMPUTED_VALUE"""),"Ứng dụng hệ thống đất ngập nước kiến tạo kết hợp than sinh học trong xử lý nước thải nuôi tôm")</f>
        <v>Ứng dụng hệ thống đất ngập nước kiến tạo kết hợp than sinh học trong xử lý nước thải nuôi tôm</v>
      </c>
      <c r="D11" s="4" t="str">
        <f>IFERROR(__xludf.DUMMYFUNCTION("""COMPUTED_VALUE"""),"Lê Thị Hồng Hạnh; Nguyễn Minh Thuận*")</f>
        <v>Lê Thị Hồng Hạnh; Nguyễn Minh Thuận*</v>
      </c>
      <c r="E11" s="4" t="str">
        <f>IFERROR(__xludf.DUMMYFUNCTION("""COMPUTED_VALUE"""),"Trường Đại học Nguyễn Tất Thành; *Trường Đại học Sài Gòn")</f>
        <v>Trường Đại học Nguyễn Tất Thành; *Trường Đại học Sài Gòn</v>
      </c>
      <c r="F11" s="4" t="str">
        <f>IFERROR(__xludf.DUMMYFUNCTION("""COMPUTED_VALUE"""),"TNMT2026-010.png")</f>
        <v>TNMT2026-010.png</v>
      </c>
    </row>
    <row r="12">
      <c r="A12" s="4" t="str">
        <f>IFERROR(__xludf.DUMMYFUNCTION("""COMPUTED_VALUE"""),"TNMT2026-011")</f>
        <v>TNMT2026-011</v>
      </c>
      <c r="B12" s="4" t="str">
        <f>IFERROR(__xludf.DUMMYFUNCTION("""COMPUTED_VALUE"""),"Tài nguyên và Môi trường")</f>
        <v>Tài nguyên và Môi trường</v>
      </c>
      <c r="C12" s="4" t="str">
        <f>IFERROR(__xludf.DUMMYFUNCTION("""COMPUTED_VALUE"""),"Đánh giá khả năng xử lý nước thải dệt nhuộm bằng than sinh học từ vỏ cà phê và vỏ sầu riêng")</f>
        <v>Đánh giá khả năng xử lý nước thải dệt nhuộm bằng than sinh học từ vỏ cà phê và vỏ sầu riêng</v>
      </c>
      <c r="D12" s="4" t="str">
        <f>IFERROR(__xludf.DUMMYFUNCTION("""COMPUTED_VALUE"""),"Trần Lê Minh; Trần Chân")</f>
        <v>Trần Lê Minh; Trần Chân</v>
      </c>
      <c r="E12" s="4" t="str">
        <f>IFERROR(__xludf.DUMMYFUNCTION("""COMPUTED_VALUE"""),"Trường Đại học Nguyễn Tất Thành")</f>
        <v>Trường Đại học Nguyễn Tất Thành</v>
      </c>
      <c r="F12" s="4" t="str">
        <f>IFERROR(__xludf.DUMMYFUNCTION("""COMPUTED_VALUE"""),"TNMT2026-011.png")</f>
        <v>TNMT2026-011.png</v>
      </c>
    </row>
    <row r="13">
      <c r="A13" s="4" t="str">
        <f>IFERROR(__xludf.DUMMYFUNCTION("""COMPUTED_VALUE"""),"TNMT2026-012")</f>
        <v>TNMT2026-012</v>
      </c>
      <c r="B13" s="4" t="str">
        <f>IFERROR(__xludf.DUMMYFUNCTION("""COMPUTED_VALUE"""),"Tài nguyên và Môi trường")</f>
        <v>Tài nguyên và Môi trường</v>
      </c>
      <c r="C13" s="4" t="str">
        <f>IFERROR(__xludf.DUMMYFUNCTION("""COMPUTED_VALUE"""),"Đánh giá hiệu quả xử lý nước thải và tiềm năng ứng dụng sinh khối vi tảo Chlorella vulgaris trong sản xuất chất kích thích sinh học cho cây trồng")</f>
        <v>Đánh giá hiệu quả xử lý nước thải và tiềm năng ứng dụng sinh khối vi tảo Chlorella vulgaris trong sản xuất chất kích thích sinh học cho cây trồng</v>
      </c>
      <c r="D13" s="4" t="str">
        <f>IFERROR(__xludf.DUMMYFUNCTION("""COMPUTED_VALUE"""),"Lê Minh Sơn; Lê Nguyễn Khánh Phát; Huỳnh Nhựt Anh")</f>
        <v>Lê Minh Sơn; Lê Nguyễn Khánh Phát; Huỳnh Nhựt Anh</v>
      </c>
      <c r="E13" s="4" t="str">
        <f>IFERROR(__xludf.DUMMYFUNCTION("""COMPUTED_VALUE"""),"Trường Đại học Nguyễn Tất Thành")</f>
        <v>Trường Đại học Nguyễn Tất Thành</v>
      </c>
      <c r="F13" s="4" t="str">
        <f>IFERROR(__xludf.DUMMYFUNCTION("""COMPUTED_VALUE"""),"TNMT2026-012.png")</f>
        <v>TNMT2026-012.png</v>
      </c>
    </row>
    <row r="14">
      <c r="A14" s="4" t="str">
        <f>IFERROR(__xludf.DUMMYFUNCTION("""COMPUTED_VALUE"""),"TNMT2026-013")</f>
        <v>TNMT2026-013</v>
      </c>
      <c r="B14" s="4" t="str">
        <f>IFERROR(__xludf.DUMMYFUNCTION("""COMPUTED_VALUE"""),"Tài nguyên và Môi trường")</f>
        <v>Tài nguyên và Môi trường</v>
      </c>
      <c r="C14" s="4" t="str">
        <f>IFERROR(__xludf.DUMMYFUNCTION("""COMPUTED_VALUE"""),"Fabrication Of Biodegradable Nano/Microfiber Membranes Via Electrospinning For Oil-Water Treatment Applications")</f>
        <v>Fabrication Of Biodegradable Nano/Microfiber Membranes Via Electrospinning For Oil-Water Treatment Applications</v>
      </c>
      <c r="D14" s="4" t="str">
        <f>IFERROR(__xludf.DUMMYFUNCTION("""COMPUTED_VALUE"""),"Huỳnh Nguyễn Duy Bảo; Võ Phi Vũ")</f>
        <v>Huỳnh Nguyễn Duy Bảo; Võ Phi Vũ</v>
      </c>
      <c r="E14" s="4" t="str">
        <f>IFERROR(__xludf.DUMMYFUNCTION("""COMPUTED_VALUE"""),"Trường Đại học Tôn Đức Thắng")</f>
        <v>Trường Đại học Tôn Đức Thắng</v>
      </c>
      <c r="F14" s="4" t="str">
        <f>IFERROR(__xludf.DUMMYFUNCTION("""COMPUTED_VALUE"""),"TNMT2026-013.png")</f>
        <v>TNMT2026-013.png</v>
      </c>
    </row>
    <row r="15">
      <c r="A15" s="4" t="str">
        <f>IFERROR(__xludf.DUMMYFUNCTION("""COMPUTED_VALUE"""),"TNMT2026-014")</f>
        <v>TNMT2026-014</v>
      </c>
      <c r="B15" s="4" t="str">
        <f>IFERROR(__xludf.DUMMYFUNCTION("""COMPUTED_VALUE"""),"Tài nguyên và Môi trường")</f>
        <v>Tài nguyên và Môi trường</v>
      </c>
      <c r="C15" s="4" t="str">
        <f>IFERROR(__xludf.DUMMYFUNCTION("""COMPUTED_VALUE"""),"Nghiên cứu phát triển bộ kit cảm biến huỳnh quang độ nhạy cao dựa trên vật liệu khung cơ kim Zn-TPDCA phát hiện dư lượng thuốc bảo vệ thực vật")</f>
        <v>Nghiên cứu phát triển bộ kit cảm biến huỳnh quang độ nhạy cao dựa trên vật liệu khung cơ kim Zn-TPDCA phát hiện dư lượng thuốc bảo vệ thực vật</v>
      </c>
      <c r="D15" s="4" t="str">
        <f>IFERROR(__xludf.DUMMYFUNCTION("""COMPUTED_VALUE"""),"Võ Quang Tú; Trịnh Ngọc Quỳnh Anh; Vương Quang Huy; Nguyễn Hoàng Yến Nhi; Lê Hoàng Thuận Trị")</f>
        <v>Võ Quang Tú; Trịnh Ngọc Quỳnh Anh; Vương Quang Huy; Nguyễn Hoàng Yến Nhi; Lê Hoàng Thuận Trị</v>
      </c>
      <c r="E15" s="4" t="str">
        <f>IFERROR(__xludf.DUMMYFUNCTION("""COMPUTED_VALUE"""),"Trường Đại học Tôn Đức Thắng")</f>
        <v>Trường Đại học Tôn Đức Thắng</v>
      </c>
      <c r="F15" s="4" t="str">
        <f>IFERROR(__xludf.DUMMYFUNCTION("""COMPUTED_VALUE"""),"TNMT2026-014.png")</f>
        <v>TNMT2026-014.png</v>
      </c>
    </row>
    <row r="16">
      <c r="A16" s="4" t="str">
        <f>IFERROR(__xludf.DUMMYFUNCTION("""COMPUTED_VALUE"""),"TNMT2026-015")</f>
        <v>TNMT2026-015</v>
      </c>
      <c r="B16" s="4" t="str">
        <f>IFERROR(__xludf.DUMMYFUNCTION("""COMPUTED_VALUE"""),"Tài nguyên và Môi trường")</f>
        <v>Tài nguyên và Môi trường</v>
      </c>
      <c r="C16" s="4" t="str">
        <f>IFERROR(__xludf.DUMMYFUNCTION("""COMPUTED_VALUE"""),"Nghiên cứu xử lý dư lượng kháng sinh Ciprofloxacin trong nước bằng vật liệu quang xúc tác ZnCo₂O₄/Fe₂O₃ dưới ánh sáng khả kiến")</f>
        <v>Nghiên cứu xử lý dư lượng kháng sinh Ciprofloxacin trong nước bằng vật liệu quang xúc tác ZnCo₂O₄/Fe₂O₃ dưới ánh sáng khả kiến</v>
      </c>
      <c r="D16" s="4" t="str">
        <f>IFERROR(__xludf.DUMMYFUNCTION("""COMPUTED_VALUE"""),"Lê Kim Ngân; Nguyễn Hoàng Bảo Kha")</f>
        <v>Lê Kim Ngân; Nguyễn Hoàng Bảo Kha</v>
      </c>
      <c r="E16" s="4" t="str">
        <f>IFERROR(__xludf.DUMMYFUNCTION("""COMPUTED_VALUE"""),"Trường Đại học Công nghiệp TP. Hồ Chí Minh")</f>
        <v>Trường Đại học Công nghiệp TP. Hồ Chí Minh</v>
      </c>
      <c r="F16" s="4" t="str">
        <f>IFERROR(__xludf.DUMMYFUNCTION("""COMPUTED_VALUE"""),"TNMT2026-015.png")</f>
        <v>TNMT2026-015.png</v>
      </c>
    </row>
    <row r="17">
      <c r="A17" s="4" t="str">
        <f>IFERROR(__xludf.DUMMYFUNCTION("""COMPUTED_VALUE"""),"TNMT2026-016")</f>
        <v>TNMT2026-016</v>
      </c>
      <c r="B17" s="4" t="str">
        <f>IFERROR(__xludf.DUMMYFUNCTION("""COMPUTED_VALUE"""),"Tài nguyên và Môi trường")</f>
        <v>Tài nguyên và Môi trường</v>
      </c>
      <c r="C17" s="4" t="str">
        <f>IFERROR(__xludf.DUMMYFUNCTION("""COMPUTED_VALUE"""),"Mô hình ""Ecoloop Water Hub"" Giải pháp tái sử dụng nước")</f>
        <v>Mô hình "Ecoloop Water Hub" Giải pháp tái sử dụng nước</v>
      </c>
      <c r="D17" s="4" t="str">
        <f>IFERROR(__xludf.DUMMYFUNCTION("""COMPUTED_VALUE"""),"Nguyễn Anh Kiệt")</f>
        <v>Nguyễn Anh Kiệt</v>
      </c>
      <c r="E17" s="4" t="str">
        <f>IFERROR(__xludf.DUMMYFUNCTION("""COMPUTED_VALUE"""),"Trường Đại học Kiến trúc TP. Hồ Chí Minh")</f>
        <v>Trường Đại học Kiến trúc TP. Hồ Chí Minh</v>
      </c>
      <c r="F17" s="4" t="str">
        <f>IFERROR(__xludf.DUMMYFUNCTION("""COMPUTED_VALUE"""),"TNMT2026-016.png")</f>
        <v>TNMT2026-016.png</v>
      </c>
    </row>
    <row r="18">
      <c r="A18" s="4" t="str">
        <f>IFERROR(__xludf.DUMMYFUNCTION("""COMPUTED_VALUE"""),"TNMT2026-017")</f>
        <v>TNMT2026-017</v>
      </c>
      <c r="B18" s="4" t="str">
        <f>IFERROR(__xludf.DUMMYFUNCTION("""COMPUTED_VALUE"""),"Tài nguyên và Môi trường")</f>
        <v>Tài nguyên và Môi trường</v>
      </c>
      <c r="C18" s="4" t="str">
        <f>IFERROR(__xludf.DUMMYFUNCTION("""COMPUTED_VALUE"""),"Nghiên cứu thu hồi và tái sử dụng vỏ nhãn làm nguyên liệu sản xuất hương góp phần bảo vệ môi trường bền vững")</f>
        <v>Nghiên cứu thu hồi và tái sử dụng vỏ nhãn làm nguyên liệu sản xuất hương góp phần bảo vệ môi trường bền vững</v>
      </c>
      <c r="D18" s="4" t="str">
        <f>IFERROR(__xludf.DUMMYFUNCTION("""COMPUTED_VALUE"""),"Nguyễn Thị Cẩm Tiên; Trần Hoàng Yến; Nguyễn Thị Hải Yến; Nguyễn Trần Thanh Thơ")</f>
        <v>Nguyễn Thị Cẩm Tiên; Trần Hoàng Yến; Nguyễn Thị Hải Yến; Nguyễn Trần Thanh Thơ</v>
      </c>
      <c r="E18" s="4" t="str">
        <f>IFERROR(__xludf.DUMMYFUNCTION("""COMPUTED_VALUE"""),"Trường Đại học Công nghệ TP. Hồ Chí Minh")</f>
        <v>Trường Đại học Công nghệ TP. Hồ Chí Minh</v>
      </c>
      <c r="F18" s="4" t="str">
        <f>IFERROR(__xludf.DUMMYFUNCTION("""COMPUTED_VALUE"""),"TNMT2026-017.png")</f>
        <v>TNMT2026-017.png</v>
      </c>
    </row>
    <row r="19">
      <c r="A19" s="4" t="str">
        <f>IFERROR(__xludf.DUMMYFUNCTION("""COMPUTED_VALUE"""),"TNMT2026-018")</f>
        <v>TNMT2026-018</v>
      </c>
      <c r="B19" s="4" t="str">
        <f>IFERROR(__xludf.DUMMYFUNCTION("""COMPUTED_VALUE"""),"Tài nguyên và Môi trường")</f>
        <v>Tài nguyên và Môi trường</v>
      </c>
      <c r="C19" s="4" t="str">
        <f>IFERROR(__xludf.DUMMYFUNCTION("""COMPUTED_VALUE"""),"Đánh giá các yếu tố tác động đến hiệu suất môi trường của quy trình sản xuất xi măng Póoc Lăng tại Việt Nam")</f>
        <v>Đánh giá các yếu tố tác động đến hiệu suất môi trường của quy trình sản xuất xi măng Póoc Lăng tại Việt Nam</v>
      </c>
      <c r="D19" s="4" t="str">
        <f>IFERROR(__xludf.DUMMYFUNCTION("""COMPUTED_VALUE"""),"Nguyễn Thị Cẩm Tiên; Trần Hoàng Yến; Nguyễn Thị Hải Yến; Nguyễn Trần Thanh Thơ; Lê Văn Dĩ")</f>
        <v>Nguyễn Thị Cẩm Tiên; Trần Hoàng Yến; Nguyễn Thị Hải Yến; Nguyễn Trần Thanh Thơ; Lê Văn Dĩ</v>
      </c>
      <c r="E19" s="4" t="str">
        <f>IFERROR(__xludf.DUMMYFUNCTION("""COMPUTED_VALUE"""),"Trường Đại học Công nghệ TP. Hồ Chí Minh")</f>
        <v>Trường Đại học Công nghệ TP. Hồ Chí Minh</v>
      </c>
      <c r="F19" s="4" t="str">
        <f>IFERROR(__xludf.DUMMYFUNCTION("""COMPUTED_VALUE"""),"TNMT2026-018.png")</f>
        <v>TNMT2026-018.png</v>
      </c>
    </row>
    <row r="20">
      <c r="A20" s="4" t="str">
        <f>IFERROR(__xludf.DUMMYFUNCTION("""COMPUTED_VALUE"""),"TNMT2026-019")</f>
        <v>TNMT2026-019</v>
      </c>
      <c r="B20" s="4" t="str">
        <f>IFERROR(__xludf.DUMMYFUNCTION("""COMPUTED_VALUE"""),"Tài nguyên và Môi trường")</f>
        <v>Tài nguyên và Môi trường</v>
      </c>
      <c r="C20" s="4" t="str">
        <f>IFERROR(__xludf.DUMMYFUNCTION("""COMPUTED_VALUE"""),"Đánh giá khả năng loại bỏ N, P trong nước kênh của mô hình FTW kết hợp vật liệu than củi và vỏ hàu thải bỏ")</f>
        <v>Đánh giá khả năng loại bỏ N, P trong nước kênh của mô hình FTW kết hợp vật liệu than củi và vỏ hàu thải bỏ</v>
      </c>
      <c r="D20" s="4" t="str">
        <f>IFERROR(__xludf.DUMMYFUNCTION("""COMPUTED_VALUE"""),"Lê Thị Kim Ngân; Vũ Đức Anh; Nguyễn Thị Huyền Thương; Nguyễn Quỳnh Hương")</f>
        <v>Lê Thị Kim Ngân; Vũ Đức Anh; Nguyễn Thị Huyền Thương; Nguyễn Quỳnh Hương</v>
      </c>
      <c r="E20" s="4" t="str">
        <f>IFERROR(__xludf.DUMMYFUNCTION("""COMPUTED_VALUE"""),"Trường Đại học Công Thương TP. Hồ Chí Minh")</f>
        <v>Trường Đại học Công Thương TP. Hồ Chí Minh</v>
      </c>
      <c r="F20" s="4" t="str">
        <f>IFERROR(__xludf.DUMMYFUNCTION("""COMPUTED_VALUE"""),"TNMT2026-019.png")</f>
        <v>TNMT2026-019.png</v>
      </c>
    </row>
    <row r="21">
      <c r="A21" s="4" t="str">
        <f>IFERROR(__xludf.DUMMYFUNCTION("""COMPUTED_VALUE"""),"TNMT2026-020")</f>
        <v>TNMT2026-020</v>
      </c>
      <c r="B21" s="4" t="str">
        <f>IFERROR(__xludf.DUMMYFUNCTION("""COMPUTED_VALUE"""),"Tài nguyên và Môi trường")</f>
        <v>Tài nguyên và Môi trường</v>
      </c>
      <c r="C21" s="4" t="str">
        <f>IFERROR(__xludf.DUMMYFUNCTION("""COMPUTED_VALUE"""),"Đánh giá hiện trạng phát sinh vi nhựa từ các nguồn nước thải khác nhau trên địa bàn Thành phố Hồ Chí Minh")</f>
        <v>Đánh giá hiện trạng phát sinh vi nhựa từ các nguồn nước thải khác nhau trên địa bàn Thành phố Hồ Chí Minh</v>
      </c>
      <c r="D21" s="4" t="str">
        <f>IFERROR(__xludf.DUMMYFUNCTION("""COMPUTED_VALUE"""),"Phạm Phước An; Nguyễn Xương Gia Hân; Vũ Phan Kim Ngân")</f>
        <v>Phạm Phước An; Nguyễn Xương Gia Hân; Vũ Phan Kim Ngân</v>
      </c>
      <c r="E21" s="4" t="str">
        <f>IFERROR(__xludf.DUMMYFUNCTION("""COMPUTED_VALUE"""),"Trường Đại học Công Thương TP. Hồ Chí Minh")</f>
        <v>Trường Đại học Công Thương TP. Hồ Chí Minh</v>
      </c>
      <c r="F21" s="4" t="str">
        <f>IFERROR(__xludf.DUMMYFUNCTION("""COMPUTED_VALUE"""),"TNMT2026-020.png")</f>
        <v>TNMT2026-020.png</v>
      </c>
    </row>
    <row r="22">
      <c r="A22" s="4" t="str">
        <f>IFERROR(__xludf.DUMMYFUNCTION("""COMPUTED_VALUE"""),"TNMT2026-021")</f>
        <v>TNMT2026-021</v>
      </c>
      <c r="B22" s="4" t="str">
        <f>IFERROR(__xludf.DUMMYFUNCTION("""COMPUTED_VALUE"""),"Tài nguyên và Môi trường")</f>
        <v>Tài nguyên và Môi trường</v>
      </c>
      <c r="C22" s="4" t="str">
        <f>IFERROR(__xludf.DUMMYFUNCTION("""COMPUTED_VALUE"""),"Viên nang micro-chitosan từ phụ phẩm vỏ tôm để lưu giữ tinh dầu xả đuổi côn trùng hướng đến phát triển bền vững")</f>
        <v>Viên nang micro-chitosan từ phụ phẩm vỏ tôm để lưu giữ tinh dầu xả đuổi côn trùng hướng đến phát triển bền vững</v>
      </c>
      <c r="D22" s="4" t="str">
        <f>IFERROR(__xludf.DUMMYFUNCTION("""COMPUTED_VALUE"""),"Võ Ngọc Bảo Trâm; Nguyễn Thị Thủy Tiên; Nguyễn Thanh My")</f>
        <v>Võ Ngọc Bảo Trâm; Nguyễn Thị Thủy Tiên; Nguyễn Thanh My</v>
      </c>
      <c r="E22" s="4" t="str">
        <f>IFERROR(__xludf.DUMMYFUNCTION("""COMPUTED_VALUE"""),"Trường Đại học Tài nguyên và Môi trường TP. Hồ Chí Minh")</f>
        <v>Trường Đại học Tài nguyên và Môi trường TP. Hồ Chí Minh</v>
      </c>
      <c r="F22" s="4" t="str">
        <f>IFERROR(__xludf.DUMMYFUNCTION("""COMPUTED_VALUE"""),"TNMT2026-021.png")</f>
        <v>TNMT2026-021.png</v>
      </c>
    </row>
    <row r="23">
      <c r="A23" s="4" t="str">
        <f>IFERROR(__xludf.DUMMYFUNCTION("""COMPUTED_VALUE"""),"TNMT2026-022")</f>
        <v>TNMT2026-022</v>
      </c>
      <c r="B23" s="4" t="str">
        <f>IFERROR(__xludf.DUMMYFUNCTION("""COMPUTED_VALUE"""),"Tài nguyên và Môi trường")</f>
        <v>Tài nguyên và Môi trường</v>
      </c>
      <c r="C23" s="4" t="str">
        <f>IFERROR(__xludf.DUMMYFUNCTION("""COMPUTED_VALUE"""),"Ứng dụng Spirulina platensis từ nước thải đến vật liệu: chuỗi xử lý - thu hồi - tái sử dụng sinh khối tảo hướng đến mô hình kinh tế tuần hoàn")</f>
        <v>Ứng dụng Spirulina platensis từ nước thải đến vật liệu: chuỗi xử lý - thu hồi - tái sử dụng sinh khối tảo hướng đến mô hình kinh tế tuần hoàn</v>
      </c>
      <c r="D23" s="4" t="str">
        <f>IFERROR(__xludf.DUMMYFUNCTION("""COMPUTED_VALUE"""),"Trần Huy Nhơn")</f>
        <v>Trần Huy Nhơn</v>
      </c>
      <c r="E23" s="4" t="str">
        <f>IFERROR(__xludf.DUMMYFUNCTION("""COMPUTED_VALUE"""),"Trường Đại học Khoa học Tự nhiên, ĐHQG-HCM")</f>
        <v>Trường Đại học Khoa học Tự nhiên, ĐHQG-HCM</v>
      </c>
      <c r="F23" s="4" t="str">
        <f>IFERROR(__xludf.DUMMYFUNCTION("""COMPUTED_VALUE"""),"TNMT2026-022.png")</f>
        <v>TNMT2026-022.png</v>
      </c>
    </row>
    <row r="24">
      <c r="A24" s="4" t="str">
        <f>IFERROR(__xludf.DUMMYFUNCTION("""COMPUTED_VALUE"""),"TNMT2026-023")</f>
        <v>TNMT2026-023</v>
      </c>
      <c r="B24" s="4" t="str">
        <f>IFERROR(__xludf.DUMMYFUNCTION("""COMPUTED_VALUE"""),"Tài nguyên và Môi trường")</f>
        <v>Tài nguyên và Môi trường</v>
      </c>
      <c r="C24" s="4" t="str">
        <f>IFERROR(__xludf.DUMMYFUNCTION("""COMPUTED_VALUE"""),"Nghiên cứu chế tạo vật liệu hấp thụ dầu từ đầu lọc thuốc lá đã qua sử dụng")</f>
        <v>Nghiên cứu chế tạo vật liệu hấp thụ dầu từ đầu lọc thuốc lá đã qua sử dụng</v>
      </c>
      <c r="D24" s="4" t="str">
        <f>IFERROR(__xludf.DUMMYFUNCTION("""COMPUTED_VALUE"""),"Nguyễn Vũ Anh Tuấn; Cái Kim Trúc; Trần Công Lợi")</f>
        <v>Nguyễn Vũ Anh Tuấn; Cái Kim Trúc; Trần Công Lợi</v>
      </c>
      <c r="E24" s="4" t="str">
        <f>IFERROR(__xludf.DUMMYFUNCTION("""COMPUTED_VALUE"""),"Trường Đại học Công nghệ Kỹ thuật TP. Hồ Chí Minh")</f>
        <v>Trường Đại học Công nghệ Kỹ thuật TP. Hồ Chí Minh</v>
      </c>
      <c r="F24" s="4" t="str">
        <f>IFERROR(__xludf.DUMMYFUNCTION("""COMPUTED_VALUE"""),"TNMT2026-023.png")</f>
        <v>TNMT2026-023.png</v>
      </c>
    </row>
    <row r="25">
      <c r="A25" s="4" t="str">
        <f>IFERROR(__xludf.DUMMYFUNCTION("""COMPUTED_VALUE"""),"TNMT2026-024")</f>
        <v>TNMT2026-024</v>
      </c>
      <c r="B25" s="4" t="str">
        <f>IFERROR(__xludf.DUMMYFUNCTION("""COMPUTED_VALUE"""),"Tài nguyên và Môi trường")</f>
        <v>Tài nguyên và Môi trường</v>
      </c>
      <c r="C25" s="4" t="str">
        <f>IFERROR(__xludf.DUMMYFUNCTION("""COMPUTED_VALUE"""),"Sự phân bố nồng độ các hợp chất Per- và Polyfluoroalkyl (PFAS) theo kích thước bụi giai đoạn mùa khô tại một vị trí ở Thành phố Hồ Chí Minh")</f>
        <v>Sự phân bố nồng độ các hợp chất Per- và Polyfluoroalkyl (PFAS) theo kích thước bụi giai đoạn mùa khô tại một vị trí ở Thành phố Hồ Chí Minh</v>
      </c>
      <c r="D25" s="4" t="str">
        <f>IFERROR(__xludf.DUMMYFUNCTION("""COMPUTED_VALUE"""),"Hồng Nguyễn Vân Khanh")</f>
        <v>Hồng Nguyễn Vân Khanh</v>
      </c>
      <c r="E25" s="4" t="str">
        <f>IFERROR(__xludf.DUMMYFUNCTION("""COMPUTED_VALUE"""),"Trường Đại học Khoa học Tự nhiên, ĐHQG-HCM")</f>
        <v>Trường Đại học Khoa học Tự nhiên, ĐHQG-HCM</v>
      </c>
      <c r="F25" s="4" t="str">
        <f>IFERROR(__xludf.DUMMYFUNCTION("""COMPUTED_VALUE"""),"TNMT2026-024.png")</f>
        <v>TNMT2026-024.png</v>
      </c>
    </row>
    <row r="26">
      <c r="A26" s="4" t="str">
        <f>IFERROR(__xludf.DUMMYFUNCTION("""COMPUTED_VALUE"""),"TNMT2026-025")</f>
        <v>TNMT2026-025</v>
      </c>
      <c r="B26" s="4" t="str">
        <f>IFERROR(__xludf.DUMMYFUNCTION("""COMPUTED_VALUE"""),"Tài nguyên và Môi trường")</f>
        <v>Tài nguyên và Môi trường</v>
      </c>
      <c r="C26" s="4" t="str">
        <f>IFERROR(__xludf.DUMMYFUNCTION("""COMPUTED_VALUE"""),"Xây dựng ứng dụng di động hỗ trợ du lịch sinh thái gắn liền với bảo tồn thiên nhiên: Trường hợp điển cứu tại Vườn Quốc gia Bù Gia Mập.")</f>
        <v>Xây dựng ứng dụng di động hỗ trợ du lịch sinh thái gắn liền với bảo tồn thiên nhiên: Trường hợp điển cứu tại Vườn Quốc gia Bù Gia Mập.</v>
      </c>
      <c r="D26" s="4" t="str">
        <f>IFERROR(__xludf.DUMMYFUNCTION("""COMPUTED_VALUE"""),"Nguyễn Duy Tân; Trần Khánh Linh; Đào Mỹ Ngọc")</f>
        <v>Nguyễn Duy Tân; Trần Khánh Linh; Đào Mỹ Ngọc</v>
      </c>
      <c r="E26" s="4" t="str">
        <f>IFERROR(__xludf.DUMMYFUNCTION("""COMPUTED_VALUE"""),"Trường Đại học Khoa học xã hội và Nhân văn, ĐHQG-HCM")</f>
        <v>Trường Đại học Khoa học xã hội và Nhân văn, ĐHQG-HCM</v>
      </c>
      <c r="F26" s="4" t="str">
        <f>IFERROR(__xludf.DUMMYFUNCTION("""COMPUTED_VALUE"""),"TNMT2026-025.png")</f>
        <v>TNMT2026-025.png</v>
      </c>
    </row>
    <row r="27">
      <c r="A27" s="4" t="str">
        <f>IFERROR(__xludf.DUMMYFUNCTION("""COMPUTED_VALUE"""),"TNMT2026-026")</f>
        <v>TNMT2026-026</v>
      </c>
      <c r="B27" s="4" t="str">
        <f>IFERROR(__xludf.DUMMYFUNCTION("""COMPUTED_VALUE"""),"Tài nguyên và Môi trường")</f>
        <v>Tài nguyên và Môi trường</v>
      </c>
      <c r="C27" s="4" t="str">
        <f>IFERROR(__xludf.DUMMYFUNCTION("""COMPUTED_VALUE"""),"NGHIÊN CỨU QUÁ TRÌNH PHÂN HỦY AURAMINE O TRONG NƯỚC DƯỚI ĐIỀU KIỆN ÊM DỊU SỬ DỤNG QUANG XÚC TÁC Zn, Mn/GRAPHITIC-CARBON NITRIDE")</f>
        <v>NGHIÊN CỨU QUÁ TRÌNH PHÂN HỦY AURAMINE O TRONG NƯỚC DƯỚI ĐIỀU KIỆN ÊM DỊU SỬ DỤNG QUANG XÚC TÁC Zn, Mn/GRAPHITIC-CARBON NITRIDE</v>
      </c>
      <c r="D27" s="4" t="str">
        <f>IFERROR(__xludf.DUMMYFUNCTION("""COMPUTED_VALUE"""),"Lê Bảo Duy; Hoàng Cao Nguyên; Diệp Thế Bảo; Huỳnh Anh Khoa; Nguyễn Minh Thiện")</f>
        <v>Lê Bảo Duy; Hoàng Cao Nguyên; Diệp Thế Bảo; Huỳnh Anh Khoa; Nguyễn Minh Thiện</v>
      </c>
      <c r="E27" s="4" t="str">
        <f>IFERROR(__xludf.DUMMYFUNCTION("""COMPUTED_VALUE"""),"Trường Đại học Bách Khoa, ĐHQG-HCM")</f>
        <v>Trường Đại học Bách Khoa, ĐHQG-HCM</v>
      </c>
      <c r="F27" s="4" t="str">
        <f>IFERROR(__xludf.DUMMYFUNCTION("""COMPUTED_VALUE"""),"TNMT2026-026.png")</f>
        <v>TNMT2026-026.png</v>
      </c>
    </row>
    <row r="28">
      <c r="A28" s="4" t="str">
        <f>IFERROR(__xludf.DUMMYFUNCTION("""COMPUTED_VALUE"""),"TNMT2026-027")</f>
        <v>TNMT2026-027</v>
      </c>
      <c r="B28" s="4" t="str">
        <f>IFERROR(__xludf.DUMMYFUNCTION("""COMPUTED_VALUE"""),"Tài nguyên và Môi trường")</f>
        <v>Tài nguyên và Môi trường</v>
      </c>
      <c r="C28" s="4" t="str">
        <f>IFERROR(__xludf.DUMMYFUNCTION("""COMPUTED_VALUE"""),"TỔNG HỢP VÀ ỨNG DỤNG VẬT LIỆU AEROGEL KỴ NƯỚC CÓ NGUỒN GỐC SINH HỌC ỨNG DỤNG HẤP PHỤ DẦU DIESEL")</f>
        <v>TỔNG HỢP VÀ ỨNG DỤNG VẬT LIỆU AEROGEL KỴ NƯỚC CÓ NGUỒN GỐC SINH HỌC ỨNG DỤNG HẤP PHỤ DẦU DIESEL</v>
      </c>
      <c r="D28" s="4" t="str">
        <f>IFERROR(__xludf.DUMMYFUNCTION("""COMPUTED_VALUE"""),"Nguyễn Thị Minh Tâm; Đặng Lê Thiên Kim; Lê Việt Đức; Hoàng Anh Tú; Nguyễn Tấn Thành")</f>
        <v>Nguyễn Thị Minh Tâm; Đặng Lê Thiên Kim; Lê Việt Đức; Hoàng Anh Tú; Nguyễn Tấn Thành</v>
      </c>
      <c r="E28" s="4" t="str">
        <f>IFERROR(__xludf.DUMMYFUNCTION("""COMPUTED_VALUE"""),"Trường Đại học Bách Khoa, ĐHQG-HCM")</f>
        <v>Trường Đại học Bách Khoa, ĐHQG-HCM</v>
      </c>
      <c r="F28" s="4" t="str">
        <f>IFERROR(__xludf.DUMMYFUNCTION("""COMPUTED_VALUE"""),"TNMT2026-027.png")</f>
        <v>TNMT2026-027.png</v>
      </c>
    </row>
    <row r="29">
      <c r="A29" s="4" t="str">
        <f>IFERROR(__xludf.DUMMYFUNCTION("""COMPUTED_VALUE"""),"TNMT2026-028")</f>
        <v>TNMT2026-028</v>
      </c>
      <c r="B29" s="4" t="str">
        <f>IFERROR(__xludf.DUMMYFUNCTION("""COMPUTED_VALUE"""),"Tài nguyên và Môi trường")</f>
        <v>Tài nguyên và Môi trường</v>
      </c>
      <c r="C29" s="4" t="str">
        <f>IFERROR(__xludf.DUMMYFUNCTION("""COMPUTED_VALUE"""),"PHÁT TRIỂN VẬT LIỆU COMPOSITE CoxOy-CeO2-SiO2 HƯỚNG ĐẾN CÔNG NGHỆ XÚC TÁC QUANG BỀN VỮNG TRONG XỬ LÝ Ô NHIỄM NƯỚC CHỨA THUỐC NHUỘM")</f>
        <v>PHÁT TRIỂN VẬT LIỆU COMPOSITE CoxOy-CeO2-SiO2 HƯỚNG ĐẾN CÔNG NGHỆ XÚC TÁC QUANG BỀN VỮNG TRONG XỬ LÝ Ô NHIỄM NƯỚC CHỨA THUỐC NHUỘM</v>
      </c>
      <c r="D29" s="4" t="str">
        <f>IFERROR(__xludf.DUMMYFUNCTION("""COMPUTED_VALUE"""),"Lâm Trọng Thành; Cao Anh Quân")</f>
        <v>Lâm Trọng Thành; Cao Anh Quân</v>
      </c>
      <c r="E29" s="4" t="str">
        <f>IFERROR(__xludf.DUMMYFUNCTION("""COMPUTED_VALUE"""),"Trường Đại học Bách Khoa, ĐHQG-HCM")</f>
        <v>Trường Đại học Bách Khoa, ĐHQG-HCM</v>
      </c>
      <c r="F29" s="4" t="str">
        <f>IFERROR(__xludf.DUMMYFUNCTION("""COMPUTED_VALUE"""),"TNMT2026-028.png")</f>
        <v>TNMT2026-028.png</v>
      </c>
    </row>
    <row r="30">
      <c r="A30" s="4" t="str">
        <f>IFERROR(__xludf.DUMMYFUNCTION("""COMPUTED_VALUE"""),"TNMT2026-029")</f>
        <v>TNMT2026-029</v>
      </c>
      <c r="B30" s="4" t="str">
        <f>IFERROR(__xludf.DUMMYFUNCTION("""COMPUTED_VALUE"""),"Tài nguyên và Môi trường")</f>
        <v>Tài nguyên và Môi trường</v>
      </c>
      <c r="C30" s="4" t="str">
        <f>IFERROR(__xludf.DUMMYFUNCTION("""COMPUTED_VALUE"""),"NGHIÊN CỨU CÔNG NGHỆ HẤP PHỤ CHẤT MÀU HỮU CƠ TRONG NƯỚC BẰNG VẬT LIỆU COMPOSITE ZEOLITE-CELLULOSE VI KHUẨN")</f>
        <v>NGHIÊN CỨU CÔNG NGHỆ HẤP PHỤ CHẤT MÀU HỮU CƠ TRONG NƯỚC BẰNG VẬT LIỆU COMPOSITE ZEOLITE-CELLULOSE VI KHUẨN</v>
      </c>
      <c r="D30" s="4" t="str">
        <f>IFERROR(__xludf.DUMMYFUNCTION("""COMPUTED_VALUE"""),"Lê Trần Quang Tuấn; Nguyễn Đức Tiến; Huỳnh Tấn Khải; Lê Bảo Duy; Nguyễn Trương Gia Trúc")</f>
        <v>Lê Trần Quang Tuấn; Nguyễn Đức Tiến; Huỳnh Tấn Khải; Lê Bảo Duy; Nguyễn Trương Gia Trúc</v>
      </c>
      <c r="E30" s="4" t="str">
        <f>IFERROR(__xludf.DUMMYFUNCTION("""COMPUTED_VALUE"""),"Trường Đại học Bách Khoa, ĐHQG-HCM")</f>
        <v>Trường Đại học Bách Khoa, ĐHQG-HCM</v>
      </c>
      <c r="F30" s="4" t="str">
        <f>IFERROR(__xludf.DUMMYFUNCTION("""COMPUTED_VALUE"""),"TNMT2026-029.png")</f>
        <v>TNMT2026-029.png</v>
      </c>
    </row>
    <row r="31">
      <c r="A31" s="4" t="str">
        <f>IFERROR(__xludf.DUMMYFUNCTION("""COMPUTED_VALUE"""),"TNMT2026-030")</f>
        <v>TNMT2026-030</v>
      </c>
      <c r="B31" s="4" t="str">
        <f>IFERROR(__xludf.DUMMYFUNCTION("""COMPUTED_VALUE"""),"Tài nguyên và Môi trường")</f>
        <v>Tài nguyên và Môi trường</v>
      </c>
      <c r="C31" s="4" t="str">
        <f>IFERROR(__xludf.DUMMYFUNCTION("""COMPUTED_VALUE"""),"Xây Dựng Mô Hình Thủy Động Lực Để Đánh Giá Các Phương Án Khai Thác Cho Khối A, Mỏ X, Lô Y, Bồn Trũng Nam Côn Sơn")</f>
        <v>Xây Dựng Mô Hình Thủy Động Lực Để Đánh Giá Các Phương Án Khai Thác Cho Khối A, Mỏ X, Lô Y, Bồn Trũng Nam Côn Sơn</v>
      </c>
      <c r="D31" s="4" t="str">
        <f>IFERROR(__xludf.DUMMYFUNCTION("""COMPUTED_VALUE"""),"Phan Thị Phương Thảo")</f>
        <v>Phan Thị Phương Thảo</v>
      </c>
      <c r="E31" s="4" t="str">
        <f>IFERROR(__xludf.DUMMYFUNCTION("""COMPUTED_VALUE"""),"Trường Đại học Khoa học Tự nhiên, ĐHQG-HCM")</f>
        <v>Trường Đại học Khoa học Tự nhiên, ĐHQG-HCM</v>
      </c>
      <c r="F31" s="4" t="str">
        <f>IFERROR(__xludf.DUMMYFUNCTION("""COMPUTED_VALUE"""),"TNMT2026-030.png")</f>
        <v>TNMT2026-030.png</v>
      </c>
    </row>
    <row r="32">
      <c r="A32" s="4" t="str">
        <f>IFERROR(__xludf.DUMMYFUNCTION("""COMPUTED_VALUE"""),"TNMT2026-031")</f>
        <v>TNMT2026-031</v>
      </c>
      <c r="B32" s="4" t="str">
        <f>IFERROR(__xludf.DUMMYFUNCTION("""COMPUTED_VALUE"""),"Tài nguyên và Môi trường")</f>
        <v>Tài nguyên và Môi trường</v>
      </c>
      <c r="C32" s="4" t="str">
        <f>IFERROR(__xludf.DUMMYFUNCTION("""COMPUTED_VALUE"""),"Phân Loại Các Tham Số Vật Lý Đá Chứa, Xác Định Đặc Tính Tầng Chứa Từ Tài Liệu Địa Vật Lý Giếng Khoan Và Machine Learning Tại Mỏ Gấu Trắng, Lô 09-1, Bồn Trũng Cửu Long")</f>
        <v>Phân Loại Các Tham Số Vật Lý Đá Chứa, Xác Định Đặc Tính Tầng Chứa Từ Tài Liệu Địa Vật Lý Giếng Khoan Và Machine Learning Tại Mỏ Gấu Trắng, Lô 09-1, Bồn Trũng Cửu Long</v>
      </c>
      <c r="D32" s="4" t="str">
        <f>IFERROR(__xludf.DUMMYFUNCTION("""COMPUTED_VALUE"""),"Nguyễn Trần Trọng")</f>
        <v>Nguyễn Trần Trọng</v>
      </c>
      <c r="E32" s="4" t="str">
        <f>IFERROR(__xludf.DUMMYFUNCTION("""COMPUTED_VALUE"""),"Trường Đại học Khoa học Tự nhiên, ĐHQG-HCM")</f>
        <v>Trường Đại học Khoa học Tự nhiên, ĐHQG-HCM</v>
      </c>
      <c r="F32" s="4" t="str">
        <f>IFERROR(__xludf.DUMMYFUNCTION("""COMPUTED_VALUE"""),"TNMT2026-031.png")</f>
        <v>TNMT2026-031.png</v>
      </c>
    </row>
    <row r="33">
      <c r="A33" s="4" t="str">
        <f>IFERROR(__xludf.DUMMYFUNCTION("""COMPUTED_VALUE"""),"TNMT2026-032")</f>
        <v>TNMT2026-032</v>
      </c>
      <c r="B33" s="4" t="str">
        <f>IFERROR(__xludf.DUMMYFUNCTION("""COMPUTED_VALUE"""),"Tài nguyên và Môi trường")</f>
        <v>Tài nguyên và Môi trường</v>
      </c>
      <c r="C33" s="4" t="str">
        <f>IFERROR(__xludf.DUMMYFUNCTION("""COMPUTED_VALUE"""),"Đánh giá trữ lượng dầu tại chỗ ban đầu cấu tạo X, bể Cửu Long bằng phương pháp thể tích")</f>
        <v>Đánh giá trữ lượng dầu tại chỗ ban đầu cấu tạo X, bể Cửu Long bằng phương pháp thể tích</v>
      </c>
      <c r="D33" s="4" t="str">
        <f>IFERROR(__xludf.DUMMYFUNCTION("""COMPUTED_VALUE"""),"Nguyễn Đào Thảo Quyên; Nguyễn Lê Thảo Tiên; Huỳnh Tiến Thanh; Nguyễn Phan Thành Đạt*")</f>
        <v>Nguyễn Đào Thảo Quyên; Nguyễn Lê Thảo Tiên; Huỳnh Tiến Thanh; Nguyễn Phan Thành Đạt*</v>
      </c>
      <c r="E33" s="4" t="str">
        <f>IFERROR(__xludf.DUMMYFUNCTION("""COMPUTED_VALUE"""),"Trường Đại học Khoa học Tự nhiên, ĐHQG-HCM; *Trường Đại học Bách Khoa, ĐHQG-HCM")</f>
        <v>Trường Đại học Khoa học Tự nhiên, ĐHQG-HCM; *Trường Đại học Bách Khoa, ĐHQG-HCM</v>
      </c>
      <c r="F33" s="4" t="str">
        <f>IFERROR(__xludf.DUMMYFUNCTION("""COMPUTED_VALUE"""),"TNMT2026-032.png")</f>
        <v>TNMT2026-032.png</v>
      </c>
    </row>
    <row r="34">
      <c r="A34" s="4" t="str">
        <f>IFERROR(__xludf.DUMMYFUNCTION("""COMPUTED_VALUE"""),"TNMT2026-033")</f>
        <v>TNMT2026-033</v>
      </c>
      <c r="B34" s="4" t="str">
        <f>IFERROR(__xludf.DUMMYFUNCTION("""COMPUTED_VALUE"""),"Tài nguyên và Môi trường")</f>
        <v>Tài nguyên và Môi trường</v>
      </c>
      <c r="C34" s="4" t="str">
        <f>IFERROR(__xludf.DUMMYFUNCTION("""COMPUTED_VALUE"""),"ĐÁNH GIÁ TẦNG CHỨA TRÊN CƠ SỞ MINH GIẢI TÀI LIỆU THỬ VỈA GIẾNG KHOAN X MỎ Y, BỒN TRŨNG CỬU LONG")</f>
        <v>ĐÁNH GIÁ TẦNG CHỨA TRÊN CƠ SỞ MINH GIẢI TÀI LIỆU THỬ VỈA GIẾNG KHOAN X MỎ Y, BỒN TRŨNG CỬU LONG</v>
      </c>
      <c r="D34" s="4" t="str">
        <f>IFERROR(__xludf.DUMMYFUNCTION("""COMPUTED_VALUE"""),"Vũ Dương Thùy Linh; Lê Anh Thư; Kha Trần Khả Hân; Lê Anh Quốc")</f>
        <v>Vũ Dương Thùy Linh; Lê Anh Thư; Kha Trần Khả Hân; Lê Anh Quốc</v>
      </c>
      <c r="E34" s="4" t="str">
        <f>IFERROR(__xludf.DUMMYFUNCTION("""COMPUTED_VALUE"""),"Trường Đại học Khoa học Tự nhiên, ĐHQG-HCM")</f>
        <v>Trường Đại học Khoa học Tự nhiên, ĐHQG-HCM</v>
      </c>
      <c r="F34" s="4" t="str">
        <f>IFERROR(__xludf.DUMMYFUNCTION("""COMPUTED_VALUE"""),"TNMT2026-033.png")</f>
        <v>TNMT2026-033.png</v>
      </c>
    </row>
    <row r="35">
      <c r="A35" s="4" t="str">
        <f>IFERROR(__xludf.DUMMYFUNCTION("""COMPUTED_VALUE"""),"TNMT2026-034")</f>
        <v>TNMT2026-034</v>
      </c>
      <c r="B35" s="4" t="str">
        <f>IFERROR(__xludf.DUMMYFUNCTION("""COMPUTED_VALUE"""),"Tài nguyên và Môi trường")</f>
        <v>Tài nguyên và Môi trường</v>
      </c>
      <c r="C35" s="4" t="str">
        <f>IFERROR(__xludf.DUMMYFUNCTION("""COMPUTED_VALUE"""),"Ứng dụng GIS và viễn thám trong giám sát biến động lớp phủ bề mặt và nhận diện điểm nóng đô thị tại Đà Lạt (2015 - 2025).")</f>
        <v>Ứng dụng GIS và viễn thám trong giám sát biến động lớp phủ bề mặt và nhận diện điểm nóng đô thị tại Đà Lạt (2015 - 2025).</v>
      </c>
      <c r="D35" s="4" t="str">
        <f>IFERROR(__xludf.DUMMYFUNCTION("""COMPUTED_VALUE"""),"Trần Ngọc Cát Tường; Đặng Thị Thùy Trang; Lê Tiến Phát")</f>
        <v>Trần Ngọc Cát Tường; Đặng Thị Thùy Trang; Lê Tiến Phát</v>
      </c>
      <c r="E35" s="4" t="str">
        <f>IFERROR(__xludf.DUMMYFUNCTION("""COMPUTED_VALUE"""),"Trường Đại học Khoa học xã hội và Nhân văn, ĐHQG-HCM")</f>
        <v>Trường Đại học Khoa học xã hội và Nhân văn, ĐHQG-HCM</v>
      </c>
      <c r="F35" s="4" t="str">
        <f>IFERROR(__xludf.DUMMYFUNCTION("""COMPUTED_VALUE"""),"TNMT2026-034.png")</f>
        <v>TNMT2026-034.png</v>
      </c>
    </row>
    <row r="36">
      <c r="A36" s="4" t="str">
        <f>IFERROR(__xludf.DUMMYFUNCTION("""COMPUTED_VALUE"""),"TNMT2026-035")</f>
        <v>TNMT2026-035</v>
      </c>
      <c r="B36" s="4" t="str">
        <f>IFERROR(__xludf.DUMMYFUNCTION("""COMPUTED_VALUE"""),"Tài nguyên và Môi trường")</f>
        <v>Tài nguyên và Môi trường</v>
      </c>
      <c r="C36" s="4" t="str">
        <f>IFERROR(__xludf.DUMMYFUNCTION("""COMPUTED_VALUE"""),"Ứng dụng ảnh vệ tinh Landsat theo dõi biến động đường bờ tại thành phố Đà Nẵng giai đoạn 1990 – 2025")</f>
        <v>Ứng dụng ảnh vệ tinh Landsat theo dõi biến động đường bờ tại thành phố Đà Nẵng giai đoạn 1990 – 2025</v>
      </c>
      <c r="D36" s="4" t="str">
        <f>IFERROR(__xludf.DUMMYFUNCTION("""COMPUTED_VALUE"""),"Lê Nguyễn Ngọc Hiệp")</f>
        <v>Lê Nguyễn Ngọc Hiệp</v>
      </c>
      <c r="E36" s="4" t="str">
        <f>IFERROR(__xludf.DUMMYFUNCTION("""COMPUTED_VALUE"""),"Trường Đại học Sư phạm TP. Hồ Chí Minh")</f>
        <v>Trường Đại học Sư phạm TP. Hồ Chí Minh</v>
      </c>
      <c r="F36" s="4" t="str">
        <f>IFERROR(__xludf.DUMMYFUNCTION("""COMPUTED_VALUE"""),"TNMT2026-035.png")</f>
        <v>TNMT2026-035.png</v>
      </c>
    </row>
    <row r="37">
      <c r="A37" s="4" t="str">
        <f>IFERROR(__xludf.DUMMYFUNCTION("""COMPUTED_VALUE"""),"TNMT2026-036")</f>
        <v>TNMT2026-036</v>
      </c>
      <c r="B37" s="4" t="str">
        <f>IFERROR(__xludf.DUMMYFUNCTION("""COMPUTED_VALUE"""),"Tài nguyên và Môi trường")</f>
        <v>Tài nguyên và Môi trường</v>
      </c>
      <c r="C37" s="4" t="str">
        <f>IFERROR(__xludf.DUMMYFUNCTION("""COMPUTED_VALUE"""),"Xây dựng hệ thống hỗ trợ nhận diện khoáng vật và đá thực địa ứng dụng trí tuệ nhân tạo kết hợp đặc điểm vật lý – Thử nghiệm trên bộ mẫu địa chất Việt Nam")</f>
        <v>Xây dựng hệ thống hỗ trợ nhận diện khoáng vật và đá thực địa ứng dụng trí tuệ nhân tạo kết hợp đặc điểm vật lý – Thử nghiệm trên bộ mẫu địa chất Việt Nam</v>
      </c>
      <c r="D37" s="4" t="str">
        <f>IFERROR(__xludf.DUMMYFUNCTION("""COMPUTED_VALUE"""),"Cao Tấn Long; Mai Ngọc Tuấn; Huê Tuấn Khanh; Nguyễn Hữu Bảo Phúc")</f>
        <v>Cao Tấn Long; Mai Ngọc Tuấn; Huê Tuấn Khanh; Nguyễn Hữu Bảo Phúc</v>
      </c>
      <c r="E37" s="4" t="str">
        <f>IFERROR(__xludf.DUMMYFUNCTION("""COMPUTED_VALUE"""),"Trường Đại học Tài nguyên và Môi trường TP. Hồ Chí Minh")</f>
        <v>Trường Đại học Tài nguyên và Môi trường TP. Hồ Chí Minh</v>
      </c>
      <c r="F37" s="4" t="str">
        <f>IFERROR(__xludf.DUMMYFUNCTION("""COMPUTED_VALUE"""),"TNMT2026-036.png")</f>
        <v>TNMT2026-036.png</v>
      </c>
    </row>
    <row r="38">
      <c r="A38" s="4" t="str">
        <f>IFERROR(__xludf.DUMMYFUNCTION("""COMPUTED_VALUE"""),"TNMT2026-037")</f>
        <v>TNMT2026-037</v>
      </c>
      <c r="B38" s="4" t="str">
        <f>IFERROR(__xludf.DUMMYFUNCTION("""COMPUTED_VALUE"""),"Tài nguyên và Môi trường")</f>
        <v>Tài nguyên và Môi trường</v>
      </c>
      <c r="C38" s="4" t="str">
        <f>IFERROR(__xludf.DUMMYFUNCTION("""COMPUTED_VALUE"""),"Xây dựng mô hình hồi quy Bayesian dự báo GRDP nông nghiệp từ biến động đất nông nghiệp và thủy sản tại Tp. Cần Thơ.")</f>
        <v>Xây dựng mô hình hồi quy Bayesian dự báo GRDP nông nghiệp từ biến động đất nông nghiệp và thủy sản tại Tp. Cần Thơ.</v>
      </c>
      <c r="D38" s="4" t="str">
        <f>IFERROR(__xludf.DUMMYFUNCTION("""COMPUTED_VALUE"""),"Huỳnh Thị Ngọc Cẩm; Nguyễn Hoàng Khuê")</f>
        <v>Huỳnh Thị Ngọc Cẩm; Nguyễn Hoàng Khuê</v>
      </c>
      <c r="E38" s="4" t="str">
        <f>IFERROR(__xludf.DUMMYFUNCTION("""COMPUTED_VALUE"""),"Trường Đại học Khoa học Tự nhiên, ĐHQG-HCM")</f>
        <v>Trường Đại học Khoa học Tự nhiên, ĐHQG-HCM</v>
      </c>
      <c r="F38" s="4" t="str">
        <f>IFERROR(__xludf.DUMMYFUNCTION("""COMPUTED_VALUE"""),"TNMT2026-037.png")</f>
        <v>TNMT2026-037.png</v>
      </c>
    </row>
    <row r="39">
      <c r="A39" s="4" t="str">
        <f>IFERROR(__xludf.DUMMYFUNCTION("""COMPUTED_VALUE"""),"TNMT2026-038")</f>
        <v>TNMT2026-038</v>
      </c>
      <c r="B39" s="4" t="str">
        <f>IFERROR(__xludf.DUMMYFUNCTION("""COMPUTED_VALUE"""),"Tài nguyên và Môi trường")</f>
        <v>Tài nguyên và Môi trường</v>
      </c>
      <c r="C39" s="4" t="str">
        <f>IFERROR(__xludf.DUMMYFUNCTION("""COMPUTED_VALUE"""),"ỨNG DỤNG THUẬT TOÁN HỌC MÁY SELF-ORGANIZING MAP ĐỂ PHÂN CỤM THẠCH HỌC TRONG NGÀNH KỸ THUẬT ĐỊA CHẤT VÀ DẦU KHÍ")</f>
        <v>ỨNG DỤNG THUẬT TOÁN HỌC MÁY SELF-ORGANIZING MAP ĐỂ PHÂN CỤM THẠCH HỌC TRONG NGÀNH KỸ THUẬT ĐỊA CHẤT VÀ DẦU KHÍ</v>
      </c>
      <c r="D39" s="4" t="str">
        <f>IFERROR(__xludf.DUMMYFUNCTION("""COMPUTED_VALUE"""),"Trần Viết Việt Anh; Nguyễn Văn Thiệt; Trần Hữu Thành")</f>
        <v>Trần Viết Việt Anh; Nguyễn Văn Thiệt; Trần Hữu Thành</v>
      </c>
      <c r="E39" s="4" t="str">
        <f>IFERROR(__xludf.DUMMYFUNCTION("""COMPUTED_VALUE"""),"Trường Đại học Bách Khoa, ĐHQG-HCM")</f>
        <v>Trường Đại học Bách Khoa, ĐHQG-HCM</v>
      </c>
      <c r="F39" s="4" t="str">
        <f>IFERROR(__xludf.DUMMYFUNCTION("""COMPUTED_VALUE"""),"TNMT2026-038.png")</f>
        <v>TNMT2026-038.png</v>
      </c>
    </row>
    <row r="40">
      <c r="A40" s="4" t="str">
        <f>IFERROR(__xludf.DUMMYFUNCTION("""COMPUTED_VALUE"""),"TNMT2026-039")</f>
        <v>TNMT2026-039</v>
      </c>
      <c r="B40" s="4" t="str">
        <f>IFERROR(__xludf.DUMMYFUNCTION("""COMPUTED_VALUE"""),"Tài nguyên và Môi trường")</f>
        <v>Tài nguyên và Môi trường</v>
      </c>
      <c r="C40" s="4" t="str">
        <f>IFERROR(__xludf.DUMMYFUNCTION("""COMPUTED_VALUE"""),"Ứng dụng công nghệ viễn thám kết hợp thuật toán học máy nhằm ước tính nồng độ bụi mịn PM2.5. Thí điểm nghiên cứu tại thành phố Hà Nội giai đoạn 2015 – 2025.")</f>
        <v>Ứng dụng công nghệ viễn thám kết hợp thuật toán học máy nhằm ước tính nồng độ bụi mịn PM2.5. Thí điểm nghiên cứu tại thành phố Hà Nội giai đoạn 2015 – 2025.</v>
      </c>
      <c r="D40" s="4" t="str">
        <f>IFERROR(__xludf.DUMMYFUNCTION("""COMPUTED_VALUE"""),"Nguyễn Đại Long; Lường Thị Kim Cúc; Hoàng Thị Thu Hà")</f>
        <v>Nguyễn Đại Long; Lường Thị Kim Cúc; Hoàng Thị Thu Hà</v>
      </c>
      <c r="E40" s="4" t="str">
        <f>IFERROR(__xludf.DUMMYFUNCTION("""COMPUTED_VALUE"""),"Trường Đại học Sư phạm Hà Nội")</f>
        <v>Trường Đại học Sư phạm Hà Nội</v>
      </c>
      <c r="F40" s="4" t="str">
        <f>IFERROR(__xludf.DUMMYFUNCTION("""COMPUTED_VALUE"""),"TNMT2026-039.png")</f>
        <v>TNMT2026-039.png</v>
      </c>
    </row>
    <row r="41">
      <c r="A41" s="4" t="str">
        <f>IFERROR(__xludf.DUMMYFUNCTION("""COMPUTED_VALUE"""),"TNMT2026-040")</f>
        <v>TNMT2026-040</v>
      </c>
      <c r="B41" s="4" t="str">
        <f>IFERROR(__xludf.DUMMYFUNCTION("""COMPUTED_VALUE"""),"Tài nguyên và Môi trường")</f>
        <v>Tài nguyên và Môi trường</v>
      </c>
      <c r="C41" s="4" t="str">
        <f>IFERROR(__xludf.DUMMYFUNCTION("""COMPUTED_VALUE"""),"CHẾ TẠO XÚC TÁC DẠNG VIÊN HYDROGEL TỪ PHẾ PHẨM NÔNG-NGƯ NGHIỆP ĐỂ XỬ LÝ CHẤT Ô NHIỄM VÀ DIỆT KHUẨN")</f>
        <v>CHẾ TẠO XÚC TÁC DẠNG VIÊN HYDROGEL TỪ PHẾ PHẨM NÔNG-NGƯ NGHIỆP ĐỂ XỬ LÝ CHẤT Ô NHIỄM VÀ DIỆT KHUẨN</v>
      </c>
      <c r="D41" s="4" t="str">
        <f>IFERROR(__xludf.DUMMYFUNCTION("""COMPUTED_VALUE"""),"Trần Kiến Khôi; Huỳnh Giang Trường Nguyên; Lê Ngọc Thuý Tiên")</f>
        <v>Trần Kiến Khôi; Huỳnh Giang Trường Nguyên; Lê Ngọc Thuý Tiên</v>
      </c>
      <c r="E41" s="4" t="str">
        <f>IFERROR(__xludf.DUMMYFUNCTION("""COMPUTED_VALUE"""),"Trường Đại học Tôn Đức Thắng")</f>
        <v>Trường Đại học Tôn Đức Thắng</v>
      </c>
      <c r="F41" s="4" t="str">
        <f>IFERROR(__xludf.DUMMYFUNCTION("""COMPUTED_VALUE"""),"TNMT2026-040.png")</f>
        <v>TNMT2026-040.png</v>
      </c>
    </row>
    <row r="42">
      <c r="A42" s="4" t="str">
        <f>IFERROR(__xludf.DUMMYFUNCTION("""COMPUTED_VALUE"""),"TNMT2026-041")</f>
        <v>TNMT2026-041</v>
      </c>
      <c r="B42" s="4" t="str">
        <f>IFERROR(__xludf.DUMMYFUNCTION("""COMPUTED_VALUE"""),"Tài nguyên và Môi trường")</f>
        <v>Tài nguyên và Môi trường</v>
      </c>
      <c r="C42" s="4" t="str">
        <f>IFERROR(__xludf.DUMMYFUNCTION("""COMPUTED_VALUE"""),"Đánh giá khả năng thu hồi dầu tràn dùng năng lượng mặt trời với nhựa PET")</f>
        <v>Đánh giá khả năng thu hồi dầu tràn dùng năng lượng mặt trời với nhựa PET</v>
      </c>
      <c r="D42" s="4" t="str">
        <f>IFERROR(__xludf.DUMMYFUNCTION("""COMPUTED_VALUE"""),"Tạ Quỳnh Mai; Hoàng Minh Hồng; Bùi Hiểu Phi")</f>
        <v>Tạ Quỳnh Mai; Hoàng Minh Hồng; Bùi Hiểu Phi</v>
      </c>
      <c r="E42" s="4" t="str">
        <f>IFERROR(__xludf.DUMMYFUNCTION("""COMPUTED_VALUE"""),"Đại học Phenikaa")</f>
        <v>Đại học Phenikaa</v>
      </c>
      <c r="F42" s="4" t="str">
        <f>IFERROR(__xludf.DUMMYFUNCTION("""COMPUTED_VALUE"""),"TNMT2026-041.png")</f>
        <v>TNMT2026-041.png</v>
      </c>
    </row>
    <row r="43">
      <c r="A43" s="4" t="str">
        <f>IFERROR(__xludf.DUMMYFUNCTION("""COMPUTED_VALUE"""),"TNMT2026-042")</f>
        <v>TNMT2026-042</v>
      </c>
      <c r="B43" s="4" t="str">
        <f>IFERROR(__xludf.DUMMYFUNCTION("""COMPUTED_VALUE"""),"Tài nguyên và Môi trường")</f>
        <v>Tài nguyên và Môi trường</v>
      </c>
      <c r="C43" s="4" t="str">
        <f>IFERROR(__xludf.DUMMYFUNCTION("""COMPUTED_VALUE"""),"Nghiên cứu đánh giá khả năng bay hơi nước dùng năng lượng gió của xơ mướp")</f>
        <v>Nghiên cứu đánh giá khả năng bay hơi nước dùng năng lượng gió của xơ mướp</v>
      </c>
      <c r="D43" s="4" t="str">
        <f>IFERROR(__xludf.DUMMYFUNCTION("""COMPUTED_VALUE"""),"Trần Thu Thủy; Lê Thị Hậu; Hoàng Thùy Trang")</f>
        <v>Trần Thu Thủy; Lê Thị Hậu; Hoàng Thùy Trang</v>
      </c>
      <c r="E43" s="4" t="str">
        <f>IFERROR(__xludf.DUMMYFUNCTION("""COMPUTED_VALUE"""),"Đại học Phenikaa")</f>
        <v>Đại học Phenikaa</v>
      </c>
      <c r="F43" s="4" t="str">
        <f>IFERROR(__xludf.DUMMYFUNCTION("""COMPUTED_VALUE"""),"TNMT2026-042.png")</f>
        <v>TNMT2026-042.png</v>
      </c>
    </row>
    <row r="44">
      <c r="A44" s="4" t="str">
        <f>IFERROR(__xludf.DUMMYFUNCTION("""COMPUTED_VALUE"""),"TNMT2026-043")</f>
        <v>TNMT2026-043</v>
      </c>
      <c r="B44" s="4" t="str">
        <f>IFERROR(__xludf.DUMMYFUNCTION("""COMPUTED_VALUE"""),"Tài nguyên và Môi trường")</f>
        <v>Tài nguyên và Môi trường</v>
      </c>
      <c r="C44" s="4" t="str">
        <f>IFERROR(__xludf.DUMMYFUNCTION("""COMPUTED_VALUE"""),"Nghiên cứu ứng dụng bê tông quang xúc tác trong việc xử lí khí độc đô thị ở Thành phố Hồ Chí Minh và Thủ đô Hà Nội.")</f>
        <v>Nghiên cứu ứng dụng bê tông quang xúc tác trong việc xử lí khí độc đô thị ở Thành phố Hồ Chí Minh và Thủ đô Hà Nội.</v>
      </c>
      <c r="D44" s="4" t="str">
        <f>IFERROR(__xludf.DUMMYFUNCTION("""COMPUTED_VALUE"""),"Lê Hoàng Dịu Thi; Đặng Nguyễn Trúc Ly; Nguyễn Thiên Phúc; Lê Thị Minh Thư; Nguyễn Thái Bình Yên")</f>
        <v>Lê Hoàng Dịu Thi; Đặng Nguyễn Trúc Ly; Nguyễn Thiên Phúc; Lê Thị Minh Thư; Nguyễn Thái Bình Yên</v>
      </c>
      <c r="E44" s="4" t="str">
        <f>IFERROR(__xludf.DUMMYFUNCTION("""COMPUTED_VALUE"""),"Trường Đại học Kiến trúc TP. Hồ Chí Minh")</f>
        <v>Trường Đại học Kiến trúc TP. Hồ Chí Minh</v>
      </c>
      <c r="F44" s="4" t="str">
        <f>IFERROR(__xludf.DUMMYFUNCTION("""COMPUTED_VALUE"""),"TNMT2026-043.png")</f>
        <v>TNMT2026-043.png</v>
      </c>
    </row>
    <row r="45">
      <c r="A45" s="4" t="str">
        <f>IFERROR(__xludf.DUMMYFUNCTION("""COMPUTED_VALUE"""),"TNMT2026-044")</f>
        <v>TNMT2026-044</v>
      </c>
      <c r="B45" s="4" t="str">
        <f>IFERROR(__xludf.DUMMYFUNCTION("""COMPUTED_VALUE"""),"Tài nguyên và Môi trường")</f>
        <v>Tài nguyên và Môi trường</v>
      </c>
      <c r="C45" s="4" t="str">
        <f>IFERROR(__xludf.DUMMYFUNCTION("""COMPUTED_VALUE"""),"Mối tương quan giữa điều kiện sinh thái môi trường và sự tích lũy Quercetin, Kaempferol trong cây Tra lâm vồ (Thespesia populnea) tại rừng ngập mặn Cần Giờ.")</f>
        <v>Mối tương quan giữa điều kiện sinh thái môi trường và sự tích lũy Quercetin, Kaempferol trong cây Tra lâm vồ (Thespesia populnea) tại rừng ngập mặn Cần Giờ.</v>
      </c>
      <c r="D45" s="4" t="str">
        <f>IFERROR(__xludf.DUMMYFUNCTION("""COMPUTED_VALUE"""),"Huỳnh Lê Bảo Ngọc; Lê Võ Phương Nghi; Huỳnh Lê Mỹ Ngọc; Tuy Trang Thy; Phan Quốc Đạt")</f>
        <v>Huỳnh Lê Bảo Ngọc; Lê Võ Phương Nghi; Huỳnh Lê Mỹ Ngọc; Tuy Trang Thy; Phan Quốc Đạt</v>
      </c>
      <c r="E45" s="4" t="str">
        <f>IFERROR(__xludf.DUMMYFUNCTION("""COMPUTED_VALUE"""),"Đại học Y Dược TP. Hồ Chí Minh")</f>
        <v>Đại học Y Dược TP. Hồ Chí Minh</v>
      </c>
      <c r="F45" s="4" t="str">
        <f>IFERROR(__xludf.DUMMYFUNCTION("""COMPUTED_VALUE"""),"TNMT2026-044.png")</f>
        <v>TNMT2026-044.png</v>
      </c>
    </row>
    <row r="46">
      <c r="A46" s="4" t="str">
        <f>IFERROR(__xludf.DUMMYFUNCTION("""COMPUTED_VALUE"""),"TNMT2026-045")</f>
        <v>TNMT2026-045</v>
      </c>
      <c r="B46" s="4" t="str">
        <f>IFERROR(__xludf.DUMMYFUNCTION("""COMPUTED_VALUE"""),"Tài nguyên và Môi trường")</f>
        <v>Tài nguyên và Môi trường</v>
      </c>
      <c r="C46" s="4" t="str">
        <f>IFERROR(__xludf.DUMMYFUNCTION("""COMPUTED_VALUE"""),"Nghiên cứu ứng dụng công nghệ rung siêu âm trong sản xuất tấm ván nhựa tái chế hướng tới ứng dụng trong lĩnh vực Logistics và Xây dựng xanh")</f>
        <v>Nghiên cứu ứng dụng công nghệ rung siêu âm trong sản xuất tấm ván nhựa tái chế hướng tới ứng dụng trong lĩnh vực Logistics và Xây dựng xanh</v>
      </c>
      <c r="D46" s="4" t="str">
        <f>IFERROR(__xludf.DUMMYFUNCTION("""COMPUTED_VALUE"""),"Lâm Ngọc Châu")</f>
        <v>Lâm Ngọc Châu</v>
      </c>
      <c r="E46" s="4" t="str">
        <f>IFERROR(__xludf.DUMMYFUNCTION("""COMPUTED_VALUE"""),"Trường Đại học Tài nguyên và Môi trường TP. Hồ Chí Minh")</f>
        <v>Trường Đại học Tài nguyên và Môi trường TP. Hồ Chí Minh</v>
      </c>
      <c r="F46" s="4" t="str">
        <f>IFERROR(__xludf.DUMMYFUNCTION("""COMPUTED_VALUE"""),"TNMT2026-045.png")</f>
        <v>TNMT2026-045.png</v>
      </c>
    </row>
    <row r="47">
      <c r="A47" s="4" t="str">
        <f>IFERROR(__xludf.DUMMYFUNCTION("""COMPUTED_VALUE"""),"TNMT2026-046")</f>
        <v>TNMT2026-046</v>
      </c>
      <c r="B47" s="4" t="str">
        <f>IFERROR(__xludf.DUMMYFUNCTION("""COMPUTED_VALUE"""),"Tài nguyên và Môi trường")</f>
        <v>Tài nguyên và Môi trường</v>
      </c>
      <c r="C47" s="4" t="str">
        <f>IFERROR(__xludf.DUMMYFUNCTION("""COMPUTED_VALUE"""),"Nghiên cứu điều chế vật liệu từ cây Lục Bình để xử lý Methylene Blue trong nước thải dệt nhuộm (Eichhornia crassipes)")</f>
        <v>Nghiên cứu điều chế vật liệu từ cây Lục Bình để xử lý Methylene Blue trong nước thải dệt nhuộm (Eichhornia crassipes)</v>
      </c>
      <c r="D47" s="4" t="str">
        <f>IFERROR(__xludf.DUMMYFUNCTION("""COMPUTED_VALUE"""),"Nguyễn Xuân Trung; Lê Phạm Thái Bảo; Nguyễn Thị Lệ Quyên; Cao Đặng Mai Thảo")</f>
        <v>Nguyễn Xuân Trung; Lê Phạm Thái Bảo; Nguyễn Thị Lệ Quyên; Cao Đặng Mai Thảo</v>
      </c>
      <c r="E47" s="4" t="str">
        <f>IFERROR(__xludf.DUMMYFUNCTION("""COMPUTED_VALUE"""),"Trường Đại học Thủ Dầu Một")</f>
        <v>Trường Đại học Thủ Dầu Một</v>
      </c>
      <c r="F47" s="4" t="str">
        <f>IFERROR(__xludf.DUMMYFUNCTION("""COMPUTED_VALUE"""),"TNMT2026-046.png")</f>
        <v>TNMT2026-046.png</v>
      </c>
    </row>
    <row r="48">
      <c r="A48" s="4" t="str">
        <f>IFERROR(__xludf.DUMMYFUNCTION("""COMPUTED_VALUE"""),"TNMT2026-047")</f>
        <v>TNMT2026-047</v>
      </c>
      <c r="B48" s="4" t="str">
        <f>IFERROR(__xludf.DUMMYFUNCTION("""COMPUTED_VALUE"""),"Tài nguyên và Môi trường")</f>
        <v>Tài nguyên và Môi trường</v>
      </c>
      <c r="C48" s="4" t="str">
        <f>IFERROR(__xludf.DUMMYFUNCTION("""COMPUTED_VALUE"""),"NGHIÊN CỨU XỬ LÝ KHÁNG SINH METRONIDAZOLE TRONG NƯỚC BẰNG QUÁ TRÌNH XÚC TÁC HOẠT HÓA PEROXYMONOSULFATE (PMS) SỬ DỤNG VẬT LIỆU THAN SINH HỌC VỎ CÀ PHÊ BIẾN TÍNH KẾT HỢP CO VÀ N")</f>
        <v>NGHIÊN CỨU XỬ LÝ KHÁNG SINH METRONIDAZOLE TRONG NƯỚC BẰNG QUÁ TRÌNH XÚC TÁC HOẠT HÓA PEROXYMONOSULFATE (PMS) SỬ DỤNG VẬT LIỆU THAN SINH HỌC VỎ CÀ PHÊ BIẾN TÍNH KẾT HỢP CO VÀ N</v>
      </c>
      <c r="D48" s="4" t="str">
        <f>IFERROR(__xludf.DUMMYFUNCTION("""COMPUTED_VALUE"""),"Lâm Đức Trí; Lê Thị Ánh Hồng")</f>
        <v>Lâm Đức Trí; Lê Thị Ánh Hồng</v>
      </c>
      <c r="E48" s="4" t="str">
        <f>IFERROR(__xludf.DUMMYFUNCTION("""COMPUTED_VALUE"""),"Trường Đại học Bách Khoa, ĐHQG-HCM")</f>
        <v>Trường Đại học Bách Khoa, ĐHQG-HCM</v>
      </c>
      <c r="F48" s="4" t="str">
        <f>IFERROR(__xludf.DUMMYFUNCTION("""COMPUTED_VALUE"""),"TNMT2026-047.png")</f>
        <v>TNMT2026-047.png</v>
      </c>
    </row>
    <row r="49">
      <c r="A49" s="4" t="str">
        <f>IFERROR(__xludf.DUMMYFUNCTION("""COMPUTED_VALUE"""),"TNMT2026-048")</f>
        <v>TNMT2026-048</v>
      </c>
      <c r="B49" s="4" t="str">
        <f>IFERROR(__xludf.DUMMYFUNCTION("""COMPUTED_VALUE"""),"Tài nguyên và Môi trường")</f>
        <v>Tài nguyên và Môi trường</v>
      </c>
      <c r="C49" s="4" t="str">
        <f>IFERROR(__xludf.DUMMYFUNCTION("""COMPUTED_VALUE"""),"NGHIÊN CỨU VÀ PHÁT TRIỂN HỆ THỐNG ỨNG DỤNG IoT VÀ LSTM TRONG GIÁM SÁT, DỰ BÁO VÀ ĐIỀU KHIỂN MÔI TRƯỜNG TRONG NHÀ")</f>
        <v>NGHIÊN CỨU VÀ PHÁT TRIỂN HỆ THỐNG ỨNG DỤNG IoT VÀ LSTM TRONG GIÁM SÁT, DỰ BÁO VÀ ĐIỀU KHIỂN MÔI TRƯỜNG TRONG NHÀ</v>
      </c>
      <c r="D49" s="4" t="str">
        <f>IFERROR(__xludf.DUMMYFUNCTION("""COMPUTED_VALUE"""),"Đặng Tuấn Khoa; Vũ Hoàng Bảo; Thái Quốc Vinh; Nguyễn Phước Nam; Phạm Quốc Hưng")</f>
        <v>Đặng Tuấn Khoa; Vũ Hoàng Bảo; Thái Quốc Vinh; Nguyễn Phước Nam; Phạm Quốc Hưng</v>
      </c>
      <c r="E49" s="4" t="str">
        <f>IFERROR(__xludf.DUMMYFUNCTION("""COMPUTED_VALUE"""),"Trường Đại học Bách Khoa, ĐHQG-HCM")</f>
        <v>Trường Đại học Bách Khoa, ĐHQG-HCM</v>
      </c>
      <c r="F49" s="4" t="str">
        <f>IFERROR(__xludf.DUMMYFUNCTION("""COMPUTED_VALUE"""),"TNMT2026-048.png")</f>
        <v>TNMT2026-048.png</v>
      </c>
    </row>
    <row r="50">
      <c r="A50" s="4" t="str">
        <f>IFERROR(__xludf.DUMMYFUNCTION("""COMPUTED_VALUE"""),"TNMT2026-049")</f>
        <v>TNMT2026-049</v>
      </c>
      <c r="B50" s="4" t="str">
        <f>IFERROR(__xludf.DUMMYFUNCTION("""COMPUTED_VALUE"""),"Tài nguyên và Môi trường")</f>
        <v>Tài nguyên và Môi trường</v>
      </c>
      <c r="C50" s="4" t="str">
        <f>IFERROR(__xludf.DUMMYFUNCTION("""COMPUTED_VALUE"""),"Kiểm kê khí nhà kính phát sinh từ nước thải và chất thải rắn tại thư viện trường Đại học Nguyễn Tất Thành")</f>
        <v>Kiểm kê khí nhà kính phát sinh từ nước thải và chất thải rắn tại thư viện trường Đại học Nguyễn Tất Thành</v>
      </c>
      <c r="D50" s="4" t="str">
        <f>IFERROR(__xludf.DUMMYFUNCTION("""COMPUTED_VALUE"""),"Nguyễn Thị Cẩm Tiên; Trần Thị Hiểu Nghi")</f>
        <v>Nguyễn Thị Cẩm Tiên; Trần Thị Hiểu Nghi</v>
      </c>
      <c r="E50" s="4" t="str">
        <f>IFERROR(__xludf.DUMMYFUNCTION("""COMPUTED_VALUE"""),"Trường Đại học Nguyễn Tất Thành")</f>
        <v>Trường Đại học Nguyễn Tất Thành</v>
      </c>
      <c r="F50" s="4" t="str">
        <f>IFERROR(__xludf.DUMMYFUNCTION("""COMPUTED_VALUE"""),"TNMT2026-049.png")</f>
        <v>TNMT2026-049.png</v>
      </c>
    </row>
    <row r="51">
      <c r="A51" s="4" t="str">
        <f>IFERROR(__xludf.DUMMYFUNCTION("""COMPUTED_VALUE"""),"TNMT2026-050")</f>
        <v>TNMT2026-050</v>
      </c>
      <c r="B51" s="4" t="str">
        <f>IFERROR(__xludf.DUMMYFUNCTION("""COMPUTED_VALUE"""),"Tài nguyên và Môi trường")</f>
        <v>Tài nguyên và Môi trường</v>
      </c>
      <c r="C51" s="4" t="str">
        <f>IFERROR(__xludf.DUMMYFUNCTION("""COMPUTED_VALUE"""),"Nghiên cứu chế tạo xúc tác dị thể ferrite từ bùn đỏ định hướng ứng dụng xử lí nước ô nhiễm")</f>
        <v>Nghiên cứu chế tạo xúc tác dị thể ferrite từ bùn đỏ định hướng ứng dụng xử lí nước ô nhiễm</v>
      </c>
      <c r="D51" s="4" t="str">
        <f>IFERROR(__xludf.DUMMYFUNCTION("""COMPUTED_VALUE"""),"Nguyễn Phúc Kha; Trịnh Huỳnh Tấn Đạt; Trần Thị Phương Nhi")</f>
        <v>Nguyễn Phúc Kha; Trịnh Huỳnh Tấn Đạt; Trần Thị Phương Nhi</v>
      </c>
      <c r="E51" s="4" t="str">
        <f>IFERROR(__xludf.DUMMYFUNCTION("""COMPUTED_VALUE"""),"Trường Đại học Tôn Đức Thắng")</f>
        <v>Trường Đại học Tôn Đức Thắng</v>
      </c>
      <c r="F51" s="4" t="str">
        <f>IFERROR(__xludf.DUMMYFUNCTION("""COMPUTED_VALUE"""),"TNMT2026-050.png")</f>
        <v>TNMT2026-050.png</v>
      </c>
    </row>
    <row r="52">
      <c r="A52" s="4" t="str">
        <f>IFERROR(__xludf.DUMMYFUNCTION("""COMPUTED_VALUE"""),"TNMT2026-051")</f>
        <v>TNMT2026-051</v>
      </c>
      <c r="B52" s="4" t="str">
        <f>IFERROR(__xludf.DUMMYFUNCTION("""COMPUTED_VALUE"""),"Tài nguyên và Môi trường")</f>
        <v>Tài nguyên và Môi trường</v>
      </c>
      <c r="C52" s="4" t="str">
        <f>IFERROR(__xludf.DUMMYFUNCTION("""COMPUTED_VALUE"""),"Nghiên cứu chế tạo vật liệu ZIF@aerogel từ phế phẩm nông nghiệp định hướng ứng dụng xử lý nước nhiễm dầu")</f>
        <v>Nghiên cứu chế tạo vật liệu ZIF@aerogel từ phế phẩm nông nghiệp định hướng ứng dụng xử lý nước nhiễm dầu</v>
      </c>
      <c r="D52" s="4" t="str">
        <f>IFERROR(__xludf.DUMMYFUNCTION("""COMPUTED_VALUE"""),"Lê Quỳnh Như; Võ Thanh Ngân; Phạm Đăng Phúc")</f>
        <v>Lê Quỳnh Như; Võ Thanh Ngân; Phạm Đăng Phúc</v>
      </c>
      <c r="E52" s="4" t="str">
        <f>IFERROR(__xludf.DUMMYFUNCTION("""COMPUTED_VALUE"""),"Trường Đại học Tôn Đức Thắng")</f>
        <v>Trường Đại học Tôn Đức Thắng</v>
      </c>
      <c r="F52" s="4" t="str">
        <f>IFERROR(__xludf.DUMMYFUNCTION("""COMPUTED_VALUE"""),"TNMT2026-051.png")</f>
        <v>TNMT2026-051.png</v>
      </c>
    </row>
    <row r="53">
      <c r="A53" s="4" t="str">
        <f>IFERROR(__xludf.DUMMYFUNCTION("""COMPUTED_VALUE"""),"TNMT2026-052")</f>
        <v>TNMT2026-052</v>
      </c>
      <c r="B53" s="4" t="str">
        <f>IFERROR(__xludf.DUMMYFUNCTION("""COMPUTED_VALUE"""),"Tài nguyên và Môi trường")</f>
        <v>Tài nguyên và Môi trường</v>
      </c>
      <c r="C53" s="4" t="str">
        <f>IFERROR(__xludf.DUMMYFUNCTION("""COMPUTED_VALUE"""),"Tổng hợp vật liệu N-TiO2@Aerogel định hướng ứng dụng xử lý nước thải ô nhiễm chất mang màu từ phế phẩm xơ dừa và cây bèo tây")</f>
        <v>Tổng hợp vật liệu N-TiO2@Aerogel định hướng ứng dụng xử lý nước thải ô nhiễm chất mang màu từ phế phẩm xơ dừa và cây bèo tây</v>
      </c>
      <c r="D53" s="4" t="str">
        <f>IFERROR(__xludf.DUMMYFUNCTION("""COMPUTED_VALUE"""),"Trần Lê Minh Khuê; Hoàng Ngọc Bình Minh; Đoàn Ngọc Lệ Quân")</f>
        <v>Trần Lê Minh Khuê; Hoàng Ngọc Bình Minh; Đoàn Ngọc Lệ Quân</v>
      </c>
      <c r="E53" s="4" t="str">
        <f>IFERROR(__xludf.DUMMYFUNCTION("""COMPUTED_VALUE"""),"Trường Đại học Tôn Đức Thắng")</f>
        <v>Trường Đại học Tôn Đức Thắng</v>
      </c>
      <c r="F53" s="4" t="str">
        <f>IFERROR(__xludf.DUMMYFUNCTION("""COMPUTED_VALUE"""),"TNMT2026-052.png")</f>
        <v>TNMT2026-052.png</v>
      </c>
    </row>
    <row r="54">
      <c r="A54" s="4" t="str">
        <f>IFERROR(__xludf.DUMMYFUNCTION("""COMPUTED_VALUE"""),"TNMT2026-053")</f>
        <v>TNMT2026-053</v>
      </c>
      <c r="B54" s="4" t="str">
        <f>IFERROR(__xludf.DUMMYFUNCTION("""COMPUTED_VALUE"""),"Tài nguyên và Môi trường")</f>
        <v>Tài nguyên và Môi trường</v>
      </c>
      <c r="C54" s="4" t="str">
        <f>IFERROR(__xludf.DUMMYFUNCTION("""COMPUTED_VALUE"""),"Hoàn thiện pháp luật về bảo đảm thực thi trách nhiệm bồi thường thiệt hại do hành vi gây ô nhiễm mỗi trường tại Thành phố Hồ Chí Minh")</f>
        <v>Hoàn thiện pháp luật về bảo đảm thực thi trách nhiệm bồi thường thiệt hại do hành vi gây ô nhiễm mỗi trường tại Thành phố Hồ Chí Minh</v>
      </c>
      <c r="D54" s="4" t="str">
        <f>IFERROR(__xludf.DUMMYFUNCTION("""COMPUTED_VALUE"""),"Âu Hoàng Huy; Ngô Thị Minh Anh; Nguyễn Ngọc Huyền")</f>
        <v>Âu Hoàng Huy; Ngô Thị Minh Anh; Nguyễn Ngọc Huyền</v>
      </c>
      <c r="E54" s="4" t="str">
        <f>IFERROR(__xludf.DUMMYFUNCTION("""COMPUTED_VALUE"""),"Phân hiệu Học viện Thanh thiếu niên Việt Nam tại TP. Hồ Chí Minh")</f>
        <v>Phân hiệu Học viện Thanh thiếu niên Việt Nam tại TP. Hồ Chí Minh</v>
      </c>
      <c r="F54" s="4" t="str">
        <f>IFERROR(__xludf.DUMMYFUNCTION("""COMPUTED_VALUE"""),"TNMT2026-053.png")</f>
        <v>TNMT2026-053.png</v>
      </c>
    </row>
    <row r="55">
      <c r="A55" s="4" t="str">
        <f>IFERROR(__xludf.DUMMYFUNCTION("""COMPUTED_VALUE"""),"TNMT2026-054")</f>
        <v>TNMT2026-054</v>
      </c>
      <c r="B55" s="4" t="str">
        <f>IFERROR(__xludf.DUMMYFUNCTION("""COMPUTED_VALUE"""),"Tài nguyên và Môi trường")</f>
        <v>Tài nguyên và Môi trường</v>
      </c>
      <c r="C55" s="4" t="str">
        <f>IFERROR(__xludf.DUMMYFUNCTION("""COMPUTED_VALUE"""),"Xây dựng hệ thống hỗ trợ quyết định không gian quản lý rác thải nhựa nông nghiệp gắn với sử dụng đất trên nền tảng nông nghiệp số: tích hợp PWI, GIS-AHP và Webgis tại Tây Ninh")</f>
        <v>Xây dựng hệ thống hỗ trợ quyết định không gian quản lý rác thải nhựa nông nghiệp gắn với sử dụng đất trên nền tảng nông nghiệp số: tích hợp PWI, GIS-AHP và Webgis tại Tây Ninh</v>
      </c>
      <c r="D55" s="4" t="str">
        <f>IFERROR(__xludf.DUMMYFUNCTION("""COMPUTED_VALUE"""),"Nguyễn Hoài Nam; Nguyễn Thị Như Quỳnh; Trần Thị Anh Thư; Nguyễn Đào Yến Nhi; Lê Thị Hồng Vân")</f>
        <v>Nguyễn Hoài Nam; Nguyễn Thị Như Quỳnh; Trần Thị Anh Thư; Nguyễn Đào Yến Nhi; Lê Thị Hồng Vân</v>
      </c>
      <c r="E55" s="4" t="str">
        <f>IFERROR(__xludf.DUMMYFUNCTION("""COMPUTED_VALUE"""),"Trường Đại học Công nghiệp TP. Hồ Chí Minh")</f>
        <v>Trường Đại học Công nghiệp TP. Hồ Chí Minh</v>
      </c>
      <c r="F55" s="4" t="str">
        <f>IFERROR(__xludf.DUMMYFUNCTION("""COMPUTED_VALUE"""),"TNMT2026-054.png")</f>
        <v>TNMT2026-054.png</v>
      </c>
    </row>
    <row r="56">
      <c r="A56" s="4" t="str">
        <f>IFERROR(__xludf.DUMMYFUNCTION("""COMPUTED_VALUE"""),"TNMT2026-055")</f>
        <v>TNMT2026-055</v>
      </c>
      <c r="B56" s="4" t="str">
        <f>IFERROR(__xludf.DUMMYFUNCTION("""COMPUTED_VALUE"""),"Tài nguyên và Môi trường")</f>
        <v>Tài nguyên và Môi trường</v>
      </c>
      <c r="C56" s="4" t="str">
        <f>IFERROR(__xludf.DUMMYFUNCTION("""COMPUTED_VALUE"""),"Phân tích rào cản áp dụng mô hình quản lý rác thải phát sinh từ thương mại điện tử thông qua hệ thống thu gom thông minh tại các khuôn viên trường đại học ở TP.HCM bằng phương pháp Fuzzy DEMATEL")</f>
        <v>Phân tích rào cản áp dụng mô hình quản lý rác thải phát sinh từ thương mại điện tử thông qua hệ thống thu gom thông minh tại các khuôn viên trường đại học ở TP.HCM bằng phương pháp Fuzzy DEMATEL</v>
      </c>
      <c r="D56" s="4" t="str">
        <f>IFERROR(__xludf.DUMMYFUNCTION("""COMPUTED_VALUE"""),"Nguyễn Lê Linh Đan; Châu Khánh Huy; Phan Thị Hồng Diễm; Nguyễn Xuân Viên; Nguyễn Phạm Minh Ngân")</f>
        <v>Nguyễn Lê Linh Đan; Châu Khánh Huy; Phan Thị Hồng Diễm; Nguyễn Xuân Viên; Nguyễn Phạm Minh Ngân</v>
      </c>
      <c r="E56" s="4" t="str">
        <f>IFERROR(__xludf.DUMMYFUNCTION("""COMPUTED_VALUE"""),"Trường Đại học Công nghiệp TP. Hồ Chí Minh")</f>
        <v>Trường Đại học Công nghiệp TP. Hồ Chí Minh</v>
      </c>
      <c r="F56" s="4" t="str">
        <f>IFERROR(__xludf.DUMMYFUNCTION("""COMPUTED_VALUE"""),"TNMT2026-055.png")</f>
        <v>TNMT2026-055.png</v>
      </c>
    </row>
    <row r="57">
      <c r="A57" s="4" t="str">
        <f>IFERROR(__xludf.DUMMYFUNCTION("""COMPUTED_VALUE"""),"TNMT2026-056")</f>
        <v>TNMT2026-056</v>
      </c>
      <c r="B57" s="4" t="str">
        <f>IFERROR(__xludf.DUMMYFUNCTION("""COMPUTED_VALUE"""),"Tài nguyên và Môi trường")</f>
        <v>Tài nguyên và Môi trường</v>
      </c>
      <c r="C57" s="4" t="str">
        <f>IFERROR(__xludf.DUMMYFUNCTION("""COMPUTED_VALUE"""),"TÁC ĐỘNG CỦA QUẢN TRỊ NGUỒN NHÂN LỰC XANH ĐẾN HIỆU SUẤT BỀN VỮNG TẠI CÁC DOANH NGHIỆP LOGISTICS VIỆT NAM: VAI TRÒ TRUNG GIAN CỦA VĂN HÓA XANH VÀ ĐỔI MỚI XANH TRONG BỐI CẢNH CÔNG NGHỆ MỚI")</f>
        <v>TÁC ĐỘNG CỦA QUẢN TRỊ NGUỒN NHÂN LỰC XANH ĐẾN HIỆU SUẤT BỀN VỮNG TẠI CÁC DOANH NGHIỆP LOGISTICS VIỆT NAM: VAI TRÒ TRUNG GIAN CỦA VĂN HÓA XANH VÀ ĐỔI MỚI XANH TRONG BỐI CẢNH CÔNG NGHỆ MỚI</v>
      </c>
      <c r="D57" s="4" t="str">
        <f>IFERROR(__xludf.DUMMYFUNCTION("""COMPUTED_VALUE"""),"Tăng Bích Hoa; Nguyễn Lê Ái Vy")</f>
        <v>Tăng Bích Hoa; Nguyễn Lê Ái Vy</v>
      </c>
      <c r="E57" s="4" t="str">
        <f>IFERROR(__xludf.DUMMYFUNCTION("""COMPUTED_VALUE"""),"Học viện Hàng không Việt Nam")</f>
        <v>Học viện Hàng không Việt Nam</v>
      </c>
      <c r="F57" s="4" t="str">
        <f>IFERROR(__xludf.DUMMYFUNCTION("""COMPUTED_VALUE"""),"TNMT2026-056.png")</f>
        <v>TNMT2026-056.png</v>
      </c>
    </row>
    <row r="58">
      <c r="A58" s="4" t="str">
        <f>IFERROR(__xludf.DUMMYFUNCTION("""COMPUTED_VALUE"""),"TNMT2026-057")</f>
        <v>TNMT2026-057</v>
      </c>
      <c r="B58" s="4" t="str">
        <f>IFERROR(__xludf.DUMMYFUNCTION("""COMPUTED_VALUE"""),"Tài nguyên và Môi trường")</f>
        <v>Tài nguyên và Môi trường</v>
      </c>
      <c r="C58" s="4" t="str">
        <f>IFERROR(__xludf.DUMMYFUNCTION("""COMPUTED_VALUE"""),"Nghiên cứu ô nhiễm vi nhựa trong một số loại gia vị phổ biến ở Việt Nam và đánh giá rủi ro đến sức khỏe người tiêu dùng.")</f>
        <v>Nghiên cứu ô nhiễm vi nhựa trong một số loại gia vị phổ biến ở Việt Nam và đánh giá rủi ro đến sức khỏe người tiêu dùng.</v>
      </c>
      <c r="D58" s="4" t="str">
        <f>IFERROR(__xludf.DUMMYFUNCTION("""COMPUTED_VALUE"""),"Lê Nguyễn Hồng Hoa; Nguyễn Nguyên Phương; Trần Huỳnh Thảo Phương; Nguyễn Ngọc Ly Na; Lê Trần Thiên Phương")</f>
        <v>Lê Nguyễn Hồng Hoa; Nguyễn Nguyên Phương; Trần Huỳnh Thảo Phương; Nguyễn Ngọc Ly Na; Lê Trần Thiên Phương</v>
      </c>
      <c r="E58" s="4" t="str">
        <f>IFERROR(__xludf.DUMMYFUNCTION("""COMPUTED_VALUE"""),"Trường Đại học Sư phạm, Đại học Đà Nẵng")</f>
        <v>Trường Đại học Sư phạm, Đại học Đà Nẵng</v>
      </c>
      <c r="F58" s="4" t="str">
        <f>IFERROR(__xludf.DUMMYFUNCTION("""COMPUTED_VALUE"""),"TNMT2026-057.png")</f>
        <v>TNMT2026-057.png</v>
      </c>
    </row>
    <row r="59">
      <c r="A59" s="4" t="str">
        <f>IFERROR(__xludf.DUMMYFUNCTION("""COMPUTED_VALUE"""),"TNMT2026-058")</f>
        <v>TNMT2026-058</v>
      </c>
      <c r="B59" s="4" t="str">
        <f>IFERROR(__xludf.DUMMYFUNCTION("""COMPUTED_VALUE"""),"Tài nguyên và Môi trường")</f>
        <v>Tài nguyên và Môi trường</v>
      </c>
      <c r="C59" s="4" t="str">
        <f>IFERROR(__xludf.DUMMYFUNCTION("""COMPUTED_VALUE"""),"Nghiên cứu ứng dụng thực vật bản địa vào không gian công cộng ven mặt nước tại công viên Sáng tạo (Thủ Thiêm, TP.HCM) hướng đến phát triển cảnh quan bền vững")</f>
        <v>Nghiên cứu ứng dụng thực vật bản địa vào không gian công cộng ven mặt nước tại công viên Sáng tạo (Thủ Thiêm, TP.HCM) hướng đến phát triển cảnh quan bền vững</v>
      </c>
      <c r="D59" s="4" t="str">
        <f>IFERROR(__xludf.DUMMYFUNCTION("""COMPUTED_VALUE"""),"Đỗ Hoàng Phúc Vinh; Lê Ngô Khánh Vy")</f>
        <v>Đỗ Hoàng Phúc Vinh; Lê Ngô Khánh Vy</v>
      </c>
      <c r="E59" s="4" t="str">
        <f>IFERROR(__xludf.DUMMYFUNCTION("""COMPUTED_VALUE"""),"Trường Đại học Kiến trúc TP. Hồ Chí Minh")</f>
        <v>Trường Đại học Kiến trúc TP. Hồ Chí Minh</v>
      </c>
      <c r="F59" s="4" t="str">
        <f>IFERROR(__xludf.DUMMYFUNCTION("""COMPUTED_VALUE"""),"TNMT2026-058.png")</f>
        <v>TNMT2026-058.png</v>
      </c>
    </row>
    <row r="60">
      <c r="A60" s="4" t="str">
        <f>IFERROR(__xludf.DUMMYFUNCTION("""COMPUTED_VALUE"""),"TNMT2026-059")</f>
        <v>TNMT2026-059</v>
      </c>
      <c r="B60" s="4" t="str">
        <f>IFERROR(__xludf.DUMMYFUNCTION("""COMPUTED_VALUE"""),"Tài nguyên và Môi trường")</f>
        <v>Tài nguyên và Môi trường</v>
      </c>
      <c r="C60" s="4" t="str">
        <f>IFERROR(__xludf.DUMMYFUNCTION("""COMPUTED_VALUE"""),"Đánh giá hành vi sử dụng thuốc bảo vệ thực vật trong canh tác thanh long tại xã Tầm Vu, tỉnh Tây Ninh")</f>
        <v>Đánh giá hành vi sử dụng thuốc bảo vệ thực vật trong canh tác thanh long tại xã Tầm Vu, tỉnh Tây Ninh</v>
      </c>
      <c r="D60" s="4" t="str">
        <f>IFERROR(__xludf.DUMMYFUNCTION("""COMPUTED_VALUE"""),"Trương Gia Bảo")</f>
        <v>Trương Gia Bảo</v>
      </c>
      <c r="E60" s="4" t="str">
        <f>IFERROR(__xludf.DUMMYFUNCTION("""COMPUTED_VALUE"""),"Trường Đại học Công nghệ TP. Hồ Chí Minh")</f>
        <v>Trường Đại học Công nghệ TP. Hồ Chí Minh</v>
      </c>
      <c r="F60" s="4" t="str">
        <f>IFERROR(__xludf.DUMMYFUNCTION("""COMPUTED_VALUE"""),"TNMT2026-059.png")</f>
        <v>TNMT2026-059.png</v>
      </c>
    </row>
    <row r="61">
      <c r="A61" s="4" t="str">
        <f>IFERROR(__xludf.DUMMYFUNCTION("""COMPUTED_VALUE"""),"TNMT2026-060")</f>
        <v>TNMT2026-060</v>
      </c>
      <c r="B61" s="4" t="str">
        <f>IFERROR(__xludf.DUMMYFUNCTION("""COMPUTED_VALUE"""),"Tài nguyên và Môi trường")</f>
        <v>Tài nguyên và Môi trường</v>
      </c>
      <c r="C61" s="4" t="str">
        <f>IFERROR(__xludf.DUMMYFUNCTION("""COMPUTED_VALUE"""),"Đánh giá hiệu quả sử dụng đất nông nghiệp tại Xã Đông Thành, Tỉnh Tây Ninh")</f>
        <v>Đánh giá hiệu quả sử dụng đất nông nghiệp tại Xã Đông Thành, Tỉnh Tây Ninh</v>
      </c>
      <c r="D61" s="4" t="str">
        <f>IFERROR(__xludf.DUMMYFUNCTION("""COMPUTED_VALUE"""),"Nguyễn Minh Thuận")</f>
        <v>Nguyễn Minh Thuận</v>
      </c>
      <c r="E61" s="4" t="str">
        <f>IFERROR(__xludf.DUMMYFUNCTION("""COMPUTED_VALUE"""),"Trường Đại học Công nghệ TP. Hồ Chí Minh")</f>
        <v>Trường Đại học Công nghệ TP. Hồ Chí Minh</v>
      </c>
      <c r="F61" s="4" t="str">
        <f>IFERROR(__xludf.DUMMYFUNCTION("""COMPUTED_VALUE"""),"TNMT2026-060.png")</f>
        <v>TNMT2026-060.png</v>
      </c>
    </row>
    <row r="62">
      <c r="A62" s="4" t="str">
        <f>IFERROR(__xludf.DUMMYFUNCTION("""COMPUTED_VALUE"""),"TNMT2026-061")</f>
        <v>TNMT2026-061</v>
      </c>
      <c r="B62" s="4" t="str">
        <f>IFERROR(__xludf.DUMMYFUNCTION("""COMPUTED_VALUE"""),"Tài nguyên và Môi trường")</f>
        <v>Tài nguyên và Môi trường</v>
      </c>
      <c r="C62" s="4" t="str">
        <f>IFERROR(__xludf.DUMMYFUNCTION("""COMPUTED_VALUE"""),"THIẾT KẾ HỆ THỐNG HỖ TRỢ RA QUYẾT ĐỊNH CHAMP MẠNH CHAT THÍCH ỨNG VỚI XÂM NHẬP MẶN TRONG SẢN XUẤT LÚA TẠI ĐỒNG BẰNG SÔNG CỬU LONG")</f>
        <v>THIẾT KẾ HỆ THỐNG HỖ TRỢ RA QUYẾT ĐỊNH CHAMP MẠNH CHAT THÍCH ỨNG VỚI XÂM NHẬP MẶN TRONG SẢN XUẤT LÚA TẠI ĐỒNG BẰNG SÔNG CỬU LONG</v>
      </c>
      <c r="D62" s="4" t="str">
        <f>IFERROR(__xludf.DUMMYFUNCTION("""COMPUTED_VALUE"""),"Chung Nguyễn Đạt; Nguyễn Ánh Linh; Phạm Nguyễn Kim Uyên; Phan Khắc Anh Tuấn; Trần Tiến Đạt")</f>
        <v>Chung Nguyễn Đạt; Nguyễn Ánh Linh; Phạm Nguyễn Kim Uyên; Phan Khắc Anh Tuấn; Trần Tiến Đạt</v>
      </c>
      <c r="E62" s="4" t="str">
        <f>IFERROR(__xludf.DUMMYFUNCTION("""COMPUTED_VALUE"""),"Đại học Kinh tế TP. Hồ Chí Minh")</f>
        <v>Đại học Kinh tế TP. Hồ Chí Minh</v>
      </c>
      <c r="F62" s="4" t="str">
        <f>IFERROR(__xludf.DUMMYFUNCTION("""COMPUTED_VALUE"""),"TNMT2026-061.png")</f>
        <v>TNMT2026-061.png</v>
      </c>
    </row>
    <row r="63">
      <c r="A63" s="4" t="str">
        <f>IFERROR(__xludf.DUMMYFUNCTION("""COMPUTED_VALUE"""),"TNMT2026-062")</f>
        <v>TNMT2026-062</v>
      </c>
      <c r="B63" s="4" t="str">
        <f>IFERROR(__xludf.DUMMYFUNCTION("""COMPUTED_VALUE"""),"Tài nguyên và Môi trường")</f>
        <v>Tài nguyên và Môi trường</v>
      </c>
      <c r="C63" s="4" t="str">
        <f>IFERROR(__xludf.DUMMYFUNCTION("""COMPUTED_VALUE"""),"NGHIÊN CỨU ỨNG DỤNG THUẬT TOÁN AI VÀO KIỂM KÊ KHÍ THẢI - ÁP DỤNG TẠI CẢNG BIỂN")</f>
        <v>NGHIÊN CỨU ỨNG DỤNG THUẬT TOÁN AI VÀO KIỂM KÊ KHÍ THẢI - ÁP DỤNG TẠI CẢNG BIỂN</v>
      </c>
      <c r="D63" s="4" t="str">
        <f>IFERROR(__xludf.DUMMYFUNCTION("""COMPUTED_VALUE"""),"Đoàn Lê Nam Khánh; Lê Công Doanh; Nguyễn Thị Hằng")</f>
        <v>Đoàn Lê Nam Khánh; Lê Công Doanh; Nguyễn Thị Hằng</v>
      </c>
      <c r="E63" s="4" t="str">
        <f>IFERROR(__xludf.DUMMYFUNCTION("""COMPUTED_VALUE"""),"Trường Đại học Hàng hải Việt Nam")</f>
        <v>Trường Đại học Hàng hải Việt Nam</v>
      </c>
      <c r="F63" s="4" t="str">
        <f>IFERROR(__xludf.DUMMYFUNCTION("""COMPUTED_VALUE"""),"TNMT2026-062.png")</f>
        <v>TNMT2026-062.png</v>
      </c>
    </row>
    <row r="64">
      <c r="A64" s="4" t="str">
        <f>IFERROR(__xludf.DUMMYFUNCTION("""COMPUTED_VALUE"""),"TNMT2026-063")</f>
        <v>TNMT2026-063</v>
      </c>
      <c r="B64" s="4" t="str">
        <f>IFERROR(__xludf.DUMMYFUNCTION("""COMPUTED_VALUE"""),"Tài nguyên và Môi trường")</f>
        <v>Tài nguyên và Môi trường</v>
      </c>
      <c r="C64" s="4" t="str">
        <f>IFERROR(__xludf.DUMMYFUNCTION("""COMPUTED_VALUE"""),"Đánh giá hiện trạng sử dụng các giải pháp sinh học góp phần bảo vệ môi trường trong sản xuất chè tại xã Tân Cương, tỉnh Thái Nguyên.")</f>
        <v>Đánh giá hiện trạng sử dụng các giải pháp sinh học góp phần bảo vệ môi trường trong sản xuất chè tại xã Tân Cương, tỉnh Thái Nguyên.</v>
      </c>
      <c r="D64" s="4" t="str">
        <f>IFERROR(__xludf.DUMMYFUNCTION("""COMPUTED_VALUE"""),"Đặng Thị Ánh Lan; Ma Thị Duyên; Dương Thị Thu Huyền")</f>
        <v>Đặng Thị Ánh Lan; Ma Thị Duyên; Dương Thị Thu Huyền</v>
      </c>
      <c r="E64" s="4" t="str">
        <f>IFERROR(__xludf.DUMMYFUNCTION("""COMPUTED_VALUE"""),"Trường Đại học Khoa học, Đại học Thái Nguyên")</f>
        <v>Trường Đại học Khoa học, Đại học Thái Nguyên</v>
      </c>
      <c r="F64" s="4" t="str">
        <f>IFERROR(__xludf.DUMMYFUNCTION("""COMPUTED_VALUE"""),"TNMT2026-063.png")</f>
        <v>TNMT2026-063.png</v>
      </c>
    </row>
    <row r="65">
      <c r="A65" s="4" t="str">
        <f>IFERROR(__xludf.DUMMYFUNCTION("""COMPUTED_VALUE"""),"TNMT2026-064")</f>
        <v>TNMT2026-064</v>
      </c>
      <c r="B65" s="4" t="str">
        <f>IFERROR(__xludf.DUMMYFUNCTION("""COMPUTED_VALUE"""),"Tài nguyên và Môi trường")</f>
        <v>Tài nguyên và Môi trường</v>
      </c>
      <c r="C65" s="4" t="str">
        <f>IFERROR(__xludf.DUMMYFUNCTION("""COMPUTED_VALUE"""),"Tích hợp dữ liệu viễn thám đa nguồn trong giám sát sức khỏe môi trường tại Khu Dự trữ Sinh quyển Cần Giờ")</f>
        <v>Tích hợp dữ liệu viễn thám đa nguồn trong giám sát sức khỏe môi trường tại Khu Dự trữ Sinh quyển Cần Giờ</v>
      </c>
      <c r="D65" s="4" t="str">
        <f>IFERROR(__xludf.DUMMYFUNCTION("""COMPUTED_VALUE"""),"Dương Quốc Thịnh; Huỳnh Ngọc Thanh*")</f>
        <v>Dương Quốc Thịnh; Huỳnh Ngọc Thanh*</v>
      </c>
      <c r="E65" s="4" t="str">
        <f>IFERROR(__xludf.DUMMYFUNCTION("""COMPUTED_VALUE"""),"Trường Đại học Tài nguyên và Môi trường TP. Hồ Chí Minh; *Trường Đại học Khoa học Tự nhiên, ĐHQG-HCM")</f>
        <v>Trường Đại học Tài nguyên và Môi trường TP. Hồ Chí Minh; *Trường Đại học Khoa học Tự nhiên, ĐHQG-HCM</v>
      </c>
      <c r="F65" s="4" t="str">
        <f>IFERROR(__xludf.DUMMYFUNCTION("""COMPUTED_VALUE"""),"TNMT2026-064.png")</f>
        <v>TNMT2026-064.png</v>
      </c>
    </row>
    <row r="66">
      <c r="A66" s="4" t="str">
        <f>IFERROR(__xludf.DUMMYFUNCTION("""COMPUTED_VALUE"""),"TNMT2026-065")</f>
        <v>TNMT2026-065</v>
      </c>
      <c r="B66" s="4" t="str">
        <f>IFERROR(__xludf.DUMMYFUNCTION("""COMPUTED_VALUE"""),"Tài nguyên và Môi trường")</f>
        <v>Tài nguyên và Môi trường</v>
      </c>
      <c r="C66" s="4" t="str">
        <f>IFERROR(__xludf.DUMMYFUNCTION("""COMPUTED_VALUE"""),"GreenFill 3D - Tái Sinh Nhựa, kiến tạo tương lai bằng tái chế nhựa phế thải thành sợi in 3D thân thiện môi trường hướng đến phát triển bền vững trong bối cảnh 4.0")</f>
        <v>GreenFill 3D - Tái Sinh Nhựa, kiến tạo tương lai bằng tái chế nhựa phế thải thành sợi in 3D thân thiện môi trường hướng đến phát triển bền vững trong bối cảnh 4.0</v>
      </c>
      <c r="D66" s="4" t="str">
        <f>IFERROR(__xludf.DUMMYFUNCTION("""COMPUTED_VALUE"""),"Bạch Mỹ Dung; Võ Thị Bích Thuận; Phạm Thúy Bảo Trân; Đoàn Ngọc Kiều My; Ngô Như Ngọc")</f>
        <v>Bạch Mỹ Dung; Võ Thị Bích Thuận; Phạm Thúy Bảo Trân; Đoàn Ngọc Kiều My; Ngô Như Ngọc</v>
      </c>
      <c r="E66" s="4" t="str">
        <f>IFERROR(__xludf.DUMMYFUNCTION("""COMPUTED_VALUE"""),"Trường Đại học Tài nguyên và Môi trường TP. Hồ Chí Minh")</f>
        <v>Trường Đại học Tài nguyên và Môi trường TP. Hồ Chí Minh</v>
      </c>
      <c r="F66" s="4" t="str">
        <f>IFERROR(__xludf.DUMMYFUNCTION("""COMPUTED_VALUE"""),"TNMT2026-065.png")</f>
        <v>TNMT2026-065.png</v>
      </c>
    </row>
    <row r="67">
      <c r="A67" s="4" t="str">
        <f>IFERROR(__xludf.DUMMYFUNCTION("""COMPUTED_VALUE"""),"TNMT2026-066")</f>
        <v>TNMT2026-066</v>
      </c>
      <c r="B67" s="4" t="str">
        <f>IFERROR(__xludf.DUMMYFUNCTION("""COMPUTED_VALUE"""),"Tài nguyên và Môi trường")</f>
        <v>Tài nguyên và Môi trường</v>
      </c>
      <c r="C67" s="4" t="str">
        <f>IFERROR(__xludf.DUMMYFUNCTION("""COMPUTED_VALUE"""),"Nghiên cứu thực trạng và giáo dục nâng cao nhận thức của học sinh Trường Tiểu Học Đồng Bẩm trong việc hạn chế chất thải nhựa dùng 1 lần")</f>
        <v>Nghiên cứu thực trạng và giáo dục nâng cao nhận thức của học sinh Trường Tiểu Học Đồng Bẩm trong việc hạn chế chất thải nhựa dùng 1 lần</v>
      </c>
      <c r="D67" s="4" t="str">
        <f>IFERROR(__xludf.DUMMYFUNCTION("""COMPUTED_VALUE"""),"Ân Hoàng Thương")</f>
        <v>Ân Hoàng Thương</v>
      </c>
      <c r="E67" s="4" t="str">
        <f>IFERROR(__xludf.DUMMYFUNCTION("""COMPUTED_VALUE"""),"Trường Đại học Khoa học, Đại học Thái Nguyên")</f>
        <v>Trường Đại học Khoa học, Đại học Thái Nguyên</v>
      </c>
      <c r="F67" s="4" t="str">
        <f>IFERROR(__xludf.DUMMYFUNCTION("""COMPUTED_VALUE"""),"TNMT2026-066.png")</f>
        <v>TNMT2026-066.png</v>
      </c>
    </row>
    <row r="68">
      <c r="A68" s="4" t="str">
        <f>IFERROR(__xludf.DUMMYFUNCTION("""COMPUTED_VALUE"""),"TNMT2026-067")</f>
        <v>TNMT2026-067</v>
      </c>
      <c r="B68" s="4" t="str">
        <f>IFERROR(__xludf.DUMMYFUNCTION("""COMPUTED_VALUE"""),"Tài nguyên và Môi trường")</f>
        <v>Tài nguyên và Môi trường</v>
      </c>
      <c r="C68" s="4" t="str">
        <f>IFERROR(__xludf.DUMMYFUNCTION("""COMPUTED_VALUE"""),"Tổng hợp xanh các hạt nano ZnO sử dụng chiết xuất vỏ chôm chôm (Nephelium lappaceum L.) và đánh giá khả năng kháng vi sinh vật gây bệnh trên cây có múi")</f>
        <v>Tổng hợp xanh các hạt nano ZnO sử dụng chiết xuất vỏ chôm chôm (Nephelium lappaceum L.) và đánh giá khả năng kháng vi sinh vật gây bệnh trên cây có múi</v>
      </c>
      <c r="D68" s="4" t="str">
        <f>IFERROR(__xludf.DUMMYFUNCTION("""COMPUTED_VALUE"""),"Nguyễn Tấn Tiến; Phạm Thành Công")</f>
        <v>Nguyễn Tấn Tiến; Phạm Thành Công</v>
      </c>
      <c r="E68" s="4" t="str">
        <f>IFERROR(__xludf.DUMMYFUNCTION("""COMPUTED_VALUE"""),"Trường Đại học Nông Lâm TP. Hồ Chí Minh")</f>
        <v>Trường Đại học Nông Lâm TP. Hồ Chí Minh</v>
      </c>
      <c r="F68" s="4" t="str">
        <f>IFERROR(__xludf.DUMMYFUNCTION("""COMPUTED_VALUE"""),"TNMT2026-067.png")</f>
        <v>TNMT2026-067.png</v>
      </c>
    </row>
    <row r="69">
      <c r="A69" s="4" t="str">
        <f>IFERROR(__xludf.DUMMYFUNCTION("""COMPUTED_VALUE"""),"TNMT2026-068")</f>
        <v>TNMT2026-068</v>
      </c>
      <c r="B69" s="4" t="str">
        <f>IFERROR(__xludf.DUMMYFUNCTION("""COMPUTED_VALUE"""),"Tài nguyên và Môi trường")</f>
        <v>Tài nguyên và Môi trường</v>
      </c>
      <c r="C69" s="4" t="str">
        <f>IFERROR(__xludf.DUMMYFUNCTION("""COMPUTED_VALUE"""),"Nghiên cứu vật liệu composite nhựa tái chế và cốt xơ dừa ứng dụng làm bàn ghế học tập hướng đến phát triển bền vững")</f>
        <v>Nghiên cứu vật liệu composite nhựa tái chế và cốt xơ dừa ứng dụng làm bàn ghế học tập hướng đến phát triển bền vững</v>
      </c>
      <c r="D69" s="4" t="str">
        <f>IFERROR(__xludf.DUMMYFUNCTION("""COMPUTED_VALUE"""),"Hồ Lan Quyền")</f>
        <v>Hồ Lan Quyền</v>
      </c>
      <c r="E69" s="4" t="str">
        <f>IFERROR(__xludf.DUMMYFUNCTION("""COMPUTED_VALUE"""),"Trường Đại học Tài nguyên và Môi trường TP. Hồ Chí Minh")</f>
        <v>Trường Đại học Tài nguyên và Môi trường TP. Hồ Chí Minh</v>
      </c>
      <c r="F69" s="4" t="str">
        <f>IFERROR(__xludf.DUMMYFUNCTION("""COMPUTED_VALUE"""),"TNMT2026-068.png")</f>
        <v>TNMT2026-068.png</v>
      </c>
    </row>
    <row r="70">
      <c r="A70" s="4" t="str">
        <f>IFERROR(__xludf.DUMMYFUNCTION("""COMPUTED_VALUE"""),"TNMT2026-069")</f>
        <v>TNMT2026-069</v>
      </c>
      <c r="B70" s="4" t="str">
        <f>IFERROR(__xludf.DUMMYFUNCTION("""COMPUTED_VALUE"""),"Tài nguyên và Môi trường")</f>
        <v>Tài nguyên và Môi trường</v>
      </c>
      <c r="C70" s="4" t="str">
        <f>IFERROR(__xludf.DUMMYFUNCTION("""COMPUTED_VALUE"""),"Ước tính nồng độ PM2.5 sử dụng dữ liệu ảnh vệ tinh Himawari-9 kết hợp các mô hình học máy: Trường hợp nghiên cứu tại Thành phố Hồ Chí Minh")</f>
        <v>Ước tính nồng độ PM2.5 sử dụng dữ liệu ảnh vệ tinh Himawari-9 kết hợp các mô hình học máy: Trường hợp nghiên cứu tại Thành phố Hồ Chí Minh</v>
      </c>
      <c r="D70" s="4" t="str">
        <f>IFERROR(__xludf.DUMMYFUNCTION("""COMPUTED_VALUE"""),"Trầm Đặng Minh Sơn")</f>
        <v>Trầm Đặng Minh Sơn</v>
      </c>
      <c r="E70" s="4" t="str">
        <f>IFERROR(__xludf.DUMMYFUNCTION("""COMPUTED_VALUE"""),"Trường Đại học Khoa học Tự nhiên, ĐHQG-HCM")</f>
        <v>Trường Đại học Khoa học Tự nhiên, ĐHQG-HCM</v>
      </c>
      <c r="F70" s="4" t="str">
        <f>IFERROR(__xludf.DUMMYFUNCTION("""COMPUTED_VALUE"""),"TNMT2026-069.png")</f>
        <v>TNMT2026-069.png</v>
      </c>
    </row>
    <row r="71">
      <c r="A71" s="4" t="str">
        <f>IFERROR(__xludf.DUMMYFUNCTION("""COMPUTED_VALUE"""),"TNMT2026-070")</f>
        <v>TNMT2026-070</v>
      </c>
      <c r="B71" s="4" t="str">
        <f>IFERROR(__xludf.DUMMYFUNCTION("""COMPUTED_VALUE"""),"Tài nguyên và Môi trường")</f>
        <v>Tài nguyên và Môi trường</v>
      </c>
      <c r="C71" s="4" t="str">
        <f>IFERROR(__xludf.DUMMYFUNCTION("""COMPUTED_VALUE"""),"Thông điệp môi trường về ô nhiễm nguồn nước trong Anime Nhật Bản (Trường hợp hai tác phẩm: Spirited Away và Ponyo)")</f>
        <v>Thông điệp môi trường về ô nhiễm nguồn nước trong Anime Nhật Bản (Trường hợp hai tác phẩm: Spirited Away và Ponyo)</v>
      </c>
      <c r="D71" s="4" t="str">
        <f>IFERROR(__xludf.DUMMYFUNCTION("""COMPUTED_VALUE"""),"Lê Thị Thiên Ngân; Ninh Nguyễn Diệu Anh; Nguyễn Minh Phương; Nguyễn Ngọc Gia Hân; Nguyễn Đại Vĩ")</f>
        <v>Lê Thị Thiên Ngân; Ninh Nguyễn Diệu Anh; Nguyễn Minh Phương; Nguyễn Ngọc Gia Hân; Nguyễn Đại Vĩ</v>
      </c>
      <c r="E71" s="4" t="str">
        <f>IFERROR(__xludf.DUMMYFUNCTION("""COMPUTED_VALUE"""),"Trường Đại học Khoa học xã hội và Nhân văn, ĐHQG-HCM")</f>
        <v>Trường Đại học Khoa học xã hội và Nhân văn, ĐHQG-HCM</v>
      </c>
      <c r="F71" s="4" t="str">
        <f>IFERROR(__xludf.DUMMYFUNCTION("""COMPUTED_VALUE"""),"TNMT2026-070.png")</f>
        <v>TNMT2026-070.png</v>
      </c>
    </row>
    <row r="72">
      <c r="A72" s="4" t="str">
        <f>IFERROR(__xludf.DUMMYFUNCTION("""COMPUTED_VALUE"""),"TNMT2026-071")</f>
        <v>TNMT2026-071</v>
      </c>
      <c r="B72" s="4" t="str">
        <f>IFERROR(__xludf.DUMMYFUNCTION("""COMPUTED_VALUE"""),"Tài nguyên và Môi trường")</f>
        <v>Tài nguyên và Môi trường</v>
      </c>
      <c r="C72" s="4" t="str">
        <f>IFERROR(__xludf.DUMMYFUNCTION("""COMPUTED_VALUE"""),"Kiểm định sự hiện diện của vi nhựa trong cá basa và đánh giá nguy cơ phơi nhiễm đối với người tiêu dùng.")</f>
        <v>Kiểm định sự hiện diện của vi nhựa trong cá basa và đánh giá nguy cơ phơi nhiễm đối với người tiêu dùng.</v>
      </c>
      <c r="D72" s="4" t="str">
        <f>IFERROR(__xludf.DUMMYFUNCTION("""COMPUTED_VALUE"""),"Trần Hoàng Minh Tống; Tô Huỳnh Minh Thiện")</f>
        <v>Trần Hoàng Minh Tống; Tô Huỳnh Minh Thiện</v>
      </c>
      <c r="E72" s="4" t="str">
        <f>IFERROR(__xludf.DUMMYFUNCTION("""COMPUTED_VALUE"""),"Trường Đại học Khoa học xã hội và Nhân văn, ĐHQG-HCM")</f>
        <v>Trường Đại học Khoa học xã hội và Nhân văn, ĐHQG-HCM</v>
      </c>
      <c r="F72" s="4" t="str">
        <f>IFERROR(__xludf.DUMMYFUNCTION("""COMPUTED_VALUE"""),"TNMT2026-071.png")</f>
        <v>TNMT2026-071.png</v>
      </c>
    </row>
    <row r="73">
      <c r="A73" s="4" t="str">
        <f>IFERROR(__xludf.DUMMYFUNCTION("""COMPUTED_VALUE"""),"TNMT2026-072")</f>
        <v>TNMT2026-072</v>
      </c>
      <c r="B73" s="4" t="str">
        <f>IFERROR(__xludf.DUMMYFUNCTION("""COMPUTED_VALUE"""),"Tài nguyên và Môi trường")</f>
        <v>Tài nguyên và Môi trường</v>
      </c>
      <c r="C73" s="4" t="str">
        <f>IFERROR(__xludf.DUMMYFUNCTION("""COMPUTED_VALUE"""),"GREENWASHING VÀ SOCIAL WASHING TRONG NGÂN HÀNG THƯƠNG MẠI VIỆT NAM: BẰNG CHỨNG THỰC NGHIỆM BAN ĐẦU VỀ TÁC ĐỘNG ĐẾN HIỆU QUẢ TÀI CHÍNH")</f>
        <v>GREENWASHING VÀ SOCIAL WASHING TRONG NGÂN HÀNG THƯƠNG MẠI VIỆT NAM: BẰNG CHỨNG THỰC NGHIỆM BAN ĐẦU VỀ TÁC ĐỘNG ĐẾN HIỆU QUẢ TÀI CHÍNH</v>
      </c>
      <c r="D73" s="4" t="str">
        <f>IFERROR(__xludf.DUMMYFUNCTION("""COMPUTED_VALUE"""),"Trần Tuấn Long; Nguyễn Việt Chính; Dương Minh Duy; Nguyễn Văn Chung; Nguyễn Thế Minh")</f>
        <v>Trần Tuấn Long; Nguyễn Việt Chính; Dương Minh Duy; Nguyễn Văn Chung; Nguyễn Thế Minh</v>
      </c>
      <c r="E73" s="4" t="str">
        <f>IFERROR(__xludf.DUMMYFUNCTION("""COMPUTED_VALUE"""),"Học viện Ngân hàng")</f>
        <v>Học viện Ngân hàng</v>
      </c>
      <c r="F73" s="4" t="str">
        <f>IFERROR(__xludf.DUMMYFUNCTION("""COMPUTED_VALUE"""),"TNMT2026-072.png")</f>
        <v>TNMT2026-072.png</v>
      </c>
    </row>
    <row r="74">
      <c r="A74" s="4" t="str">
        <f>IFERROR(__xludf.DUMMYFUNCTION("""COMPUTED_VALUE"""),"TNMT2026-073")</f>
        <v>TNMT2026-073</v>
      </c>
      <c r="B74" s="4" t="str">
        <f>IFERROR(__xludf.DUMMYFUNCTION("""COMPUTED_VALUE"""),"Tài nguyên và Môi trường")</f>
        <v>Tài nguyên và Môi trường</v>
      </c>
      <c r="C74" s="4" t="str">
        <f>IFERROR(__xludf.DUMMYFUNCTION("""COMPUTED_VALUE"""),"Tác động của sở hữu nhà đầu tư tổ chức đến rủi ro giả xanh trong công bố thông tin: Bằng chứng thực nghiệm từ các doanh nghiệp niêm yết Việt Nam")</f>
        <v>Tác động của sở hữu nhà đầu tư tổ chức đến rủi ro giả xanh trong công bố thông tin: Bằng chứng thực nghiệm từ các doanh nghiệp niêm yết Việt Nam</v>
      </c>
      <c r="D74" s="4" t="str">
        <f>IFERROR(__xludf.DUMMYFUNCTION("""COMPUTED_VALUE"""),"Trần Hoàng Nga; Trần Khánh Ly; Nguyễn Thị Bích Huệ; Nguyễn Thuỳ Trang; Hồ Minh Châu")</f>
        <v>Trần Hoàng Nga; Trần Khánh Ly; Nguyễn Thị Bích Huệ; Nguyễn Thuỳ Trang; Hồ Minh Châu</v>
      </c>
      <c r="E74" s="4" t="str">
        <f>IFERROR(__xludf.DUMMYFUNCTION("""COMPUTED_VALUE"""),"Học viện Ngân hàng")</f>
        <v>Học viện Ngân hàng</v>
      </c>
      <c r="F74" s="4" t="str">
        <f>IFERROR(__xludf.DUMMYFUNCTION("""COMPUTED_VALUE"""),"TNMT2026-073.png")</f>
        <v>TNMT2026-073.png</v>
      </c>
    </row>
    <row r="75">
      <c r="A75" s="4" t="str">
        <f>IFERROR(__xludf.DUMMYFUNCTION("""COMPUTED_VALUE"""),"TNMT2026-074")</f>
        <v>TNMT2026-074</v>
      </c>
      <c r="B75" s="4" t="str">
        <f>IFERROR(__xludf.DUMMYFUNCTION("""COMPUTED_VALUE"""),"Tài nguyên và Môi trường")</f>
        <v>Tài nguyên và Môi trường</v>
      </c>
      <c r="C75" s="4" t="str">
        <f>IFERROR(__xludf.DUMMYFUNCTION("""COMPUTED_VALUE"""),"Tác động của thương mại điện tử xuyên biên giới tới hiệu quả môi trường")</f>
        <v>Tác động của thương mại điện tử xuyên biên giới tới hiệu quả môi trường</v>
      </c>
      <c r="D75" s="4" t="str">
        <f>IFERROR(__xludf.DUMMYFUNCTION("""COMPUTED_VALUE"""),"Phạm Phương Anh; Bùi Thị Vân Anh; Trần Thị Anh Thơ; Phan Lê Khanh; Phạm Huyền Diệu")</f>
        <v>Phạm Phương Anh; Bùi Thị Vân Anh; Trần Thị Anh Thơ; Phan Lê Khanh; Phạm Huyền Diệu</v>
      </c>
      <c r="E75" s="4" t="str">
        <f>IFERROR(__xludf.DUMMYFUNCTION("""COMPUTED_VALUE"""),"Học viện Ngân hàng")</f>
        <v>Học viện Ngân hàng</v>
      </c>
      <c r="F75" s="4" t="str">
        <f>IFERROR(__xludf.DUMMYFUNCTION("""COMPUTED_VALUE"""),"TNMT2026-074.png")</f>
        <v>TNMT2026-074.png</v>
      </c>
    </row>
    <row r="76">
      <c r="A76" s="4" t="str">
        <f>IFERROR(__xludf.DUMMYFUNCTION("""COMPUTED_VALUE"""),"TNMT2026-075")</f>
        <v>TNMT2026-075</v>
      </c>
      <c r="B76" s="4" t="str">
        <f>IFERROR(__xludf.DUMMYFUNCTION("""COMPUTED_VALUE"""),"Tài nguyên và Môi trường")</f>
        <v>Tài nguyên và Môi trường</v>
      </c>
      <c r="C76" s="4" t="str">
        <f>IFERROR(__xludf.DUMMYFUNCTION("""COMPUTED_VALUE"""),"Digital and Green Transition Toward Net-Zero Logistics: AI- Driven Capability and Green Innovation Strategy for Resilient, Ambidextrous Supply Chains and Sustainable Performance Under Environmental Uncertainty")</f>
        <v>Digital and Green Transition Toward Net-Zero Logistics: AI- Driven Capability and Green Innovation Strategy for Resilient, Ambidextrous Supply Chains and Sustainable Performance Under Environmental Uncertainty</v>
      </c>
      <c r="D76" s="4" t="str">
        <f>IFERROR(__xludf.DUMMYFUNCTION("""COMPUTED_VALUE"""),"Nguyễn Tiến Đạt; Nguyễn Hương Giang; Phạm Phương Thảo")</f>
        <v>Nguyễn Tiến Đạt; Nguyễn Hương Giang; Phạm Phương Thảo</v>
      </c>
      <c r="E76" s="4" t="str">
        <f>IFERROR(__xludf.DUMMYFUNCTION("""COMPUTED_VALUE"""),"Học viện Ngân hàng")</f>
        <v>Học viện Ngân hàng</v>
      </c>
      <c r="F76" s="4" t="str">
        <f>IFERROR(__xludf.DUMMYFUNCTION("""COMPUTED_VALUE"""),"TNMT2026-075.png")</f>
        <v>TNMT2026-075.png</v>
      </c>
    </row>
    <row r="77">
      <c r="A77" s="4" t="str">
        <f>IFERROR(__xludf.DUMMYFUNCTION("""COMPUTED_VALUE"""),"TNMT2026-076")</f>
        <v>TNMT2026-076</v>
      </c>
      <c r="B77" s="4" t="str">
        <f>IFERROR(__xludf.DUMMYFUNCTION("""COMPUTED_VALUE"""),"Tài nguyên và Môi trường")</f>
        <v>Tài nguyên và Môi trường</v>
      </c>
      <c r="C77" s="4" t="str">
        <f>IFERROR(__xludf.DUMMYFUNCTION("""COMPUTED_VALUE"""),"Từ Xe Xăng Đến Xe Xanh: Tác Động Của Hiệu Ứng Chính Sách Đến Công Bằng Môi Trường Và Phát Thải Không Khí")</f>
        <v>Từ Xe Xăng Đến Xe Xanh: Tác Động Của Hiệu Ứng Chính Sách Đến Công Bằng Môi Trường Và Phát Thải Không Khí</v>
      </c>
      <c r="D77" s="4" t="str">
        <f>IFERROR(__xludf.DUMMYFUNCTION("""COMPUTED_VALUE"""),"Bùi Thị Quỳnh; Phạm Thị Hoài Thu; Tô Thảo Nguyên; Nguyễn Thị Minh Ngọc; Nguyễn Thị Hải Yến")</f>
        <v>Bùi Thị Quỳnh; Phạm Thị Hoài Thu; Tô Thảo Nguyên; Nguyễn Thị Minh Ngọc; Nguyễn Thị Hải Yến</v>
      </c>
      <c r="E77" s="4" t="str">
        <f>IFERROR(__xludf.DUMMYFUNCTION("""COMPUTED_VALUE"""),"Học viện Ngân hàng")</f>
        <v>Học viện Ngân hàng</v>
      </c>
      <c r="F77" s="4" t="str">
        <f>IFERROR(__xludf.DUMMYFUNCTION("""COMPUTED_VALUE"""),"TNMT2026-076.png")</f>
        <v>TNMT2026-076.png</v>
      </c>
    </row>
    <row r="78">
      <c r="A78" s="4" t="str">
        <f>IFERROR(__xludf.DUMMYFUNCTION("""COMPUTED_VALUE"""),"TNMT2026-077")</f>
        <v>TNMT2026-077</v>
      </c>
      <c r="B78" s="4" t="str">
        <f>IFERROR(__xludf.DUMMYFUNCTION("""COMPUTED_VALUE"""),"Tài nguyên và Môi trường")</f>
        <v>Tài nguyên và Môi trường</v>
      </c>
      <c r="C78" s="4" t="str">
        <f>IFERROR(__xludf.DUMMYFUNCTION("""COMPUTED_VALUE"""),"Hạch toán carbon tại doanh nghiệp sản xuất Việt Nam: Phân tích mức độ ưu tiên và quan hệ nhân quả của các rào cản trong triển khai kiểm kê khí nhà kính phục vụ quản lý môi trường")</f>
        <v>Hạch toán carbon tại doanh nghiệp sản xuất Việt Nam: Phân tích mức độ ưu tiên và quan hệ nhân quả của các rào cản trong triển khai kiểm kê khí nhà kính phục vụ quản lý môi trường</v>
      </c>
      <c r="D78" s="4" t="str">
        <f>IFERROR(__xludf.DUMMYFUNCTION("""COMPUTED_VALUE"""),"Nguyễn Vũ Huy Hoàng; Hoàng Thị Anh Thư; Dư Thị Khánh Hòa; Bùi Thế Mạnh")</f>
        <v>Nguyễn Vũ Huy Hoàng; Hoàng Thị Anh Thư; Dư Thị Khánh Hòa; Bùi Thế Mạnh</v>
      </c>
      <c r="E78" s="4" t="str">
        <f>IFERROR(__xludf.DUMMYFUNCTION("""COMPUTED_VALUE"""),"Trường Kinh tế, Đại học Bách khoa Hà Nội")</f>
        <v>Trường Kinh tế, Đại học Bách khoa Hà Nội</v>
      </c>
      <c r="F78" s="4" t="str">
        <f>IFERROR(__xludf.DUMMYFUNCTION("""COMPUTED_VALUE"""),"TNMT2026-077.png")</f>
        <v>TNMT2026-077.png</v>
      </c>
    </row>
    <row r="79">
      <c r="A79" s="4" t="str">
        <f>IFERROR(__xludf.DUMMYFUNCTION("""COMPUTED_VALUE"""),"TNMT2026-078")</f>
        <v>TNMT2026-078</v>
      </c>
      <c r="B79" s="4" t="str">
        <f>IFERROR(__xludf.DUMMYFUNCTION("""COMPUTED_VALUE"""),"Tài nguyên và Môi trường")</f>
        <v>Tài nguyên và Môi trường</v>
      </c>
      <c r="C79" s="4" t="str">
        <f>IFERROR(__xludf.DUMMYFUNCTION("""COMPUTED_VALUE"""),"Đánh giá phơi nhiễm radon đa môi trường và rủi ro sức khỏe đối với cộng đồng dân cư quanh mỏ đá Cam Lộc, tỉnh Khánh Hòa")</f>
        <v>Đánh giá phơi nhiễm radon đa môi trường và rủi ro sức khỏe đối với cộng đồng dân cư quanh mỏ đá Cam Lộc, tỉnh Khánh Hòa</v>
      </c>
      <c r="D79" s="4" t="str">
        <f>IFERROR(__xludf.DUMMYFUNCTION("""COMPUTED_VALUE"""),"Trương Đình Duy; Nguyễn Gia Vinh Hiển; Trần Gia Kiệt; Vũ Trúc Như")</f>
        <v>Trương Đình Duy; Nguyễn Gia Vinh Hiển; Trần Gia Kiệt; Vũ Trúc Như</v>
      </c>
      <c r="E79" s="4" t="str">
        <f>IFERROR(__xludf.DUMMYFUNCTION("""COMPUTED_VALUE"""),"Trường Đại học Khoa học Tự nhiên, ĐHQG-HCM")</f>
        <v>Trường Đại học Khoa học Tự nhiên, ĐHQG-HCM</v>
      </c>
      <c r="F79" s="4" t="str">
        <f>IFERROR(__xludf.DUMMYFUNCTION("""COMPUTED_VALUE"""),"TNMT2026-078.png")</f>
        <v>TNMT2026-078.png</v>
      </c>
    </row>
    <row r="80">
      <c r="A80" s="4" t="str">
        <f>IFERROR(__xludf.DUMMYFUNCTION("""COMPUTED_VALUE"""),"TNMT2026-079")</f>
        <v>TNMT2026-079</v>
      </c>
      <c r="B80" s="4" t="str">
        <f>IFERROR(__xludf.DUMMYFUNCTION("""COMPUTED_VALUE"""),"Tài nguyên và Môi trường")</f>
        <v>Tài nguyên và Môi trường</v>
      </c>
      <c r="C80" s="4" t="str">
        <f>IFERROR(__xludf.DUMMYFUNCTION("""COMPUTED_VALUE"""),"NGHIÊN CỨU TỔNG HỢP HYDROXYAPATITE TỪ VỎ TRỨNG CÚT ĐỂ XỬ LÝ Ô NHIỄM ARSEN TRONG NƯỚC NGẦM")</f>
        <v>NGHIÊN CỨU TỔNG HỢP HYDROXYAPATITE TỪ VỎ TRỨNG CÚT ĐỂ XỬ LÝ Ô NHIỄM ARSEN TRONG NƯỚC NGẦM</v>
      </c>
      <c r="D80" s="4" t="str">
        <f>IFERROR(__xludf.DUMMYFUNCTION("""COMPUTED_VALUE"""),"Nguyễn Duy Khang; Huỳnh Ngọc Lâm; Đặng Quốc Bảo")</f>
        <v>Nguyễn Duy Khang; Huỳnh Ngọc Lâm; Đặng Quốc Bảo</v>
      </c>
      <c r="E80" s="4" t="str">
        <f>IFERROR(__xludf.DUMMYFUNCTION("""COMPUTED_VALUE"""),"Trường Đại học Bách Khoa, ĐHQG-HCM")</f>
        <v>Trường Đại học Bách Khoa, ĐHQG-HCM</v>
      </c>
      <c r="F80" s="4" t="str">
        <f>IFERROR(__xludf.DUMMYFUNCTION("""COMPUTED_VALUE"""),"TNMT2026-079.png")</f>
        <v>TNMT2026-079.png</v>
      </c>
    </row>
    <row r="81">
      <c r="A81" s="4" t="str">
        <f>IFERROR(__xludf.DUMMYFUNCTION("""COMPUTED_VALUE"""),"TNMT2026-080")</f>
        <v>TNMT2026-080</v>
      </c>
      <c r="B81" s="4" t="str">
        <f>IFERROR(__xludf.DUMMYFUNCTION("""COMPUTED_VALUE"""),"Tài nguyên và Môi trường")</f>
        <v>Tài nguyên và Môi trường</v>
      </c>
      <c r="C81" s="4" t="str">
        <f>IFERROR(__xludf.DUMMYFUNCTION("""COMPUTED_VALUE"""),"Ứng dụng trí tuệ nhân tạo (AI) trong nghiên cứu đa dạng loài chim và xây dựng chatbot AI phục vụ giáo dục đa dạng sinh học tại hệ sinh thái đất ngập nước Hồ Sông Đầm, thành phố Đà Nẵng.")</f>
        <v>Ứng dụng trí tuệ nhân tạo (AI) trong nghiên cứu đa dạng loài chim và xây dựng chatbot AI phục vụ giáo dục đa dạng sinh học tại hệ sinh thái đất ngập nước Hồ Sông Đầm, thành phố Đà Nẵng.</v>
      </c>
      <c r="D81" s="4" t="str">
        <f>IFERROR(__xludf.DUMMYFUNCTION("""COMPUTED_VALUE"""),"Chanthaphone Kittilat; Nguyễn Phương Quỳnh Mai; Lê Trường Bảo; Hiên Thị Nhật Ánh; Trương Hồng Anh")</f>
        <v>Chanthaphone Kittilat; Nguyễn Phương Quỳnh Mai; Lê Trường Bảo; Hiên Thị Nhật Ánh; Trương Hồng Anh</v>
      </c>
      <c r="E81" s="4" t="str">
        <f>IFERROR(__xludf.DUMMYFUNCTION("""COMPUTED_VALUE"""),"Trường Đại học Quảng Nam")</f>
        <v>Trường Đại học Quảng Nam</v>
      </c>
      <c r="F81" s="4" t="str">
        <f>IFERROR(__xludf.DUMMYFUNCTION("""COMPUTED_VALUE"""),"TNMT2026-080.png")</f>
        <v>TNMT2026-080.png</v>
      </c>
    </row>
    <row r="82">
      <c r="A82" s="4" t="str">
        <f>IFERROR(__xludf.DUMMYFUNCTION("""COMPUTED_VALUE"""),"TNMT2026-081")</f>
        <v>TNMT2026-081</v>
      </c>
      <c r="B82" s="4" t="str">
        <f>IFERROR(__xludf.DUMMYFUNCTION("""COMPUTED_VALUE"""),"Tài nguyên và Môi trường")</f>
        <v>Tài nguyên và Môi trường</v>
      </c>
      <c r="C82" s="4" t="str">
        <f>IFERROR(__xludf.DUMMYFUNCTION("""COMPUTED_VALUE"""),"Định lượng piperin trong cao vỏ quả tiêu bằng phương pháp quang phổ UV-Vis: xây dựng và thẩm định quy trình phân tích")</f>
        <v>Định lượng piperin trong cao vỏ quả tiêu bằng phương pháp quang phổ UV-Vis: xây dựng và thẩm định quy trình phân tích</v>
      </c>
      <c r="D82" s="4" t="str">
        <f>IFERROR(__xludf.DUMMYFUNCTION("""COMPUTED_VALUE"""),"Ngô Thị Thu Hà; Nguyễn Kim Ngọc; Lương Thị Kim Anh; Đặng Nguyễn Trúc Vy; Nguyễn Văn Thuận")</f>
        <v>Ngô Thị Thu Hà; Nguyễn Kim Ngọc; Lương Thị Kim Anh; Đặng Nguyễn Trúc Vy; Nguyễn Văn Thuận</v>
      </c>
      <c r="E82" s="4" t="str">
        <f>IFERROR(__xludf.DUMMYFUNCTION("""COMPUTED_VALUE"""),"Trường Đại học Nguyễn Tất Thành")</f>
        <v>Trường Đại học Nguyễn Tất Thành</v>
      </c>
      <c r="F82" s="4" t="str">
        <f>IFERROR(__xludf.DUMMYFUNCTION("""COMPUTED_VALUE"""),"TNMT2026-081.png")</f>
        <v>TNMT2026-081.png</v>
      </c>
    </row>
    <row r="83">
      <c r="A83" s="4" t="str">
        <f>IFERROR(__xludf.DUMMYFUNCTION("""COMPUTED_VALUE"""),"TNMT2026-082")</f>
        <v>TNMT2026-082</v>
      </c>
      <c r="B83" s="4" t="str">
        <f>IFERROR(__xludf.DUMMYFUNCTION("""COMPUTED_VALUE"""),"Tài nguyên và Môi trường")</f>
        <v>Tài nguyên và Môi trường</v>
      </c>
      <c r="C83" s="4" t="str">
        <f>IFERROR(__xludf.DUMMYFUNCTION("""COMPUTED_VALUE"""),"NGHIÊN CỨU ĐẶC ĐIỂM THỰC VẬT VÀ TIỀM NĂNG HOẠT TÍNH SINH HỌC CỦA CÂY THỒM LỒM GAI (POLYGONUM PERFOLIATUM L.), HỌ POLYGONACEAE")</f>
        <v>NGHIÊN CỨU ĐẶC ĐIỂM THỰC VẬT VÀ TIỀM NĂNG HOẠT TÍNH SINH HỌC CỦA CÂY THỒM LỒM GAI (POLYGONUM PERFOLIATUM L.), HỌ POLYGONACEAE</v>
      </c>
      <c r="D83" s="4" t="str">
        <f>IFERROR(__xludf.DUMMYFUNCTION("""COMPUTED_VALUE"""),"Huỳnh Ngọc Mỹ Duyên; Nguyễn Thị Ánh Dương; Vũ Phương Nhi")</f>
        <v>Huỳnh Ngọc Mỹ Duyên; Nguyễn Thị Ánh Dương; Vũ Phương Nhi</v>
      </c>
      <c r="E83" s="4" t="str">
        <f>IFERROR(__xludf.DUMMYFUNCTION("""COMPUTED_VALUE"""),"Trường Đại học Nguyễn Tất Thành")</f>
        <v>Trường Đại học Nguyễn Tất Thành</v>
      </c>
      <c r="F83" s="4" t="str">
        <f>IFERROR(__xludf.DUMMYFUNCTION("""COMPUTED_VALUE"""),"TNMT2026-082.png")</f>
        <v>TNMT2026-082.png</v>
      </c>
    </row>
    <row r="84">
      <c r="A84" s="4" t="str">
        <f>IFERROR(__xludf.DUMMYFUNCTION("""COMPUTED_VALUE"""),"TNMT2026-083")</f>
        <v>TNMT2026-083</v>
      </c>
      <c r="B84" s="4" t="str">
        <f>IFERROR(__xludf.DUMMYFUNCTION("""COMPUTED_VALUE"""),"Tài nguyên và Môi trường")</f>
        <v>Tài nguyên và Môi trường</v>
      </c>
      <c r="C84" s="4" t="str">
        <f>IFERROR(__xludf.DUMMYFUNCTION("""COMPUTED_VALUE"""),"Nghiên cứu tiềm năng khai thác dược liệu ngó sen (Nelumbo nucifera gaertn.) hướng đến phát triển sản phẩm cầm máu và bảo vệ dạ dày từ nguồn tài nguyên thực vật bản địa")</f>
        <v>Nghiên cứu tiềm năng khai thác dược liệu ngó sen (Nelumbo nucifera gaertn.) hướng đến phát triển sản phẩm cầm máu và bảo vệ dạ dày từ nguồn tài nguyên thực vật bản địa</v>
      </c>
      <c r="D84" s="4" t="str">
        <f>IFERROR(__xludf.DUMMYFUNCTION("""COMPUTED_VALUE"""),"Trương Thịnh Minh Quang; Hồ Bội Ngân; Lê Thị Minh Hương")</f>
        <v>Trương Thịnh Minh Quang; Hồ Bội Ngân; Lê Thị Minh Hương</v>
      </c>
      <c r="E84" s="4" t="str">
        <f>IFERROR(__xludf.DUMMYFUNCTION("""COMPUTED_VALUE"""),"Trường Đại học Nguyễn Tất Thành")</f>
        <v>Trường Đại học Nguyễn Tất Thành</v>
      </c>
      <c r="F84" s="4" t="str">
        <f>IFERROR(__xludf.DUMMYFUNCTION("""COMPUTED_VALUE"""),"TNMT2026-083.png")</f>
        <v>TNMT2026-083.png</v>
      </c>
    </row>
    <row r="85">
      <c r="A85" s="4" t="str">
        <f>IFERROR(__xludf.DUMMYFUNCTION("""COMPUTED_VALUE"""),"TNMT2026-084")</f>
        <v>TNMT2026-084</v>
      </c>
      <c r="B85" s="4" t="str">
        <f>IFERROR(__xludf.DUMMYFUNCTION("""COMPUTED_VALUE"""),"Tài nguyên và Môi trường")</f>
        <v>Tài nguyên và Môi trường</v>
      </c>
      <c r="C85" s="4" t="str">
        <f>IFERROR(__xludf.DUMMYFUNCTION("""COMPUTED_VALUE"""),"RỦI RO ĐỊA CHÍNH TRỊ VÀ THỊ TRƯỜNG DẦU THÔ VIỆT NAM: BẰNG CHỨNG THỰC NGHIỆM TỪ CHỈ SỐ GPR")</f>
        <v>RỦI RO ĐỊA CHÍNH TRỊ VÀ THỊ TRƯỜNG DẦU THÔ VIỆT NAM: BẰNG CHỨNG THỰC NGHIỆM TỪ CHỈ SỐ GPR</v>
      </c>
      <c r="D85" s="4" t="str">
        <f>IFERROR(__xludf.DUMMYFUNCTION("""COMPUTED_VALUE"""),"Nguyễn Duy Khánh; Nguyễn Ngọc Linh; Lê Thị Lan Anh; Phan Thị Quỳnh Anh; Đỗ Đức Anh")</f>
        <v>Nguyễn Duy Khánh; Nguyễn Ngọc Linh; Lê Thị Lan Anh; Phan Thị Quỳnh Anh; Đỗ Đức Anh</v>
      </c>
      <c r="E85" s="4" t="str">
        <f>IFERROR(__xludf.DUMMYFUNCTION("""COMPUTED_VALUE"""),"Đại học Kinh tế Quốc dân")</f>
        <v>Đại học Kinh tế Quốc dân</v>
      </c>
      <c r="F85" s="4" t="str">
        <f>IFERROR(__xludf.DUMMYFUNCTION("""COMPUTED_VALUE"""),"TNMT2026-084.png")</f>
        <v>TNMT2026-084.png</v>
      </c>
    </row>
    <row r="86">
      <c r="A86" s="4" t="str">
        <f>IFERROR(__xludf.DUMMYFUNCTION("""COMPUTED_VALUE"""),"TNMT2026-085")</f>
        <v>TNMT2026-085</v>
      </c>
      <c r="B86" s="4" t="str">
        <f>IFERROR(__xludf.DUMMYFUNCTION("""COMPUTED_VALUE"""),"Tài nguyên và Môi trường")</f>
        <v>Tài nguyên và Môi trường</v>
      </c>
      <c r="C86" s="4" t="str">
        <f>IFERROR(__xludf.DUMMYFUNCTION("""COMPUTED_VALUE"""),"RỦI RO NGUỒN NƯỚC VÀ CÁC KẾT QUẢ KINH TẾ TRONG SẢN XUẤT CÀ PHÊ TẠI ĐẮK LẮK: TỪ BẰNG CHỨNG THỰC NGHIỆM ĐẾN NỀN TẢNG TƯƠNG TÁC HỖ TRỢ KHAI THÁC BẰNG CHỨNG PHỤC VỤ QUẢN LÝ")</f>
        <v>RỦI RO NGUỒN NƯỚC VÀ CÁC KẾT QUẢ KINH TẾ TRONG SẢN XUẤT CÀ PHÊ TẠI ĐẮK LẮK: TỪ BẰNG CHỨNG THỰC NGHIỆM ĐẾN NỀN TẢNG TƯƠNG TÁC HỖ TRỢ KHAI THÁC BẰNG CHỨNG PHỤC VỤ QUẢN LÝ</v>
      </c>
      <c r="D86" s="4" t="str">
        <f>IFERROR(__xludf.DUMMYFUNCTION("""COMPUTED_VALUE"""),"Nguyễn Hoàng Minh Phương; Nguyễn Khánh An; Nguyễn Thị Kiều Sa")</f>
        <v>Nguyễn Hoàng Minh Phương; Nguyễn Khánh An; Nguyễn Thị Kiều Sa</v>
      </c>
      <c r="E86" s="4" t="str">
        <f>IFERROR(__xludf.DUMMYFUNCTION("""COMPUTED_VALUE"""),"Đại học Kinh tế TP. Hồ Chí Minh")</f>
        <v>Đại học Kinh tế TP. Hồ Chí Minh</v>
      </c>
      <c r="F86" s="4" t="str">
        <f>IFERROR(__xludf.DUMMYFUNCTION("""COMPUTED_VALUE"""),"TNMT2026-085.png")</f>
        <v>TNMT2026-085.png</v>
      </c>
    </row>
    <row r="87">
      <c r="A87" s="4" t="str">
        <f>IFERROR(__xludf.DUMMYFUNCTION("""COMPUTED_VALUE"""),"TNMT2026-086")</f>
        <v>TNMT2026-086</v>
      </c>
      <c r="B87" s="4" t="str">
        <f>IFERROR(__xludf.DUMMYFUNCTION("""COMPUTED_VALUE"""),"Tài nguyên và Môi trường")</f>
        <v>Tài nguyên và Môi trường</v>
      </c>
      <c r="C87" s="4" t="str">
        <f>IFERROR(__xludf.DUMMYFUNCTION("""COMPUTED_VALUE"""),"EMBODIED RESOURCE RENT: TRACING NATURAL RESOURCE RENTS TO FINAL DEMAND IN GLOBAL VALUE CHAINS")</f>
        <v>EMBODIED RESOURCE RENT: TRACING NATURAL RESOURCE RENTS TO FINAL DEMAND IN GLOBAL VALUE CHAINS</v>
      </c>
      <c r="D87" s="4" t="str">
        <f>IFERROR(__xludf.DUMMYFUNCTION("""COMPUTED_VALUE"""),"Hồ Xuân Bách; Huỳnh Hồ Lan Anh; Nguyễn Hải An")</f>
        <v>Hồ Xuân Bách; Huỳnh Hồ Lan Anh; Nguyễn Hải An</v>
      </c>
      <c r="E87" s="4" t="str">
        <f>IFERROR(__xludf.DUMMYFUNCTION("""COMPUTED_VALUE"""),"Đại học Kinh tế TP. Hồ Chí Minh")</f>
        <v>Đại học Kinh tế TP. Hồ Chí Minh</v>
      </c>
      <c r="F87" s="4" t="str">
        <f>IFERROR(__xludf.DUMMYFUNCTION("""COMPUTED_VALUE"""),"TNMT2026-086.png")</f>
        <v>TNMT2026-086.png</v>
      </c>
    </row>
    <row r="88">
      <c r="A88" s="4" t="str">
        <f>IFERROR(__xludf.DUMMYFUNCTION("""COMPUTED_VALUE"""),"TNMT2026-087")</f>
        <v>TNMT2026-087</v>
      </c>
      <c r="B88" s="4" t="str">
        <f>IFERROR(__xludf.DUMMYFUNCTION("""COMPUTED_VALUE"""),"Tài nguyên và Môi trường")</f>
        <v>Tài nguyên và Môi trường</v>
      </c>
      <c r="C88" s="4" t="str">
        <f>IFERROR(__xludf.DUMMYFUNCTION("""COMPUTED_VALUE"""),"ĐÁNH GIÁ TIỀN KHẢ THI CƠ CHẾ PHÂN BỔ – CHUYỂN GIAO HẠN NGẠCH NƯỚC TƯỚI DỰA TRÊN DỮ LIỆU SỐ: NGHIÊN CỨU TẠI XÃ MỸ SƠN, TỈNH KHÁNH HÒA")</f>
        <v>ĐÁNH GIÁ TIỀN KHẢ THI CƠ CHẾ PHÂN BỔ – CHUYỂN GIAO HẠN NGẠCH NƯỚC TƯỚI DỰA TRÊN DỮ LIỆU SỐ: NGHIÊN CỨU TẠI XÃ MỸ SƠN, TỈNH KHÁNH HÒA</v>
      </c>
      <c r="D88" s="4" t="str">
        <f>IFERROR(__xludf.DUMMYFUNCTION("""COMPUTED_VALUE"""),"Nguyễn Đình Khánh")</f>
        <v>Nguyễn Đình Khánh</v>
      </c>
      <c r="E88" s="4" t="str">
        <f>IFERROR(__xludf.DUMMYFUNCTION("""COMPUTED_VALUE"""),"Trường Đại học Yersin Đà Lạt")</f>
        <v>Trường Đại học Yersin Đà Lạt</v>
      </c>
      <c r="F88" s="4" t="str">
        <f>IFERROR(__xludf.DUMMYFUNCTION("""COMPUTED_VALUE"""),"TNMT2026-087.png")</f>
        <v>TNMT2026-087.png</v>
      </c>
    </row>
    <row r="89">
      <c r="A89" s="4" t="str">
        <f>IFERROR(__xludf.DUMMYFUNCTION("""COMPUTED_VALUE"""),"TNMT2026-088")</f>
        <v>TNMT2026-088</v>
      </c>
      <c r="B89" s="4" t="str">
        <f>IFERROR(__xludf.DUMMYFUNCTION("""COMPUTED_VALUE"""),"Tài nguyên và Môi trường")</f>
        <v>Tài nguyên và Môi trường</v>
      </c>
      <c r="C89" s="4" t="str">
        <f>IFERROR(__xludf.DUMMYFUNCTION("""COMPUTED_VALUE"""),"Đặc điểm địa chất, chất lượng cao lanh Lộc Châu và đặc tính kĩ thuật ứng dụng trong gốm sứ")</f>
        <v>Đặc điểm địa chất, chất lượng cao lanh Lộc Châu và đặc tính kĩ thuật ứng dụng trong gốm sứ</v>
      </c>
      <c r="D89" s="4" t="str">
        <f>IFERROR(__xludf.DUMMYFUNCTION("""COMPUTED_VALUE"""),"Nguyễn Ngọc Huy")</f>
        <v>Nguyễn Ngọc Huy</v>
      </c>
      <c r="E89" s="4" t="str">
        <f>IFERROR(__xludf.DUMMYFUNCTION("""COMPUTED_VALUE"""),"Trường Đại học Khoa học Tự nhiên, ĐHQG-HCM")</f>
        <v>Trường Đại học Khoa học Tự nhiên, ĐHQG-HCM</v>
      </c>
      <c r="F89" s="4" t="str">
        <f>IFERROR(__xludf.DUMMYFUNCTION("""COMPUTED_VALUE"""),"TNMT2026-088.png")</f>
        <v>TNMT2026-088.png</v>
      </c>
    </row>
    <row r="90">
      <c r="A90" s="4" t="str">
        <f>IFERROR(__xludf.DUMMYFUNCTION("""COMPUTED_VALUE"""),"TNMT2026-089")</f>
        <v>TNMT2026-089</v>
      </c>
      <c r="B90" s="4" t="str">
        <f>IFERROR(__xludf.DUMMYFUNCTION("""COMPUTED_VALUE"""),"Tài nguyên và Môi trường")</f>
        <v>Tài nguyên và Môi trường</v>
      </c>
      <c r="C90" s="4" t="str">
        <f>IFERROR(__xludf.DUMMYFUNCTION("""COMPUTED_VALUE"""),"Nghiên cứu nhuộm vải bông bằng dịch chiết kết hợp từ tô mộc, nghệ vàng và hoa đậu biếc")</f>
        <v>Nghiên cứu nhuộm vải bông bằng dịch chiết kết hợp từ tô mộc, nghệ vàng và hoa đậu biếc</v>
      </c>
      <c r="D90" s="4" t="str">
        <f>IFERROR(__xludf.DUMMYFUNCTION("""COMPUTED_VALUE"""),"Huỳnh Minh Châu; Phạm Vũ Quỳnh Như")</f>
        <v>Huỳnh Minh Châu; Phạm Vũ Quỳnh Như</v>
      </c>
      <c r="E90" s="4" t="str">
        <f>IFERROR(__xludf.DUMMYFUNCTION("""COMPUTED_VALUE"""),"Trường Đại học Công nghệ Kỹ thuật TP. Hồ Chí Minh")</f>
        <v>Trường Đại học Công nghệ Kỹ thuật TP. Hồ Chí Minh</v>
      </c>
      <c r="F90" s="4" t="str">
        <f>IFERROR(__xludf.DUMMYFUNCTION("""COMPUTED_VALUE"""),"TNMT2026-089.png")</f>
        <v>TNMT2026-089.png</v>
      </c>
    </row>
    <row r="91">
      <c r="A91" s="4" t="str">
        <f>IFERROR(__xludf.DUMMYFUNCTION("""COMPUTED_VALUE"""),"TNMT2026-090")</f>
        <v>TNMT2026-090</v>
      </c>
      <c r="B91" s="4" t="str">
        <f>IFERROR(__xludf.DUMMYFUNCTION("""COMPUTED_VALUE"""),"Tài nguyên và Môi trường")</f>
        <v>Tài nguyên và Môi trường</v>
      </c>
      <c r="C91" s="4" t="str">
        <f>IFERROR(__xludf.DUMMYFUNCTION("""COMPUTED_VALUE"""),"Đánh giá tiềm năng phát triển du lịch sinh thái tỉnh Tây Ninh")</f>
        <v>Đánh giá tiềm năng phát triển du lịch sinh thái tỉnh Tây Ninh</v>
      </c>
      <c r="D91" s="4" t="str">
        <f>IFERROR(__xludf.DUMMYFUNCTION("""COMPUTED_VALUE"""),"Võ Huỳnh Yến Thơ; Nguyễn Hữu Huy; Nguyễn Minh Uyên")</f>
        <v>Võ Huỳnh Yến Thơ; Nguyễn Hữu Huy; Nguyễn Minh Uyên</v>
      </c>
      <c r="E91" s="4" t="str">
        <f>IFERROR(__xludf.DUMMYFUNCTION("""COMPUTED_VALUE"""),"Trường Đại học Sư phạm TP. Hồ Chí Minh")</f>
        <v>Trường Đại học Sư phạm TP. Hồ Chí Minh</v>
      </c>
      <c r="F91" s="4" t="str">
        <f>IFERROR(__xludf.DUMMYFUNCTION("""COMPUTED_VALUE"""),"TNMT2026-090.png")</f>
        <v>TNMT2026-090.png</v>
      </c>
    </row>
    <row r="92">
      <c r="A92" s="4" t="str">
        <f>IFERROR(__xludf.DUMMYFUNCTION("""COMPUTED_VALUE"""),"TNMT2026-091")</f>
        <v>TNMT2026-091</v>
      </c>
      <c r="B92" s="4" t="str">
        <f>IFERROR(__xludf.DUMMYFUNCTION("""COMPUTED_VALUE"""),"Tài nguyên và Môi trường")</f>
        <v>Tài nguyên và Môi trường</v>
      </c>
      <c r="C92" s="4" t="str">
        <f>IFERROR(__xludf.DUMMYFUNCTION("""COMPUTED_VALUE"""),"Đánh giá chất lượng nước dưới đất khu vực đảo Phú Quốc")</f>
        <v>Đánh giá chất lượng nước dưới đất khu vực đảo Phú Quốc</v>
      </c>
      <c r="D92" s="4" t="str">
        <f>IFERROR(__xludf.DUMMYFUNCTION("""COMPUTED_VALUE"""),"Nguyễn Ngọc Yến Vy; Phạm Thị Ngoan; Nguyễn Thị Hải Ý")</f>
        <v>Nguyễn Ngọc Yến Vy; Phạm Thị Ngoan; Nguyễn Thị Hải Ý</v>
      </c>
      <c r="E92" s="4" t="str">
        <f>IFERROR(__xludf.DUMMYFUNCTION("""COMPUTED_VALUE"""),"Trường Đại học Sư phạm TP. Hồ Chí Minh")</f>
        <v>Trường Đại học Sư phạm TP. Hồ Chí Minh</v>
      </c>
      <c r="F92" s="4" t="str">
        <f>IFERROR(__xludf.DUMMYFUNCTION("""COMPUTED_VALUE"""),"TNMT2026-091.png")</f>
        <v>TNMT2026-091.png</v>
      </c>
    </row>
    <row r="93">
      <c r="A93" s="4" t="str">
        <f>IFERROR(__xludf.DUMMYFUNCTION("""COMPUTED_VALUE"""),"TNMT2026-092")</f>
        <v>TNMT2026-092</v>
      </c>
      <c r="B93" s="4" t="str">
        <f>IFERROR(__xludf.DUMMYFUNCTION("""COMPUTED_VALUE"""),"Tài nguyên và Môi trường")</f>
        <v>Tài nguyên và Môi trường</v>
      </c>
      <c r="C93" s="4" t="str">
        <f>IFERROR(__xludf.DUMMYFUNCTION("""COMPUTED_VALUE"""),"Thu hồi, biến tính kẽm oxit từ pin kiềm đã qua sử dụng và khảo sát khả năng quang xúc tác nước ô nhiễm")</f>
        <v>Thu hồi, biến tính kẽm oxit từ pin kiềm đã qua sử dụng và khảo sát khả năng quang xúc tác nước ô nhiễm</v>
      </c>
      <c r="D93" s="4" t="str">
        <f>IFERROR(__xludf.DUMMYFUNCTION("""COMPUTED_VALUE"""),"Trần Trung Tiến; Cao Chí Cường")</f>
        <v>Trần Trung Tiến; Cao Chí Cường</v>
      </c>
      <c r="E93" s="4" t="str">
        <f>IFERROR(__xludf.DUMMYFUNCTION("""COMPUTED_VALUE"""),"Trường Đại học Nguyễn Tất Thành")</f>
        <v>Trường Đại học Nguyễn Tất Thành</v>
      </c>
      <c r="F93" s="4" t="str">
        <f>IFERROR(__xludf.DUMMYFUNCTION("""COMPUTED_VALUE"""),"TNMT2026-092.png")</f>
        <v>TNMT2026-092.png</v>
      </c>
    </row>
    <row r="94">
      <c r="A94" s="4" t="str">
        <f>IFERROR(__xludf.DUMMYFUNCTION("""COMPUTED_VALUE"""),"TNMT2026-093")</f>
        <v>TNMT2026-093</v>
      </c>
      <c r="B94" s="4" t="str">
        <f>IFERROR(__xludf.DUMMYFUNCTION("""COMPUTED_VALUE"""),"Tài nguyên và Môi trường")</f>
        <v>Tài nguyên và Môi trường</v>
      </c>
      <c r="C94" s="4" t="str">
        <f>IFERROR(__xludf.DUMMYFUNCTION("""COMPUTED_VALUE"""),"Giải pháp cứu trợ xanh: Bộ kit hỗ trợ hộ gia đình vùng lũ từ vật liệu sinh học")</f>
        <v>Giải pháp cứu trợ xanh: Bộ kit hỗ trợ hộ gia đình vùng lũ từ vật liệu sinh học</v>
      </c>
      <c r="D94" s="4" t="str">
        <f>IFERROR(__xludf.DUMMYFUNCTION("""COMPUTED_VALUE"""),"Phùng Uyển Cát Tiên; Hoàng Nhật Hoài Ân; Hàn Trúc Lam")</f>
        <v>Phùng Uyển Cát Tiên; Hoàng Nhật Hoài Ân; Hàn Trúc Lam</v>
      </c>
      <c r="E94" s="4" t="str">
        <f>IFERROR(__xludf.DUMMYFUNCTION("""COMPUTED_VALUE"""),"Trường Đại học Kiến trúc TP. Hồ Chí Minh")</f>
        <v>Trường Đại học Kiến trúc TP. Hồ Chí Minh</v>
      </c>
      <c r="F94" s="4" t="str">
        <f>IFERROR(__xludf.DUMMYFUNCTION("""COMPUTED_VALUE"""),"TNMT2026-093.png")</f>
        <v>TNMT2026-093.png</v>
      </c>
    </row>
    <row r="95">
      <c r="A95" s="4" t="str">
        <f>IFERROR(__xludf.DUMMYFUNCTION("""COMPUTED_VALUE"""),"TNMT2026-094")</f>
        <v>TNMT2026-094</v>
      </c>
      <c r="B95" s="4" t="str">
        <f>IFERROR(__xludf.DUMMYFUNCTION("""COMPUTED_VALUE"""),"Tài nguyên và Môi trường")</f>
        <v>Tài nguyên và Môi trường</v>
      </c>
      <c r="C95" s="4" t="str">
        <f>IFERROR(__xludf.DUMMYFUNCTION("""COMPUTED_VALUE"""),"Nghiên cứu chế tạo nhựa sinh học từ phụ phẩm nông nghiệp")</f>
        <v>Nghiên cứu chế tạo nhựa sinh học từ phụ phẩm nông nghiệp</v>
      </c>
      <c r="D95" s="4" t="str">
        <f>IFERROR(__xludf.DUMMYFUNCTION("""COMPUTED_VALUE"""),"Lê Thị Cẩm Tú; Trần Thị Ngọc Bích; Phan Lê Tuấn An; Nguyễn Võ Mỹ Anh; Nguyễn Lê Duy")</f>
        <v>Lê Thị Cẩm Tú; Trần Thị Ngọc Bích; Phan Lê Tuấn An; Nguyễn Võ Mỹ Anh; Nguyễn Lê Duy</v>
      </c>
      <c r="E95" s="4" t="str">
        <f>IFERROR(__xludf.DUMMYFUNCTION("""COMPUTED_VALUE"""),"Trường Đại học Công Thương TP. Hồ Chí Minh")</f>
        <v>Trường Đại học Công Thương TP. Hồ Chí Minh</v>
      </c>
      <c r="F95" s="4" t="str">
        <f>IFERROR(__xludf.DUMMYFUNCTION("""COMPUTED_VALUE"""),"TNMT2026-094.png")</f>
        <v>TNMT2026-094.png</v>
      </c>
    </row>
    <row r="96">
      <c r="A96" s="4" t="str">
        <f>IFERROR(__xludf.DUMMYFUNCTION("""COMPUTED_VALUE"""),"TNMT2026-095")</f>
        <v>TNMT2026-095</v>
      </c>
      <c r="B96" s="4" t="str">
        <f>IFERROR(__xludf.DUMMYFUNCTION("""COMPUTED_VALUE"""),"Tài nguyên và Môi trường")</f>
        <v>Tài nguyên và Môi trường</v>
      </c>
      <c r="C96" s="4" t="str">
        <f>IFERROR(__xludf.DUMMYFUNCTION("""COMPUTED_VALUE"""),"Máy tái chế phế phẩm hữu cơ 4 trong 1 tại chỗ")</f>
        <v>Máy tái chế phế phẩm hữu cơ 4 trong 1 tại chỗ</v>
      </c>
      <c r="D96" s="4" t="str">
        <f>IFERROR(__xludf.DUMMYFUNCTION("""COMPUTED_VALUE"""),"Phạm Ngọc Bảo Trâm; Trịnh Quốc Nam")</f>
        <v>Phạm Ngọc Bảo Trâm; Trịnh Quốc Nam</v>
      </c>
      <c r="E96" s="4" t="str">
        <f>IFERROR(__xludf.DUMMYFUNCTION("""COMPUTED_VALUE"""),"Trường Đại học Kiến trúc TP. Hồ Chí Minh")</f>
        <v>Trường Đại học Kiến trúc TP. Hồ Chí Minh</v>
      </c>
      <c r="F96" s="4" t="str">
        <f>IFERROR(__xludf.DUMMYFUNCTION("""COMPUTED_VALUE"""),"TNMT2026-095.png")</f>
        <v>TNMT2026-095.png</v>
      </c>
    </row>
    <row r="97">
      <c r="A97" s="4" t="str">
        <f>IFERROR(__xludf.DUMMYFUNCTION("""COMPUTED_VALUE"""),"TNMT2026-096")</f>
        <v>TNMT2026-096</v>
      </c>
      <c r="B97" s="4" t="str">
        <f>IFERROR(__xludf.DUMMYFUNCTION("""COMPUTED_VALUE"""),"Tài nguyên và Môi trường")</f>
        <v>Tài nguyên và Môi trường</v>
      </c>
      <c r="C97" s="4" t="str">
        <f>IFERROR(__xludf.DUMMYFUNCTION("""COMPUTED_VALUE"""),"Nghiên cứu và ứng dụng vật liệu tro trấu trong thiết kế sản phẩm trang trí thân thiện với môi trường")</f>
        <v>Nghiên cứu và ứng dụng vật liệu tro trấu trong thiết kế sản phẩm trang trí thân thiện với môi trường</v>
      </c>
      <c r="D97" s="4" t="str">
        <f>IFERROR(__xludf.DUMMYFUNCTION("""COMPUTED_VALUE"""),"Nguyễn Hoài Nhu")</f>
        <v>Nguyễn Hoài Nhu</v>
      </c>
      <c r="E97" s="4" t="str">
        <f>IFERROR(__xludf.DUMMYFUNCTION("""COMPUTED_VALUE"""),"Trường Đại học Kiến trúc TP. Hồ Chí Minh")</f>
        <v>Trường Đại học Kiến trúc TP. Hồ Chí Minh</v>
      </c>
      <c r="F97" s="4" t="str">
        <f>IFERROR(__xludf.DUMMYFUNCTION("""COMPUTED_VALUE"""),"TNMT2026-096.png")</f>
        <v>TNMT2026-096.png</v>
      </c>
    </row>
    <row r="98">
      <c r="A98" s="4" t="str">
        <f>IFERROR(__xludf.DUMMYFUNCTION("""COMPUTED_VALUE"""),"TNMT2026-097")</f>
        <v>TNMT2026-097</v>
      </c>
      <c r="B98" s="4" t="str">
        <f>IFERROR(__xludf.DUMMYFUNCTION("""COMPUTED_VALUE"""),"Tài nguyên và Môi trường")</f>
        <v>Tài nguyên và Môi trường</v>
      </c>
      <c r="C98" s="4" t="str">
        <f>IFERROR(__xludf.DUMMYFUNCTION("""COMPUTED_VALUE"""),"Nghiên cứu đặc tính điện hóa của Graphene Oxit có nguồn gốc từ pin thải")</f>
        <v>Nghiên cứu đặc tính điện hóa của Graphene Oxit có nguồn gốc từ pin thải</v>
      </c>
      <c r="D98" s="4" t="str">
        <f>IFERROR(__xludf.DUMMYFUNCTION("""COMPUTED_VALUE"""),"Nguyễn Thế Quyền; Nguyễn Thị Như Quỳnh; Nguyễn Phương Quỳnh; Phạm Thị Thy Khánh")</f>
        <v>Nguyễn Thế Quyền; Nguyễn Thị Như Quỳnh; Nguyễn Phương Quỳnh; Phạm Thị Thy Khánh</v>
      </c>
      <c r="E98" s="4" t="str">
        <f>IFERROR(__xludf.DUMMYFUNCTION("""COMPUTED_VALUE"""),"Trường Đại học Công Thương TP. Hồ Chí Minh")</f>
        <v>Trường Đại học Công Thương TP. Hồ Chí Minh</v>
      </c>
      <c r="F98" s="4" t="str">
        <f>IFERROR(__xludf.DUMMYFUNCTION("""COMPUTED_VALUE"""),"TNMT2026-097.png")</f>
        <v>TNMT2026-097.png</v>
      </c>
    </row>
    <row r="99">
      <c r="A99" s="4" t="str">
        <f>IFERROR(__xludf.DUMMYFUNCTION("""COMPUTED_VALUE"""),"TNMT2026-098")</f>
        <v>TNMT2026-098</v>
      </c>
      <c r="B99" s="4" t="str">
        <f>IFERROR(__xludf.DUMMYFUNCTION("""COMPUTED_VALUE"""),"Tài nguyên và Môi trường")</f>
        <v>Tài nguyên và Môi trường</v>
      </c>
      <c r="C99" s="4" t="str">
        <f>IFERROR(__xludf.DUMMYFUNCTION("""COMPUTED_VALUE"""),"DYNAMIC RISK SPILLOVERS AND DEPENDENCE STRUCTURE BETWEEN GLOBAL ENERGY AND ASEAN AGRICULTURAL MARKETS: AN APPROACH BASED ON DCC-GARCH-COPULA AND TVP-VAR MODELS")</f>
        <v>DYNAMIC RISK SPILLOVERS AND DEPENDENCE STRUCTURE BETWEEN GLOBAL ENERGY AND ASEAN AGRICULTURAL MARKETS: AN APPROACH BASED ON DCC-GARCH-COPULA AND TVP-VAR MODELS</v>
      </c>
      <c r="D99" s="4" t="str">
        <f>IFERROR(__xludf.DUMMYFUNCTION("""COMPUTED_VALUE"""),"Trần Tăng Mỹ Ngọc; Nguyễn Ngọc Phi Vỹ")</f>
        <v>Trần Tăng Mỹ Ngọc; Nguyễn Ngọc Phi Vỹ</v>
      </c>
      <c r="E99" s="4" t="str">
        <f>IFERROR(__xludf.DUMMYFUNCTION("""COMPUTED_VALUE"""),"Đại học Kinh tế TP. Hồ Chí Minh")</f>
        <v>Đại học Kinh tế TP. Hồ Chí Minh</v>
      </c>
      <c r="F99" s="4" t="str">
        <f>IFERROR(__xludf.DUMMYFUNCTION("""COMPUTED_VALUE"""),"TNMT2026-098.png")</f>
        <v>TNMT2026-098.png</v>
      </c>
    </row>
    <row r="100">
      <c r="A100" s="4" t="str">
        <f>IFERROR(__xludf.DUMMYFUNCTION("""COMPUTED_VALUE"""),"TNMT2026-099")</f>
        <v>TNMT2026-099</v>
      </c>
      <c r="B100" s="4" t="str">
        <f>IFERROR(__xludf.DUMMYFUNCTION("""COMPUTED_VALUE"""),"Tài nguyên và Môi trường")</f>
        <v>Tài nguyên và Môi trường</v>
      </c>
      <c r="C100" s="4" t="str">
        <f>IFERROR(__xludf.DUMMYFUNCTION("""COMPUTED_VALUE"""),"Tác động của biến đổi khí hậu đến lao động ngoài trời tại phường Hà Đông, thành phố Hà Nội")</f>
        <v>Tác động của biến đổi khí hậu đến lao động ngoài trời tại phường Hà Đông, thành phố Hà Nội</v>
      </c>
      <c r="D100" s="4" t="str">
        <f>IFERROR(__xludf.DUMMYFUNCTION("""COMPUTED_VALUE"""),"Nguyễn Như Quang; Nguyễn Hạ Quyên; Hoàng Phan Duy An")</f>
        <v>Nguyễn Như Quang; Nguyễn Hạ Quyên; Hoàng Phan Duy An</v>
      </c>
      <c r="E100" s="4" t="str">
        <f>IFERROR(__xludf.DUMMYFUNCTION("""COMPUTED_VALUE"""),"Trường Đại học Kiến trúc Hà Nội")</f>
        <v>Trường Đại học Kiến trúc Hà Nội</v>
      </c>
      <c r="F100" s="4" t="str">
        <f>IFERROR(__xludf.DUMMYFUNCTION("""COMPUTED_VALUE"""),"TNMT2026-099.png")</f>
        <v>TNMT2026-099.png</v>
      </c>
    </row>
    <row r="101">
      <c r="A101" s="4" t="str">
        <f>IFERROR(__xludf.DUMMYFUNCTION("""COMPUTED_VALUE"""),"TNMT2026-100")</f>
        <v>TNMT2026-100</v>
      </c>
      <c r="B101" s="4" t="str">
        <f>IFERROR(__xludf.DUMMYFUNCTION("""COMPUTED_VALUE"""),"Tài nguyên và Môi trường")</f>
        <v>Tài nguyên và Môi trường</v>
      </c>
      <c r="C101" s="4" t="str">
        <f>IFERROR(__xludf.DUMMYFUNCTION("""COMPUTED_VALUE"""),"Xây Dựng Mô Hình Tuần Hoàn Xanh: Tái chế phế liệu vỏ khuôn gốm trong đúc kim loại thành các sản phẩm vật liệu xây dựng và trang trí")</f>
        <v>Xây Dựng Mô Hình Tuần Hoàn Xanh: Tái chế phế liệu vỏ khuôn gốm trong đúc kim loại thành các sản phẩm vật liệu xây dựng và trang trí</v>
      </c>
      <c r="D101" s="4" t="str">
        <f>IFERROR(__xludf.DUMMYFUNCTION("""COMPUTED_VALUE"""),"Trương Thị Nhật Hoài; Trần Huỳnh Minh Nhựt; Nguyễn Tấn Phú; Ngô Thành Phát; Lê Thanh Nghi")</f>
        <v>Trương Thị Nhật Hoài; Trần Huỳnh Minh Nhựt; Nguyễn Tấn Phú; Ngô Thành Phát; Lê Thanh Nghi</v>
      </c>
      <c r="E101" s="4" t="str">
        <f>IFERROR(__xludf.DUMMYFUNCTION("""COMPUTED_VALUE"""),"Trường Đại học Công nghệ Kỹ thuật TP. Hồ Chí Minh")</f>
        <v>Trường Đại học Công nghệ Kỹ thuật TP. Hồ Chí Minh</v>
      </c>
      <c r="F101" s="4" t="str">
        <f>IFERROR(__xludf.DUMMYFUNCTION("""COMPUTED_VALUE"""),"TNMT2026-100.png")</f>
        <v>TNMT2026-100.png</v>
      </c>
    </row>
    <row r="102">
      <c r="A102" s="4" t="str">
        <f>IFERROR(__xludf.DUMMYFUNCTION("""COMPUTED_VALUE"""),"TNMT2026-101")</f>
        <v>TNMT2026-101</v>
      </c>
      <c r="B102" s="4" t="str">
        <f>IFERROR(__xludf.DUMMYFUNCTION("""COMPUTED_VALUE"""),"Tài nguyên và Môi trường")</f>
        <v>Tài nguyên và Môi trường</v>
      </c>
      <c r="C102" s="4" t="str">
        <f>IFERROR(__xludf.DUMMYFUNCTION("""COMPUTED_VALUE"""),"Nghiên cứu hành vi và nhận thức về bảo vệ nguồn nước của học sinh tiểu học và đề xuất giải pháp giáo dục. Áp dụng thử nghiệm tại Trường Tiểu học Yên Sở, xã Dương Hòa, thành phố Hà Nội")</f>
        <v>Nghiên cứu hành vi và nhận thức về bảo vệ nguồn nước của học sinh tiểu học và đề xuất giải pháp giáo dục. Áp dụng thử nghiệm tại Trường Tiểu học Yên Sở, xã Dương Hòa, thành phố Hà Nội</v>
      </c>
      <c r="D102" s="4" t="str">
        <f>IFERROR(__xludf.DUMMYFUNCTION("""COMPUTED_VALUE"""),"Nguyễn Thảo Vi; Nguyễn Quang Dương; Nguyễn Thị Thanh Thảo")</f>
        <v>Nguyễn Thảo Vi; Nguyễn Quang Dương; Nguyễn Thị Thanh Thảo</v>
      </c>
      <c r="E102" s="4" t="str">
        <f>IFERROR(__xludf.DUMMYFUNCTION("""COMPUTED_VALUE"""),"Trường Đại học Tài nguyên và Môi trường Hà Nội")</f>
        <v>Trường Đại học Tài nguyên và Môi trường Hà Nội</v>
      </c>
      <c r="F102" s="4" t="str">
        <f>IFERROR(__xludf.DUMMYFUNCTION("""COMPUTED_VALUE"""),"TNMT2026-101.png")</f>
        <v>TNMT2026-101.png</v>
      </c>
    </row>
    <row r="103">
      <c r="A103" s="4" t="str">
        <f>IFERROR(__xludf.DUMMYFUNCTION("""COMPUTED_VALUE"""),"TNMT2026-102")</f>
        <v>TNMT2026-102</v>
      </c>
      <c r="B103" s="4" t="str">
        <f>IFERROR(__xludf.DUMMYFUNCTION("""COMPUTED_VALUE"""),"Tài nguyên và Môi trường")</f>
        <v>Tài nguyên và Môi trường</v>
      </c>
      <c r="C103" s="4" t="str">
        <f>IFERROR(__xludf.DUMMYFUNCTION("""COMPUTED_VALUE"""),"Đánh giá về mức độ đồng thuận của người dân về chính sách giá đất tại phường Hạc Thành, tỉnh Thanh Hoá")</f>
        <v>Đánh giá về mức độ đồng thuận của người dân về chính sách giá đất tại phường Hạc Thành, tỉnh Thanh Hoá</v>
      </c>
      <c r="D103" s="4" t="str">
        <f>IFERROR(__xludf.DUMMYFUNCTION("""COMPUTED_VALUE"""),"Đào Đức Minh; Nguyễn Đỗ Khánh Linh; Nguyễn Lê Quang Anh; Tô Đức Mạnh")</f>
        <v>Đào Đức Minh; Nguyễn Đỗ Khánh Linh; Nguyễn Lê Quang Anh; Tô Đức Mạnh</v>
      </c>
      <c r="E103" s="4" t="str">
        <f>IFERROR(__xludf.DUMMYFUNCTION("""COMPUTED_VALUE"""),"Trường Đại học Tài nguyên và Môi trường Hà Nội")</f>
        <v>Trường Đại học Tài nguyên và Môi trường Hà Nội</v>
      </c>
      <c r="F103" s="4" t="str">
        <f>IFERROR(__xludf.DUMMYFUNCTION("""COMPUTED_VALUE"""),"TNMT2026-102.png")</f>
        <v>TNMT2026-102.png</v>
      </c>
    </row>
    <row r="104">
      <c r="A104" s="4" t="str">
        <f>IFERROR(__xludf.DUMMYFUNCTION("""COMPUTED_VALUE"""),"TNMT2026-103")</f>
        <v>TNMT2026-103</v>
      </c>
      <c r="B104" s="4" t="str">
        <f>IFERROR(__xludf.DUMMYFUNCTION("""COMPUTED_VALUE"""),"Tài nguyên và Môi trường")</f>
        <v>Tài nguyên và Môi trường</v>
      </c>
      <c r="C104" s="4" t="str">
        <f>IFERROR(__xludf.DUMMYFUNCTION("""COMPUTED_VALUE"""),"Nghiên cứu thực trạng và đề xuất giải pháp phát triển mô hình nuôi cá lồng bè theo hướng kinh tế tuần hoàn tại phường Hà An, tỉnh Quảng Ninh")</f>
        <v>Nghiên cứu thực trạng và đề xuất giải pháp phát triển mô hình nuôi cá lồng bè theo hướng kinh tế tuần hoàn tại phường Hà An, tỉnh Quảng Ninh</v>
      </c>
      <c r="D104" s="4" t="str">
        <f>IFERROR(__xludf.DUMMYFUNCTION("""COMPUTED_VALUE"""),"Nguyễn Thị Kim Thanh; Hoàng Thuý Vi; Hồng Viết Tiến; Lê Tiến Việt")</f>
        <v>Nguyễn Thị Kim Thanh; Hoàng Thuý Vi; Hồng Viết Tiến; Lê Tiến Việt</v>
      </c>
      <c r="E104" s="4" t="str">
        <f>IFERROR(__xludf.DUMMYFUNCTION("""COMPUTED_VALUE"""),"Trường Đại học Tài nguyên và Môi trường Hà Nội")</f>
        <v>Trường Đại học Tài nguyên và Môi trường Hà Nội</v>
      </c>
      <c r="F104" s="4" t="str">
        <f>IFERROR(__xludf.DUMMYFUNCTION("""COMPUTED_VALUE"""),"TNMT2026-103.png")</f>
        <v>TNMT2026-103.png</v>
      </c>
    </row>
    <row r="105">
      <c r="A105" s="4" t="str">
        <f>IFERROR(__xludf.DUMMYFUNCTION("""COMPUTED_VALUE"""),"TNMT2026-104")</f>
        <v>TNMT2026-104</v>
      </c>
      <c r="B105" s="4" t="str">
        <f>IFERROR(__xludf.DUMMYFUNCTION("""COMPUTED_VALUE"""),"Tài nguyên và Môi trường")</f>
        <v>Tài nguyên và Môi trường</v>
      </c>
      <c r="C105" s="4" t="str">
        <f>IFERROR(__xludf.DUMMYFUNCTION("""COMPUTED_VALUE"""),"Nghiên cứu hiện trạng phát sinh và đề xuất giải pháp quản lý dầu ăn sau sử dụng tại phường Cầu Giấy, Hà Nội")</f>
        <v>Nghiên cứu hiện trạng phát sinh và đề xuất giải pháp quản lý dầu ăn sau sử dụng tại phường Cầu Giấy, Hà Nội</v>
      </c>
      <c r="D105" s="4" t="str">
        <f>IFERROR(__xludf.DUMMYFUNCTION("""COMPUTED_VALUE"""),"Phạm Thị Hồng Ngọc; Vũ Hải Yến; Nguyễn Khánh Linh; Đoàn Thị Lan Anh; Bùi Ngọc Minh Anh")</f>
        <v>Phạm Thị Hồng Ngọc; Vũ Hải Yến; Nguyễn Khánh Linh; Đoàn Thị Lan Anh; Bùi Ngọc Minh Anh</v>
      </c>
      <c r="E105" s="4" t="str">
        <f>IFERROR(__xludf.DUMMYFUNCTION("""COMPUTED_VALUE"""),"Trường Đại học Tài nguyên và Môi trường Hà Nội")</f>
        <v>Trường Đại học Tài nguyên và Môi trường Hà Nội</v>
      </c>
      <c r="F105" s="4" t="str">
        <f>IFERROR(__xludf.DUMMYFUNCTION("""COMPUTED_VALUE"""),"TNMT2026-104.png")</f>
        <v>TNMT2026-104.png</v>
      </c>
    </row>
    <row r="106">
      <c r="A106" s="4" t="str">
        <f>IFERROR(__xludf.DUMMYFUNCTION("""COMPUTED_VALUE"""),"TNMT2026-105")</f>
        <v>TNMT2026-105</v>
      </c>
      <c r="B106" s="4" t="str">
        <f>IFERROR(__xludf.DUMMYFUNCTION("""COMPUTED_VALUE"""),"Tài nguyên và Môi trường")</f>
        <v>Tài nguyên và Môi trường</v>
      </c>
      <c r="C106" s="4" t="str">
        <f>IFERROR(__xludf.DUMMYFUNCTION("""COMPUTED_VALUE"""),"Ứng dụng GIS trong xây dựng bản đồ hiện trạng nuôi tôm hùm tại vịnh Xuân Đài, tỉnh Đắk Lắk")</f>
        <v>Ứng dụng GIS trong xây dựng bản đồ hiện trạng nuôi tôm hùm tại vịnh Xuân Đài, tỉnh Đắk Lắk</v>
      </c>
      <c r="D106" s="4" t="str">
        <f>IFERROR(__xludf.DUMMYFUNCTION("""COMPUTED_VALUE"""),"Bùi Võ Minh Khôi; Đỗ Phạm Tâm Như")</f>
        <v>Bùi Võ Minh Khôi; Đỗ Phạm Tâm Như</v>
      </c>
      <c r="E106" s="4" t="str">
        <f>IFERROR(__xludf.DUMMYFUNCTION("""COMPUTED_VALUE"""),"Trường Đại học Khoa học xã hội và Nhân văn, ĐHQG-HCM")</f>
        <v>Trường Đại học Khoa học xã hội và Nhân văn, ĐHQG-HCM</v>
      </c>
      <c r="F106" s="4" t="str">
        <f>IFERROR(__xludf.DUMMYFUNCTION("""COMPUTED_VALUE"""),"TNMT2026-105.png")</f>
        <v>TNMT2026-105.png</v>
      </c>
    </row>
    <row r="107">
      <c r="A107" s="4" t="str">
        <f>IFERROR(__xludf.DUMMYFUNCTION("""COMPUTED_VALUE"""),"TNMT2026-106")</f>
        <v>TNMT2026-106</v>
      </c>
      <c r="B107" s="4" t="str">
        <f>IFERROR(__xludf.DUMMYFUNCTION("""COMPUTED_VALUE"""),"Tài nguyên và Môi trường")</f>
        <v>Tài nguyên và Môi trường</v>
      </c>
      <c r="C107" s="4" t="str">
        <f>IFERROR(__xludf.DUMMYFUNCTION("""COMPUTED_VALUE"""),"Ước tính sinh khối bề mặt rừng ngập mặn Cần Giờ từ dữ liệu viễn thám đa nguồn.")</f>
        <v>Ước tính sinh khối bề mặt rừng ngập mặn Cần Giờ từ dữ liệu viễn thám đa nguồn.</v>
      </c>
      <c r="D107" s="4" t="str">
        <f>IFERROR(__xludf.DUMMYFUNCTION("""COMPUTED_VALUE"""),"Điệp Khắc Điệp; Nguyễn Ngọc Xuân Thy; Nguyễn Thị Như Thảo")</f>
        <v>Điệp Khắc Điệp; Nguyễn Ngọc Xuân Thy; Nguyễn Thị Như Thảo</v>
      </c>
      <c r="E107" s="4" t="str">
        <f>IFERROR(__xludf.DUMMYFUNCTION("""COMPUTED_VALUE"""),"Trường Đại học Khoa học xã hội và Nhân văn, ĐHQG-HCM")</f>
        <v>Trường Đại học Khoa học xã hội và Nhân văn, ĐHQG-HCM</v>
      </c>
      <c r="F107" s="4" t="str">
        <f>IFERROR(__xludf.DUMMYFUNCTION("""COMPUTED_VALUE"""),"TNMT2026-106.png")</f>
        <v>TNMT2026-106.png</v>
      </c>
    </row>
    <row r="108">
      <c r="A108" s="4" t="str">
        <f>IFERROR(__xludf.DUMMYFUNCTION("""COMPUTED_VALUE"""),"TNMT2026-107")</f>
        <v>TNMT2026-107</v>
      </c>
      <c r="B108" s="4" t="str">
        <f>IFERROR(__xludf.DUMMYFUNCTION("""COMPUTED_VALUE"""),"Tài nguyên và Môi trường")</f>
        <v>Tài nguyên và Môi trường</v>
      </c>
      <c r="C108" s="4" t="str">
        <f>IFERROR(__xludf.DUMMYFUNCTION("""COMPUTED_VALUE"""),"Đánh giá khả năng thích ứng của nông hộ nuôi trồng thủy sản trước tác động của xâm nhập mặn tại tỉnh Vĩnh Long")</f>
        <v>Đánh giá khả năng thích ứng của nông hộ nuôi trồng thủy sản trước tác động của xâm nhập mặn tại tỉnh Vĩnh Long</v>
      </c>
      <c r="D108" s="4" t="str">
        <f>IFERROR(__xludf.DUMMYFUNCTION("""COMPUTED_VALUE"""),"Lữ Thị Như Quỳnh")</f>
        <v>Lữ Thị Như Quỳnh</v>
      </c>
      <c r="E108" s="4" t="str">
        <f>IFERROR(__xludf.DUMMYFUNCTION("""COMPUTED_VALUE"""),"Trường Đại học Khoa học Tự nhiên, ĐHQG-HCM")</f>
        <v>Trường Đại học Khoa học Tự nhiên, ĐHQG-HCM</v>
      </c>
      <c r="F108" s="4" t="str">
        <f>IFERROR(__xludf.DUMMYFUNCTION("""COMPUTED_VALUE"""),"TNMT2026-107.png")</f>
        <v>TNMT2026-107.png</v>
      </c>
    </row>
    <row r="109">
      <c r="A109" s="4" t="str">
        <f>IFERROR(__xludf.DUMMYFUNCTION("""COMPUTED_VALUE"""),"TNMT2026-108")</f>
        <v>TNMT2026-108</v>
      </c>
      <c r="B109" s="4" t="str">
        <f>IFERROR(__xludf.DUMMYFUNCTION("""COMPUTED_VALUE"""),"Tài nguyên và Môi trường")</f>
        <v>Tài nguyên và Môi trường</v>
      </c>
      <c r="C109" s="4" t="str">
        <f>IFERROR(__xludf.DUMMYFUNCTION("""COMPUTED_VALUE"""),"Tác động của chiến lược xe điện Trung Quốc đến cục diện kinh tế - chính trị của Liên minh Châu Âu (EU) trong bối cảnh cạnh tranh thương mại Mỹ - Trung, giai đoạn 2021-2025, tiếp cận từ khung phân tích “Sự phụ thuộc lẫn nhau bị vũ khí hoá” (Weaponized Inte"&amp;"rdependence)")</f>
        <v>Tác động của chiến lược xe điện Trung Quốc đến cục diện kinh tế - chính trị của Liên minh Châu Âu (EU) trong bối cảnh cạnh tranh thương mại Mỹ - Trung, giai đoạn 2021-2025, tiếp cận từ khung phân tích “Sự phụ thuộc lẫn nhau bị vũ khí hoá” (Weaponized Interdependence)</v>
      </c>
      <c r="D109" s="4" t="str">
        <f>IFERROR(__xludf.DUMMYFUNCTION("""COMPUTED_VALUE"""),"Đoàn Nguyên Khang; Nguyễn Ngọc Lan Anh; Bùi Thuỳ Dương; Lê Chí Trung; Lê Nguyễn Phước Vinh")</f>
        <v>Đoàn Nguyên Khang; Nguyễn Ngọc Lan Anh; Bùi Thuỳ Dương; Lê Chí Trung; Lê Nguyễn Phước Vinh</v>
      </c>
      <c r="E109" s="4" t="str">
        <f>IFERROR(__xludf.DUMMYFUNCTION("""COMPUTED_VALUE"""),"Trường Đại học Khoa học xã hội và Nhân văn, ĐHQG-HCM")</f>
        <v>Trường Đại học Khoa học xã hội và Nhân văn, ĐHQG-HCM</v>
      </c>
      <c r="F109" s="4" t="str">
        <f>IFERROR(__xludf.DUMMYFUNCTION("""COMPUTED_VALUE"""),"TNMT2026-108.png")</f>
        <v>TNMT2026-108.png</v>
      </c>
    </row>
    <row r="110">
      <c r="A110" s="4" t="str">
        <f>IFERROR(__xludf.DUMMYFUNCTION("""COMPUTED_VALUE"""),"TNMT2026-109")</f>
        <v>TNMT2026-109</v>
      </c>
      <c r="B110" s="4" t="str">
        <f>IFERROR(__xludf.DUMMYFUNCTION("""COMPUTED_VALUE"""),"Tài nguyên và Môi trường")</f>
        <v>Tài nguyên và Môi trường</v>
      </c>
      <c r="C110" s="4" t="str">
        <f>IFERROR(__xludf.DUMMYFUNCTION("""COMPUTED_VALUE"""),"Ứng dụng mô hình học sâu (Deep Learning) trong phân tích biến động rừng ngập mặn Cần Giờ.")</f>
        <v>Ứng dụng mô hình học sâu (Deep Learning) trong phân tích biến động rừng ngập mặn Cần Giờ.</v>
      </c>
      <c r="D110" s="4" t="str">
        <f>IFERROR(__xludf.DUMMYFUNCTION("""COMPUTED_VALUE"""),"Vũ Thị Minh Trang; Điệp Khắc Điệp; Bùi Nguyễn Duy Phương; Lê Nguyễn Minh Trình; Trần Thị Cẩm Nhung")</f>
        <v>Vũ Thị Minh Trang; Điệp Khắc Điệp; Bùi Nguyễn Duy Phương; Lê Nguyễn Minh Trình; Trần Thị Cẩm Nhung</v>
      </c>
      <c r="E110" s="4" t="str">
        <f>IFERROR(__xludf.DUMMYFUNCTION("""COMPUTED_VALUE"""),"Trường Đại học Khoa học xã hội và Nhân văn, ĐHQG-HCM")</f>
        <v>Trường Đại học Khoa học xã hội và Nhân văn, ĐHQG-HCM</v>
      </c>
      <c r="F110" s="4" t="str">
        <f>IFERROR(__xludf.DUMMYFUNCTION("""COMPUTED_VALUE"""),"TNMT2026-109.png")</f>
        <v>TNMT2026-109.png</v>
      </c>
    </row>
    <row r="111">
      <c r="A111" s="4" t="str">
        <f>IFERROR(__xludf.DUMMYFUNCTION("""COMPUTED_VALUE"""),"TNMT2026-110")</f>
        <v>TNMT2026-110</v>
      </c>
      <c r="B111" s="4" t="str">
        <f>IFERROR(__xludf.DUMMYFUNCTION("""COMPUTED_VALUE"""),"Tài nguyên và Môi trường")</f>
        <v>Tài nguyên và Môi trường</v>
      </c>
      <c r="C111" s="4" t="str">
        <f>IFERROR(__xludf.DUMMYFUNCTION("""COMPUTED_VALUE"""),"TÁC ĐỘNG CỦA RỦI RO ĐỊA CHÍNH TRỊ ĐẾN NGHÈO ĐÓI NĂNG LƯỢNG: BẰNG CHỨNG QUỐC TẾ")</f>
        <v>TÁC ĐỘNG CỦA RỦI RO ĐỊA CHÍNH TRỊ ĐẾN NGHÈO ĐÓI NĂNG LƯỢNG: BẰNG CHỨNG QUỐC TẾ</v>
      </c>
      <c r="D111" s="4" t="str">
        <f>IFERROR(__xludf.DUMMYFUNCTION("""COMPUTED_VALUE"""),"Phạm Xuân Tuyền; Nguyễn Thị Minh Anh; Lê Tấn Tài; Trương Hoàng Phương Quỳnh; Vũ Thị Lan Anh")</f>
        <v>Phạm Xuân Tuyền; Nguyễn Thị Minh Anh; Lê Tấn Tài; Trương Hoàng Phương Quỳnh; Vũ Thị Lan Anh</v>
      </c>
      <c r="E111" s="4" t="str">
        <f>IFERROR(__xludf.DUMMYFUNCTION("""COMPUTED_VALUE"""),"Học viện Ngân hàng")</f>
        <v>Học viện Ngân hàng</v>
      </c>
      <c r="F111" s="4" t="str">
        <f>IFERROR(__xludf.DUMMYFUNCTION("""COMPUTED_VALUE"""),"TNMT2026-110.png")</f>
        <v>TNMT2026-110.png</v>
      </c>
    </row>
    <row r="112">
      <c r="A112" s="4" t="str">
        <f>IFERROR(__xludf.DUMMYFUNCTION("""COMPUTED_VALUE"""),"TNMT2026-111")</f>
        <v>TNMT2026-111</v>
      </c>
      <c r="B112" s="4" t="str">
        <f>IFERROR(__xludf.DUMMYFUNCTION("""COMPUTED_VALUE"""),"Tài nguyên và Môi trường")</f>
        <v>Tài nguyên và Môi trường</v>
      </c>
      <c r="C112" s="4" t="str">
        <f>IFERROR(__xludf.DUMMYFUNCTION("""COMPUTED_VALUE"""),"Tác động của tài chính xanh và đổi mới công nghệ đến tăng trưởng bền vững tại các quốc gia trên thế giới: Vai trò điều tiết của chất lượng thể chế")</f>
        <v>Tác động của tài chính xanh và đổi mới công nghệ đến tăng trưởng bền vững tại các quốc gia trên thế giới: Vai trò điều tiết của chất lượng thể chế</v>
      </c>
      <c r="D112" s="4" t="str">
        <f>IFERROR(__xludf.DUMMYFUNCTION("""COMPUTED_VALUE"""),"Ngô Thị Thanh Lan; Phạm Khánh Linh; Đặng Khánh Huyền; Lê Thảo Quyên; Lê Mai Trang")</f>
        <v>Ngô Thị Thanh Lan; Phạm Khánh Linh; Đặng Khánh Huyền; Lê Thảo Quyên; Lê Mai Trang</v>
      </c>
      <c r="E112" s="4" t="str">
        <f>IFERROR(__xludf.DUMMYFUNCTION("""COMPUTED_VALUE"""),"Học viện Ngân hàng")</f>
        <v>Học viện Ngân hàng</v>
      </c>
      <c r="F112" s="4" t="str">
        <f>IFERROR(__xludf.DUMMYFUNCTION("""COMPUTED_VALUE"""),"TNMT2026-111.png")</f>
        <v>TNMT2026-111.png</v>
      </c>
    </row>
    <row r="113">
      <c r="A113" s="4" t="str">
        <f>IFERROR(__xludf.DUMMYFUNCTION("""COMPUTED_VALUE"""),"TNMT2026-112")</f>
        <v>TNMT2026-112</v>
      </c>
      <c r="B113" s="4" t="str">
        <f>IFERROR(__xludf.DUMMYFUNCTION("""COMPUTED_VALUE"""),"Tài nguyên và Môi trường")</f>
        <v>Tài nguyên và Môi trường</v>
      </c>
      <c r="C113" s="4" t="str">
        <f>IFERROR(__xludf.DUMMYFUNCTION("""COMPUTED_VALUE"""),"Nghiên cứu ảnh hưởng của phát thải khí CO₂ đến chất lượng tăng trưởng kinh tế: Bằng chứng từ một số quốc gia trên thế giới và hàm ý chính sách cho Việt Nam")</f>
        <v>Nghiên cứu ảnh hưởng của phát thải khí CO₂ đến chất lượng tăng trưởng kinh tế: Bằng chứng từ một số quốc gia trên thế giới và hàm ý chính sách cho Việt Nam</v>
      </c>
      <c r="D113" s="4" t="str">
        <f>IFERROR(__xludf.DUMMYFUNCTION("""COMPUTED_VALUE"""),"Nguyễn Trung Kiên; Nguyễn Mai Hiền; Nguyễn Thị Phương Linh; Trần Thuý Linh*; Phạm Minh Ngọc**")</f>
        <v>Nguyễn Trung Kiên; Nguyễn Mai Hiền; Nguyễn Thị Phương Linh; Trần Thuý Linh*; Phạm Minh Ngọc**</v>
      </c>
      <c r="E113" s="4" t="str">
        <f>IFERROR(__xludf.DUMMYFUNCTION("""COMPUTED_VALUE"""),"Học viện Ngân hàng; *Trường Đại học Ngoại thương; **Học viện Ngoại giao")</f>
        <v>Học viện Ngân hàng; *Trường Đại học Ngoại thương; **Học viện Ngoại giao</v>
      </c>
      <c r="F113" s="4" t="str">
        <f>IFERROR(__xludf.DUMMYFUNCTION("""COMPUTED_VALUE"""),"TNMT2026-112.png")</f>
        <v>TNMT2026-112.png</v>
      </c>
    </row>
    <row r="114">
      <c r="A114" s="4" t="str">
        <f>IFERROR(__xludf.DUMMYFUNCTION("""COMPUTED_VALUE"""),"TNMT2026-113")</f>
        <v>TNMT2026-113</v>
      </c>
      <c r="B114" s="4" t="str">
        <f>IFERROR(__xludf.DUMMYFUNCTION("""COMPUTED_VALUE"""),"Tài nguyên và Môi trường")</f>
        <v>Tài nguyên và Môi trường</v>
      </c>
      <c r="C114" s="4" t="str">
        <f>IFERROR(__xludf.DUMMYFUNCTION("""COMPUTED_VALUE"""),"FDI Inflows And Carbon Emission Reduction Targets In Vietnam: An Empirical Analysis Of Local Governance And The Scale Paradox")</f>
        <v>FDI Inflows And Carbon Emission Reduction Targets In Vietnam: An Empirical Analysis Of Local Governance And The Scale Paradox</v>
      </c>
      <c r="D114" s="4" t="str">
        <f>IFERROR(__xludf.DUMMYFUNCTION("""COMPUTED_VALUE"""),"Phạm Nguyễn Minh Hạ; Vũ Bảo Nhi; Mai Thái Dương; Nguyễn Khánh Cường; Đào Việt Long*")</f>
        <v>Phạm Nguyễn Minh Hạ; Vũ Bảo Nhi; Mai Thái Dương; Nguyễn Khánh Cường; Đào Việt Long*</v>
      </c>
      <c r="E114" s="4" t="str">
        <f>IFERROR(__xludf.DUMMYFUNCTION("""COMPUTED_VALUE"""),"Học viện Ngân hàng; *Trường Đại học Khoa học và Công nghệ Hà Nội")</f>
        <v>Học viện Ngân hàng; *Trường Đại học Khoa học và Công nghệ Hà Nội</v>
      </c>
      <c r="F114" s="4" t="str">
        <f>IFERROR(__xludf.DUMMYFUNCTION("""COMPUTED_VALUE"""),"TNMT2026-113.png")</f>
        <v>TNMT2026-113.png</v>
      </c>
    </row>
    <row r="115">
      <c r="A115" s="4" t="str">
        <f>IFERROR(__xludf.DUMMYFUNCTION("""COMPUTED_VALUE"""),"TNMT2026-114")</f>
        <v>TNMT2026-114</v>
      </c>
      <c r="B115" s="4" t="str">
        <f>IFERROR(__xludf.DUMMYFUNCTION("""COMPUTED_VALUE"""),"Tài nguyên và Môi trường")</f>
        <v>Tài nguyên và Môi trường</v>
      </c>
      <c r="C115" s="4" t="str">
        <f>IFERROR(__xludf.DUMMYFUNCTION("""COMPUTED_VALUE"""),"TÍCH HỢP PHƯƠNG PHÁP HỌC MÁY VÀ VIỄN THÁM THÀNH LẬP BẢN ĐỒ PHÂN BỐ HÀM LƯỢNG PHOSPHO TỔNG TRONG ĐẤT NÔNG NGHIỆP, ÁP DỤNG TẠI HUYỆN TRẢNG BOM, TỈNH ĐỒNG NAI (CŨ)")</f>
        <v>TÍCH HỢP PHƯƠNG PHÁP HỌC MÁY VÀ VIỄN THÁM THÀNH LẬP BẢN ĐỒ PHÂN BỐ HÀM LƯỢNG PHOSPHO TỔNG TRONG ĐẤT NÔNG NGHIỆP, ÁP DỤNG TẠI HUYỆN TRẢNG BOM, TỈNH ĐỒNG NAI (CŨ)</v>
      </c>
      <c r="D115" s="4" t="str">
        <f>IFERROR(__xludf.DUMMYFUNCTION("""COMPUTED_VALUE"""),"Nguyễn Thị Ngọc Hân")</f>
        <v>Nguyễn Thị Ngọc Hân</v>
      </c>
      <c r="E115" s="4" t="str">
        <f>IFERROR(__xludf.DUMMYFUNCTION("""COMPUTED_VALUE"""),"Trường Đại học Bách Khoa, ĐHQG-HCM")</f>
        <v>Trường Đại học Bách Khoa, ĐHQG-HCM</v>
      </c>
      <c r="F115" s="4" t="str">
        <f>IFERROR(__xludf.DUMMYFUNCTION("""COMPUTED_VALUE"""),"TNMT2026-114.png")</f>
        <v>TNMT2026-114.png</v>
      </c>
    </row>
    <row r="116">
      <c r="A116" s="4" t="str">
        <f>IFERROR(__xludf.DUMMYFUNCTION("""COMPUTED_VALUE"""),"TNMT2026-115")</f>
        <v>TNMT2026-115</v>
      </c>
      <c r="B116" s="4" t="str">
        <f>IFERROR(__xludf.DUMMYFUNCTION("""COMPUTED_VALUE"""),"Tài nguyên và Môi trường")</f>
        <v>Tài nguyên và Môi trường</v>
      </c>
      <c r="C116" s="4" t="str">
        <f>IFERROR(__xludf.DUMMYFUNCTION("""COMPUTED_VALUE"""),"DỰ BÁO KHOẢNG ÁP SUẤT LỖ RỖNG VÀ GRADIENT ÁP SUẤT VỠ VỈA PHỤC VỤ THIẾT KẾ GIẾNG KHOAN THĂM DÒ TẠI MỎ Y.")</f>
        <v>DỰ BÁO KHOẢNG ÁP SUẤT LỖ RỖNG VÀ GRADIENT ÁP SUẤT VỠ VỈA PHỤC VỤ THIẾT KẾ GIẾNG KHOAN THĂM DÒ TẠI MỎ Y.</v>
      </c>
      <c r="D116" s="4" t="str">
        <f>IFERROR(__xludf.DUMMYFUNCTION("""COMPUTED_VALUE"""),"Trịnh Phan Duy Khánh; Trương Quốc Chí")</f>
        <v>Trịnh Phan Duy Khánh; Trương Quốc Chí</v>
      </c>
      <c r="E116" s="4" t="str">
        <f>IFERROR(__xludf.DUMMYFUNCTION("""COMPUTED_VALUE"""),"Trường Đại học Bách Khoa, ĐHQG-HCM")</f>
        <v>Trường Đại học Bách Khoa, ĐHQG-HCM</v>
      </c>
      <c r="F116" s="4" t="str">
        <f>IFERROR(__xludf.DUMMYFUNCTION("""COMPUTED_VALUE"""),"TNMT2026-115.png")</f>
        <v>TNMT2026-115.png</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29"/>
    <col customWidth="1" min="2" max="2" width="8.86"/>
    <col customWidth="1" min="3" max="3" width="210.14"/>
    <col customWidth="1" min="4" max="4" width="105.43"/>
    <col customWidth="1" min="5" max="5" width="45.0"/>
    <col customWidth="1" min="6" max="6" width="16.29"/>
  </cols>
  <sheetData>
    <row r="1">
      <c r="A1" s="1" t="s">
        <v>0</v>
      </c>
      <c r="B1" s="1" t="s">
        <v>1</v>
      </c>
      <c r="C1" s="1" t="s">
        <v>2</v>
      </c>
      <c r="D1" s="1" t="s">
        <v>3</v>
      </c>
      <c r="E1" s="1" t="s">
        <v>4</v>
      </c>
      <c r="F1" s="1" t="s">
        <v>5</v>
      </c>
    </row>
    <row r="2">
      <c r="A2" s="4" t="str">
        <f>IFERROR(__xludf.DUMMYFUNCTION("FILTER('Danh sach'!A2:F2184, 'Danh sach'!B2:B2184=""Sinh học"")"),"SH2026-001")</f>
        <v>SH2026-001</v>
      </c>
      <c r="B2" s="4" t="str">
        <f>IFERROR(__xludf.DUMMYFUNCTION("""COMPUTED_VALUE"""),"Sinh học")</f>
        <v>Sinh học</v>
      </c>
      <c r="C2" s="4" t="str">
        <f>IFERROR(__xludf.DUMMYFUNCTION("""COMPUTED_VALUE"""),"Xây dựng quy trình định lượng đồng thời apigenin và ipolamiid trong cây đuôi chuột Stachytarpheta jamaicensis (L.) Vahl, Verbenaceae bằng phương pháp hplc-pda.")</f>
        <v>Xây dựng quy trình định lượng đồng thời apigenin và ipolamiid trong cây đuôi chuột Stachytarpheta jamaicensis (L.) Vahl, Verbenaceae bằng phương pháp hplc-pda.</v>
      </c>
      <c r="D2" s="4" t="str">
        <f>IFERROR(__xludf.DUMMYFUNCTION("""COMPUTED_VALUE"""),"Nguyễn Hoài Khương; Nguyễn Thị Ánh Nguyệt; Lê Ngọc Kim Anh")</f>
        <v>Nguyễn Hoài Khương; Nguyễn Thị Ánh Nguyệt; Lê Ngọc Kim Anh</v>
      </c>
      <c r="E2" s="4" t="str">
        <f>IFERROR(__xludf.DUMMYFUNCTION("""COMPUTED_VALUE"""),"Đại học Y Dược TP. Hồ Chí Minh")</f>
        <v>Đại học Y Dược TP. Hồ Chí Minh</v>
      </c>
      <c r="F2" s="4" t="str">
        <f>IFERROR(__xludf.DUMMYFUNCTION("""COMPUTED_VALUE"""),"SH2026-001.png")</f>
        <v>SH2026-001.png</v>
      </c>
    </row>
    <row r="3">
      <c r="A3" s="4" t="str">
        <f>IFERROR(__xludf.DUMMYFUNCTION("""COMPUTED_VALUE"""),"SH2026-002")</f>
        <v>SH2026-002</v>
      </c>
      <c r="B3" s="4" t="str">
        <f>IFERROR(__xludf.DUMMYFUNCTION("""COMPUTED_VALUE"""),"Sinh học")</f>
        <v>Sinh học</v>
      </c>
      <c r="C3" s="4" t="str">
        <f>IFERROR(__xludf.DUMMYFUNCTION("""COMPUTED_VALUE"""),"Xây dựng quy trình định lượng đồng thời hedycorysid a, acid oleanolic và acid ursolic trong cây lưỡi rắn (Hedyotis corymbosa (L.) Lam. Rubiaceae)")</f>
        <v>Xây dựng quy trình định lượng đồng thời hedycorysid a, acid oleanolic và acid ursolic trong cây lưỡi rắn (Hedyotis corymbosa (L.) Lam. Rubiaceae)</v>
      </c>
      <c r="D3" s="4" t="str">
        <f>IFERROR(__xludf.DUMMYFUNCTION("""COMPUTED_VALUE"""),"Trương Thành Đạt; Trịnh Hoàng Dung; Nguyễn Duy Khánh; Châu Văn Quốc Anh")</f>
        <v>Trương Thành Đạt; Trịnh Hoàng Dung; Nguyễn Duy Khánh; Châu Văn Quốc Anh</v>
      </c>
      <c r="E3" s="4" t="str">
        <f>IFERROR(__xludf.DUMMYFUNCTION("""COMPUTED_VALUE"""),"Đại học Y Dược TP. Hồ Chí Minh")</f>
        <v>Đại học Y Dược TP. Hồ Chí Minh</v>
      </c>
      <c r="F3" s="4" t="str">
        <f>IFERROR(__xludf.DUMMYFUNCTION("""COMPUTED_VALUE"""),"SH2026-002.png")</f>
        <v>SH2026-002.png</v>
      </c>
    </row>
    <row r="4">
      <c r="A4" s="4" t="str">
        <f>IFERROR(__xludf.DUMMYFUNCTION("""COMPUTED_VALUE"""),"SH2026-003")</f>
        <v>SH2026-003</v>
      </c>
      <c r="B4" s="4" t="str">
        <f>IFERROR(__xludf.DUMMYFUNCTION("""COMPUTED_VALUE"""),"Sinh học")</f>
        <v>Sinh học</v>
      </c>
      <c r="C4" s="4" t="str">
        <f>IFERROR(__xludf.DUMMYFUNCTION("""COMPUTED_VALUE"""),"Nghiên cứu tác dụng chống xơ hoá phổi của cao chiết cây dâu tằm trắng (Morus alba L.) trên mô hình chuột gây xơ hoá phổi bằng bleomycin")</f>
        <v>Nghiên cứu tác dụng chống xơ hoá phổi của cao chiết cây dâu tằm trắng (Morus alba L.) trên mô hình chuột gây xơ hoá phổi bằng bleomycin</v>
      </c>
      <c r="D4" s="4" t="str">
        <f>IFERROR(__xludf.DUMMYFUNCTION("""COMPUTED_VALUE"""),"Võ Bách Hợp; Trần Minh Vàng; Bạch Hưng Thái Sơn; Nguyễn Ngọc Khánh Uyên")</f>
        <v>Võ Bách Hợp; Trần Minh Vàng; Bạch Hưng Thái Sơn; Nguyễn Ngọc Khánh Uyên</v>
      </c>
      <c r="E4" s="4" t="str">
        <f>IFERROR(__xludf.DUMMYFUNCTION("""COMPUTED_VALUE"""),"Đại học Y Dược TP. Hồ Chí Minh")</f>
        <v>Đại học Y Dược TP. Hồ Chí Minh</v>
      </c>
      <c r="F4" s="4" t="str">
        <f>IFERROR(__xludf.DUMMYFUNCTION("""COMPUTED_VALUE"""),"SH2026-003.png")</f>
        <v>SH2026-003.png</v>
      </c>
    </row>
    <row r="5">
      <c r="A5" s="4" t="str">
        <f>IFERROR(__xludf.DUMMYFUNCTION("""COMPUTED_VALUE"""),"SH2026-005")</f>
        <v>SH2026-005</v>
      </c>
      <c r="B5" s="4" t="str">
        <f>IFERROR(__xludf.DUMMYFUNCTION("""COMPUTED_VALUE"""),"Sinh học")</f>
        <v>Sinh học</v>
      </c>
      <c r="C5" s="4" t="str">
        <f>IFERROR(__xludf.DUMMYFUNCTION("""COMPUTED_VALUE"""),"Nghiên cứu tách chiết và đánh giá khả năng kháng oxy hóa, kháng khuẩn của tinh dầu cây Dổi đất (Piper auritum)")</f>
        <v>Nghiên cứu tách chiết và đánh giá khả năng kháng oxy hóa, kháng khuẩn của tinh dầu cây Dổi đất (Piper auritum)</v>
      </c>
      <c r="D5" s="4" t="str">
        <f>IFERROR(__xludf.DUMMYFUNCTION("""COMPUTED_VALUE"""),"Cao Ngọc Thuỳ; Lê Phan Khánh Bình")</f>
        <v>Cao Ngọc Thuỳ; Lê Phan Khánh Bình</v>
      </c>
      <c r="E5" s="4" t="str">
        <f>IFERROR(__xludf.DUMMYFUNCTION("""COMPUTED_VALUE"""),"Trường Đại học Nguyễn Tất Thành")</f>
        <v>Trường Đại học Nguyễn Tất Thành</v>
      </c>
      <c r="F5" s="4" t="str">
        <f>IFERROR(__xludf.DUMMYFUNCTION("""COMPUTED_VALUE"""),"SH2026-005.png")</f>
        <v>SH2026-005.png</v>
      </c>
    </row>
    <row r="6">
      <c r="A6" s="4" t="str">
        <f>IFERROR(__xludf.DUMMYFUNCTION("""COMPUTED_VALUE"""),"SH2026-006")</f>
        <v>SH2026-006</v>
      </c>
      <c r="B6" s="4" t="str">
        <f>IFERROR(__xludf.DUMMYFUNCTION("""COMPUTED_VALUE"""),"Sinh học")</f>
        <v>Sinh học</v>
      </c>
      <c r="C6" s="4" t="str">
        <f>IFERROR(__xludf.DUMMYFUNCTION("""COMPUTED_VALUE"""),"Nghiên cứu thu cao dịch chiết cây Sâm Đá (Curcuma singularis Gagnep.) và đánh giá hoạt tính sinh học")</f>
        <v>Nghiên cứu thu cao dịch chiết cây Sâm Đá (Curcuma singularis Gagnep.) và đánh giá hoạt tính sinh học</v>
      </c>
      <c r="D6" s="4" t="str">
        <f>IFERROR(__xludf.DUMMYFUNCTION("""COMPUTED_VALUE"""),"Lâm Gia Khang; Trần Yến Như")</f>
        <v>Lâm Gia Khang; Trần Yến Như</v>
      </c>
      <c r="E6" s="4" t="str">
        <f>IFERROR(__xludf.DUMMYFUNCTION("""COMPUTED_VALUE"""),"Trường Đại học Nguyễn Tất Thành")</f>
        <v>Trường Đại học Nguyễn Tất Thành</v>
      </c>
      <c r="F6" s="4" t="str">
        <f>IFERROR(__xludf.DUMMYFUNCTION("""COMPUTED_VALUE"""),"SH2026-006.png")</f>
        <v>SH2026-006.png</v>
      </c>
    </row>
    <row r="7">
      <c r="A7" s="4" t="str">
        <f>IFERROR(__xludf.DUMMYFUNCTION("""COMPUTED_VALUE"""),"SH2026-007")</f>
        <v>SH2026-007</v>
      </c>
      <c r="B7" s="4" t="str">
        <f>IFERROR(__xludf.DUMMYFUNCTION("""COMPUTED_VALUE"""),"Sinh học")</f>
        <v>Sinh học</v>
      </c>
      <c r="C7" s="4" t="str">
        <f>IFERROR(__xludf.DUMMYFUNCTION("""COMPUTED_VALUE"""),"Tuyển chọn vi khuẩn vùng rễ có khả năng ức chế Fusarium falciforme gây bệnh héo rũ cây ớt chỉ thiên (Capsicum frutescens)")</f>
        <v>Tuyển chọn vi khuẩn vùng rễ có khả năng ức chế Fusarium falciforme gây bệnh héo rũ cây ớt chỉ thiên (Capsicum frutescens)</v>
      </c>
      <c r="D7" s="4" t="str">
        <f>IFERROR(__xludf.DUMMYFUNCTION("""COMPUTED_VALUE"""),"Bùi Minh Khang")</f>
        <v>Bùi Minh Khang</v>
      </c>
      <c r="E7" s="4" t="str">
        <f>IFERROR(__xludf.DUMMYFUNCTION("""COMPUTED_VALUE"""),"Trường Đại học Nguyễn Tất Thành")</f>
        <v>Trường Đại học Nguyễn Tất Thành</v>
      </c>
      <c r="F7" s="4" t="str">
        <f>IFERROR(__xludf.DUMMYFUNCTION("""COMPUTED_VALUE"""),"SH2026-007.png")</f>
        <v>SH2026-007.png</v>
      </c>
    </row>
    <row r="8">
      <c r="A8" s="4" t="str">
        <f>IFERROR(__xludf.DUMMYFUNCTION("""COMPUTED_VALUE"""),"SH2026-008")</f>
        <v>SH2026-008</v>
      </c>
      <c r="B8" s="4" t="str">
        <f>IFERROR(__xludf.DUMMYFUNCTION("""COMPUTED_VALUE"""),"Sinh học")</f>
        <v>Sinh học</v>
      </c>
      <c r="C8" s="4" t="str">
        <f>IFERROR(__xludf.DUMMYFUNCTION("""COMPUTED_VALUE"""),"Nghiên cứu sản xuất màng carrageenan từ rong sụn Kappaphycus alvarezii và ứng dụng trong kháng khuẩn, kháng viêm da in vitro")</f>
        <v>Nghiên cứu sản xuất màng carrageenan từ rong sụn Kappaphycus alvarezii và ứng dụng trong kháng khuẩn, kháng viêm da in vitro</v>
      </c>
      <c r="D8" s="4" t="str">
        <f>IFERROR(__xludf.DUMMYFUNCTION("""COMPUTED_VALUE"""),"Huỳnh Khả Kỳ; Đỗ Trần Vân Anh; Bạch Trương Phương Thùy; Nguyễn Ngọc Cẩm Tiên; Nguyễn Hoài Tri Ân")</f>
        <v>Huỳnh Khả Kỳ; Đỗ Trần Vân Anh; Bạch Trương Phương Thùy; Nguyễn Ngọc Cẩm Tiên; Nguyễn Hoài Tri Ân</v>
      </c>
      <c r="E8" s="4" t="str">
        <f>IFERROR(__xludf.DUMMYFUNCTION("""COMPUTED_VALUE"""),"Trường Đại học Tôn Đức Thắng")</f>
        <v>Trường Đại học Tôn Đức Thắng</v>
      </c>
      <c r="F8" s="4" t="str">
        <f>IFERROR(__xludf.DUMMYFUNCTION("""COMPUTED_VALUE"""),"SH2026-008.png")</f>
        <v>SH2026-008.png</v>
      </c>
    </row>
    <row r="9">
      <c r="A9" s="4" t="str">
        <f>IFERROR(__xludf.DUMMYFUNCTION("""COMPUTED_VALUE"""),"SH2026-009")</f>
        <v>SH2026-009</v>
      </c>
      <c r="B9" s="4" t="str">
        <f>IFERROR(__xludf.DUMMYFUNCTION("""COMPUTED_VALUE"""),"Sinh học")</f>
        <v>Sinh học</v>
      </c>
      <c r="C9" s="4" t="str">
        <f>IFERROR(__xludf.DUMMYFUNCTION("""COMPUTED_VALUE"""),"Nghiên cứu chế tạo miếng dán hydrogel thông minh từ gellan gum/bacterial cellulose/tannic acid chứa chiết xuất tự nhiên có khả năng theo dõi tình trạng vết thương, kháng khuẩn và thúc đẩy quá trình tái tạo mô")</f>
        <v>Nghiên cứu chế tạo miếng dán hydrogel thông minh từ gellan gum/bacterial cellulose/tannic acid chứa chiết xuất tự nhiên có khả năng theo dõi tình trạng vết thương, kháng khuẩn và thúc đẩy quá trình tái tạo mô</v>
      </c>
      <c r="D9" s="4" t="str">
        <f>IFERROR(__xludf.DUMMYFUNCTION("""COMPUTED_VALUE"""),"Trần Quốc Anh; Trần Ngọc Yến Linh; Nguyễn Mai Nhi; Đặng Phương Lan Anh; Lê Thị Kim Hằng")</f>
        <v>Trần Quốc Anh; Trần Ngọc Yến Linh; Nguyễn Mai Nhi; Đặng Phương Lan Anh; Lê Thị Kim Hằng</v>
      </c>
      <c r="E9" s="4" t="str">
        <f>IFERROR(__xludf.DUMMYFUNCTION("""COMPUTED_VALUE"""),"Trường Đại học Tôn Đức Thắng")</f>
        <v>Trường Đại học Tôn Đức Thắng</v>
      </c>
      <c r="F9" s="4" t="str">
        <f>IFERROR(__xludf.DUMMYFUNCTION("""COMPUTED_VALUE"""),"SH2026-009.png")</f>
        <v>SH2026-009.png</v>
      </c>
    </row>
    <row r="10">
      <c r="A10" s="4" t="str">
        <f>IFERROR(__xludf.DUMMYFUNCTION("""COMPUTED_VALUE"""),"SH2026-010")</f>
        <v>SH2026-010</v>
      </c>
      <c r="B10" s="4" t="str">
        <f>IFERROR(__xludf.DUMMYFUNCTION("""COMPUTED_VALUE"""),"Sinh học")</f>
        <v>Sinh học</v>
      </c>
      <c r="C10" s="4" t="str">
        <f>IFERROR(__xludf.DUMMYFUNCTION("""COMPUTED_VALUE"""),"pH-sensitive hydrogel for colon-targeted delivery of astaxanthin extract from Rhodosporidium toruloides G17: Antioxidant, anti-inflammatory, and anticancer activities")</f>
        <v>pH-sensitive hydrogel for colon-targeted delivery of astaxanthin extract from Rhodosporidium toruloides G17: Antioxidant, anti-inflammatory, and anticancer activities</v>
      </c>
      <c r="D10" s="4" t="str">
        <f>IFERROR(__xludf.DUMMYFUNCTION("""COMPUTED_VALUE"""),"Nguyễn Hồ Vũ; Phạm Mỹ Nga; Vũ Hoàng Kim Nhung")</f>
        <v>Nguyễn Hồ Vũ; Phạm Mỹ Nga; Vũ Hoàng Kim Nhung</v>
      </c>
      <c r="E10" s="4" t="str">
        <f>IFERROR(__xludf.DUMMYFUNCTION("""COMPUTED_VALUE"""),"Trường Đại học Tôn Đức Thắng")</f>
        <v>Trường Đại học Tôn Đức Thắng</v>
      </c>
      <c r="F10" s="4" t="str">
        <f>IFERROR(__xludf.DUMMYFUNCTION("""COMPUTED_VALUE"""),"SH2026-010.png")</f>
        <v>SH2026-010.png</v>
      </c>
    </row>
    <row r="11">
      <c r="A11" s="4" t="str">
        <f>IFERROR(__xludf.DUMMYFUNCTION("""COMPUTED_VALUE"""),"SH2026-011")</f>
        <v>SH2026-011</v>
      </c>
      <c r="B11" s="4" t="str">
        <f>IFERROR(__xludf.DUMMYFUNCTION("""COMPUTED_VALUE"""),"Sinh học")</f>
        <v>Sinh học</v>
      </c>
      <c r="C11" s="4" t="str">
        <f>IFERROR(__xludf.DUMMYFUNCTION("""COMPUTED_VALUE"""),"Phytochemical profiling and in vitro evaluation of the antibacterial, anti-inflammatory and antidiabetic supportive activities of Camellia quephongensis essential oil")</f>
        <v>Phytochemical profiling and in vitro evaluation of the antibacterial, anti-inflammatory and antidiabetic supportive activities of Camellia quephongensis essential oil</v>
      </c>
      <c r="D11" s="4" t="str">
        <f>IFERROR(__xludf.DUMMYFUNCTION("""COMPUTED_VALUE"""),"Triệu Ánh Minh; Phạm Minh Cường; Hữu Hoàng Mai Phương")</f>
        <v>Triệu Ánh Minh; Phạm Minh Cường; Hữu Hoàng Mai Phương</v>
      </c>
      <c r="E11" s="4" t="str">
        <f>IFERROR(__xludf.DUMMYFUNCTION("""COMPUTED_VALUE"""),"Trường Đại học Tôn Đức Thắng")</f>
        <v>Trường Đại học Tôn Đức Thắng</v>
      </c>
      <c r="F11" s="4" t="str">
        <f>IFERROR(__xludf.DUMMYFUNCTION("""COMPUTED_VALUE"""),"SH2026-011.png")</f>
        <v>SH2026-011.png</v>
      </c>
    </row>
    <row r="12">
      <c r="A12" s="4" t="str">
        <f>IFERROR(__xludf.DUMMYFUNCTION("""COMPUTED_VALUE"""),"SH2026-012")</f>
        <v>SH2026-012</v>
      </c>
      <c r="B12" s="4" t="str">
        <f>IFERROR(__xludf.DUMMYFUNCTION("""COMPUTED_VALUE"""),"Sinh học")</f>
        <v>Sinh học</v>
      </c>
      <c r="C12" s="4" t="str">
        <f>IFERROR(__xludf.DUMMYFUNCTION("""COMPUTED_VALUE"""),"Assessment of hly Gene Expression in Listeria monocytogenes Exposed to Stress Conditions using PCR")</f>
        <v>Assessment of hly Gene Expression in Listeria monocytogenes Exposed to Stress Conditions using PCR</v>
      </c>
      <c r="D12" s="4" t="str">
        <f>IFERROR(__xludf.DUMMYFUNCTION("""COMPUTED_VALUE"""),"Chiêm Trần Thảo Trinh; Tào Mỹ Vân; Phù Cẩm Ngọc")</f>
        <v>Chiêm Trần Thảo Trinh; Tào Mỹ Vân; Phù Cẩm Ngọc</v>
      </c>
      <c r="E12" s="4" t="str">
        <f>IFERROR(__xludf.DUMMYFUNCTION("""COMPUTED_VALUE"""),"Trường Đại học Tôn Đức Thắng")</f>
        <v>Trường Đại học Tôn Đức Thắng</v>
      </c>
      <c r="F12" s="4" t="str">
        <f>IFERROR(__xludf.DUMMYFUNCTION("""COMPUTED_VALUE"""),"SH2026-012.png")</f>
        <v>SH2026-012.png</v>
      </c>
    </row>
    <row r="13">
      <c r="A13" s="4" t="str">
        <f>IFERROR(__xludf.DUMMYFUNCTION("""COMPUTED_VALUE"""),"SH2026-013")</f>
        <v>SH2026-013</v>
      </c>
      <c r="B13" s="4" t="str">
        <f>IFERROR(__xludf.DUMMYFUNCTION("""COMPUTED_VALUE"""),"Sinh học")</f>
        <v>Sinh học</v>
      </c>
      <c r="C13" s="4" t="str">
        <f>IFERROR(__xludf.DUMMYFUNCTION("""COMPUTED_VALUE"""),"Nghiên cứu tác dụng kích thích phát triển sợi thần kinh của chiết xuất Hypericum attenuatum trên dòng tế bào F11")</f>
        <v>Nghiên cứu tác dụng kích thích phát triển sợi thần kinh của chiết xuất Hypericum attenuatum trên dòng tế bào F11</v>
      </c>
      <c r="D13" s="4" t="str">
        <f>IFERROR(__xludf.DUMMYFUNCTION("""COMPUTED_VALUE"""),"Hoàng Thị Thuyết")</f>
        <v>Hoàng Thị Thuyết</v>
      </c>
      <c r="E13" s="4" t="str">
        <f>IFERROR(__xludf.DUMMYFUNCTION("""COMPUTED_VALUE"""),"Trường Đại học Mở Hà Nội")</f>
        <v>Trường Đại học Mở Hà Nội</v>
      </c>
      <c r="F13" s="4" t="str">
        <f>IFERROR(__xludf.DUMMYFUNCTION("""COMPUTED_VALUE"""),"SH2026-013.png")</f>
        <v>SH2026-013.png</v>
      </c>
    </row>
    <row r="14">
      <c r="A14" s="4" t="str">
        <f>IFERROR(__xludf.DUMMYFUNCTION("""COMPUTED_VALUE"""),"SH2026-014")</f>
        <v>SH2026-014</v>
      </c>
      <c r="B14" s="4" t="str">
        <f>IFERROR(__xludf.DUMMYFUNCTION("""COMPUTED_VALUE"""),"Sinh học")</f>
        <v>Sinh học</v>
      </c>
      <c r="C14" s="4" t="str">
        <f>IFERROR(__xludf.DUMMYFUNCTION("""COMPUTED_VALUE"""),"Khảo sát tác dụng kháng viêm, giảm đau và hạ sốt của chiết xuất lá Mua (Melastoma malabathricum L.) phối hợp Nanocurcumin trên chuột thực nghiệm")</f>
        <v>Khảo sát tác dụng kháng viêm, giảm đau và hạ sốt của chiết xuất lá Mua (Melastoma malabathricum L.) phối hợp Nanocurcumin trên chuột thực nghiệm</v>
      </c>
      <c r="D14" s="4" t="str">
        <f>IFERROR(__xludf.DUMMYFUNCTION("""COMPUTED_VALUE"""),"Lê Thị Trúc Ly; Trương Hoa Hồng Châu")</f>
        <v>Lê Thị Trúc Ly; Trương Hoa Hồng Châu</v>
      </c>
      <c r="E14" s="4" t="str">
        <f>IFERROR(__xludf.DUMMYFUNCTION("""COMPUTED_VALUE"""),"Trường Đại học Công nghiệp TP. Hồ Chí Minh")</f>
        <v>Trường Đại học Công nghiệp TP. Hồ Chí Minh</v>
      </c>
      <c r="F14" s="4" t="str">
        <f>IFERROR(__xludf.DUMMYFUNCTION("""COMPUTED_VALUE"""),"SH2026-014.png")</f>
        <v>SH2026-014.png</v>
      </c>
    </row>
    <row r="15">
      <c r="A15" s="4" t="str">
        <f>IFERROR(__xludf.DUMMYFUNCTION("""COMPUTED_VALUE"""),"SH2026-015")</f>
        <v>SH2026-015</v>
      </c>
      <c r="B15" s="4" t="str">
        <f>IFERROR(__xludf.DUMMYFUNCTION("""COMPUTED_VALUE"""),"Sinh học")</f>
        <v>Sinh học</v>
      </c>
      <c r="C15" s="4" t="str">
        <f>IFERROR(__xludf.DUMMYFUNCTION("""COMPUTED_VALUE"""),"Xây dựng hệ thống phân tích PhotoMethyl để nghiên cứu cơ chế hình thành hệ vi sinh vật cộng sinh trên thực vật quang hợp")</f>
        <v>Xây dựng hệ thống phân tích PhotoMethyl để nghiên cứu cơ chế hình thành hệ vi sinh vật cộng sinh trên thực vật quang hợp</v>
      </c>
      <c r="D15" s="4" t="str">
        <f>IFERROR(__xludf.DUMMYFUNCTION("""COMPUTED_VALUE"""),"Kiều Công Trí; Lê Thị Ngọc Huệ; Nguyễn Phương Tuyền")</f>
        <v>Kiều Công Trí; Lê Thị Ngọc Huệ; Nguyễn Phương Tuyền</v>
      </c>
      <c r="E15" s="4" t="str">
        <f>IFERROR(__xludf.DUMMYFUNCTION("""COMPUTED_VALUE"""),"Trường Đại học Công nghiệp TP. Hồ Chí Minh")</f>
        <v>Trường Đại học Công nghiệp TP. Hồ Chí Minh</v>
      </c>
      <c r="F15" s="4" t="str">
        <f>IFERROR(__xludf.DUMMYFUNCTION("""COMPUTED_VALUE"""),"SH2026-015.png")</f>
        <v>SH2026-015.png</v>
      </c>
    </row>
    <row r="16">
      <c r="A16" s="4" t="str">
        <f>IFERROR(__xludf.DUMMYFUNCTION("""COMPUTED_VALUE"""),"SH2026-016")</f>
        <v>SH2026-016</v>
      </c>
      <c r="B16" s="4" t="str">
        <f>IFERROR(__xludf.DUMMYFUNCTION("""COMPUTED_VALUE"""),"Sinh học")</f>
        <v>Sinh học</v>
      </c>
      <c r="C16" s="4" t="str">
        <f>IFERROR(__xludf.DUMMYFUNCTION("""COMPUTED_VALUE"""),"Khám phá các hợp chất thực vật tiềm năng chống béo phì từ cây ô rô nước (Acanthus ebracteatus) định hướng bằng học máy (Isolation Forest) kết hợp docking và mô phỏng động lực học phân tử")</f>
        <v>Khám phá các hợp chất thực vật tiềm năng chống béo phì từ cây ô rô nước (Acanthus ebracteatus) định hướng bằng học máy (Isolation Forest) kết hợp docking và mô phỏng động lực học phân tử</v>
      </c>
      <c r="D16" s="4" t="str">
        <f>IFERROR(__xludf.DUMMYFUNCTION("""COMPUTED_VALUE"""),"Dương Phước Mai Quỳnh; Trần Tú Quyên")</f>
        <v>Dương Phước Mai Quỳnh; Trần Tú Quyên</v>
      </c>
      <c r="E16" s="4" t="str">
        <f>IFERROR(__xludf.DUMMYFUNCTION("""COMPUTED_VALUE"""),"Trường Đại học Công nghiệp TP. Hồ Chí Minh")</f>
        <v>Trường Đại học Công nghiệp TP. Hồ Chí Minh</v>
      </c>
      <c r="F16" s="4" t="str">
        <f>IFERROR(__xludf.DUMMYFUNCTION("""COMPUTED_VALUE"""),"SH2026-016.png")</f>
        <v>SH2026-016.png</v>
      </c>
    </row>
    <row r="17">
      <c r="A17" s="4" t="str">
        <f>IFERROR(__xludf.DUMMYFUNCTION("""COMPUTED_VALUE"""),"SH2026-017")</f>
        <v>SH2026-017</v>
      </c>
      <c r="B17" s="4" t="str">
        <f>IFERROR(__xludf.DUMMYFUNCTION("""COMPUTED_VALUE"""),"Sinh học")</f>
        <v>Sinh học</v>
      </c>
      <c r="C17" s="4" t="str">
        <f>IFERROR(__xludf.DUMMYFUNCTION("""COMPUTED_VALUE"""),"Tối ưu hoá hai bậc quá trình nhân giống và lên men Bacillus subtilis var. natto siamb 12 định hướng hoàn thiện quy trình sản xuất bột đậu nành lên men giàu nattokinase")</f>
        <v>Tối ưu hoá hai bậc quá trình nhân giống và lên men Bacillus subtilis var. natto siamb 12 định hướng hoàn thiện quy trình sản xuất bột đậu nành lên men giàu nattokinase</v>
      </c>
      <c r="D17" s="4" t="str">
        <f>IFERROR(__xludf.DUMMYFUNCTION("""COMPUTED_VALUE"""),"Nguyễn Gia Bảo; Phạm Thị Kim Ngân; Trần Thị Thu Hương; Trần Lê Thúy Quyên")</f>
        <v>Nguyễn Gia Bảo; Phạm Thị Kim Ngân; Trần Thị Thu Hương; Trần Lê Thúy Quyên</v>
      </c>
      <c r="E17" s="4" t="str">
        <f>IFERROR(__xludf.DUMMYFUNCTION("""COMPUTED_VALUE"""),"Trường Đại học Công nghiệp TP. Hồ Chí Minh")</f>
        <v>Trường Đại học Công nghiệp TP. Hồ Chí Minh</v>
      </c>
      <c r="F17" s="4" t="str">
        <f>IFERROR(__xludf.DUMMYFUNCTION("""COMPUTED_VALUE"""),"SH2026-017.png")</f>
        <v>SH2026-017.png</v>
      </c>
    </row>
    <row r="18">
      <c r="A18" s="4" t="str">
        <f>IFERROR(__xludf.DUMMYFUNCTION("""COMPUTED_VALUE"""),"SH2026-018")</f>
        <v>SH2026-018</v>
      </c>
      <c r="B18" s="4" t="str">
        <f>IFERROR(__xludf.DUMMYFUNCTION("""COMPUTED_VALUE"""),"Sinh học")</f>
        <v>Sinh học</v>
      </c>
      <c r="C18" s="4" t="str">
        <f>IFERROR(__xludf.DUMMYFUNCTION("""COMPUTED_VALUE"""),"Phân lập và tuyển chọn các chủng vi khuẩn chịu mặn có khả năng sinh protease từ mắm cá linh (Henicorhynchus siamensis ) và cá sặc (Trichopodus trichopterus)")</f>
        <v>Phân lập và tuyển chọn các chủng vi khuẩn chịu mặn có khả năng sinh protease từ mắm cá linh (Henicorhynchus siamensis ) và cá sặc (Trichopodus trichopterus)</v>
      </c>
      <c r="D18" s="4" t="str">
        <f>IFERROR(__xludf.DUMMYFUNCTION("""COMPUTED_VALUE"""),"Nguyễn Hữu Kiệt; Lê Duy Quân")</f>
        <v>Nguyễn Hữu Kiệt; Lê Duy Quân</v>
      </c>
      <c r="E18" s="4" t="str">
        <f>IFERROR(__xludf.DUMMYFUNCTION("""COMPUTED_VALUE"""),"Trường Đại học Công nghiệp TP. Hồ Chí Minh")</f>
        <v>Trường Đại học Công nghiệp TP. Hồ Chí Minh</v>
      </c>
      <c r="F18" s="4" t="str">
        <f>IFERROR(__xludf.DUMMYFUNCTION("""COMPUTED_VALUE"""),"SH2026-018.png")</f>
        <v>SH2026-018.png</v>
      </c>
    </row>
    <row r="19">
      <c r="A19" s="4" t="str">
        <f>IFERROR(__xludf.DUMMYFUNCTION("""COMPUTED_VALUE"""),"SH2026-019")</f>
        <v>SH2026-019</v>
      </c>
      <c r="B19" s="4" t="str">
        <f>IFERROR(__xludf.DUMMYFUNCTION("""COMPUTED_VALUE"""),"Sinh học")</f>
        <v>Sinh học</v>
      </c>
      <c r="C19" s="4" t="str">
        <f>IFERROR(__xludf.DUMMYFUNCTION("""COMPUTED_VALUE"""),"Tìm hiểu thông tin marker SNP liên kết tính trạng phấn trắng biểu bì ở trái bí đao trưởng thành")</f>
        <v>Tìm hiểu thông tin marker SNP liên kết tính trạng phấn trắng biểu bì ở trái bí đao trưởng thành</v>
      </c>
      <c r="D19" s="4" t="str">
        <f>IFERROR(__xludf.DUMMYFUNCTION("""COMPUTED_VALUE"""),"Bùi Văn Trương; Phan Hồ Thảo Quyên")</f>
        <v>Bùi Văn Trương; Phan Hồ Thảo Quyên</v>
      </c>
      <c r="E19" s="4" t="str">
        <f>IFERROR(__xludf.DUMMYFUNCTION("""COMPUTED_VALUE"""),"Trường Đại học Mở TP. Hồ Chí Minh")</f>
        <v>Trường Đại học Mở TP. Hồ Chí Minh</v>
      </c>
      <c r="F19" s="4" t="str">
        <f>IFERROR(__xludf.DUMMYFUNCTION("""COMPUTED_VALUE"""),"SH2026-019.png")</f>
        <v>SH2026-019.png</v>
      </c>
    </row>
    <row r="20">
      <c r="A20" s="4" t="str">
        <f>IFERROR(__xludf.DUMMYFUNCTION("""COMPUTED_VALUE"""),"SH2026-020")</f>
        <v>SH2026-020</v>
      </c>
      <c r="B20" s="4" t="str">
        <f>IFERROR(__xludf.DUMMYFUNCTION("""COMPUTED_VALUE"""),"Sinh học")</f>
        <v>Sinh học</v>
      </c>
      <c r="C20" s="4" t="str">
        <f>IFERROR(__xludf.DUMMYFUNCTION("""COMPUTED_VALUE"""),"Tìm hiểu thông tin marker SNP liên quan tính trạng màu thịt trái ở dưa lưới (Cucumis melo)")</f>
        <v>Tìm hiểu thông tin marker SNP liên quan tính trạng màu thịt trái ở dưa lưới (Cucumis melo)</v>
      </c>
      <c r="D20" s="4" t="str">
        <f>IFERROR(__xludf.DUMMYFUNCTION("""COMPUTED_VALUE"""),"Phan Hồ Thảo Quyên; Bùi Văn Trương")</f>
        <v>Phan Hồ Thảo Quyên; Bùi Văn Trương</v>
      </c>
      <c r="E20" s="4" t="str">
        <f>IFERROR(__xludf.DUMMYFUNCTION("""COMPUTED_VALUE"""),"Trường Đại học Mở TP. Hồ Chí Minh")</f>
        <v>Trường Đại học Mở TP. Hồ Chí Minh</v>
      </c>
      <c r="F20" s="4" t="str">
        <f>IFERROR(__xludf.DUMMYFUNCTION("""COMPUTED_VALUE"""),"SH2026-020.png")</f>
        <v>SH2026-020.png</v>
      </c>
    </row>
    <row r="21">
      <c r="A21" s="4" t="str">
        <f>IFERROR(__xludf.DUMMYFUNCTION("""COMPUTED_VALUE"""),"SH2026-021")</f>
        <v>SH2026-021</v>
      </c>
      <c r="B21" s="4" t="str">
        <f>IFERROR(__xludf.DUMMYFUNCTION("""COMPUTED_VALUE"""),"Sinh học")</f>
        <v>Sinh học</v>
      </c>
      <c r="C21" s="4" t="str">
        <f>IFERROR(__xludf.DUMMYFUNCTION("""COMPUTED_VALUE"""),"A machine learning method for intrinsically disordered region homology detection")</f>
        <v>A machine learning method for intrinsically disordered region homology detection</v>
      </c>
      <c r="D21" s="4" t="str">
        <f>IFERROR(__xludf.DUMMYFUNCTION("""COMPUTED_VALUE"""),"Lê Gia Cát")</f>
        <v>Lê Gia Cát</v>
      </c>
      <c r="E21" s="4" t="str">
        <f>IFERROR(__xludf.DUMMYFUNCTION("""COMPUTED_VALUE"""),"Trường Đại học Khoa học Tự nhiên, ĐHQG-HCM")</f>
        <v>Trường Đại học Khoa học Tự nhiên, ĐHQG-HCM</v>
      </c>
      <c r="F21" s="4" t="str">
        <f>IFERROR(__xludf.DUMMYFUNCTION("""COMPUTED_VALUE"""),"SH2026-021.png")</f>
        <v>SH2026-021.png</v>
      </c>
    </row>
    <row r="22">
      <c r="A22" s="4" t="str">
        <f>IFERROR(__xludf.DUMMYFUNCTION("""COMPUTED_VALUE"""),"SH2026-022")</f>
        <v>SH2026-022</v>
      </c>
      <c r="B22" s="4" t="str">
        <f>IFERROR(__xludf.DUMMYFUNCTION("""COMPUTED_VALUE"""),"Sinh học")</f>
        <v>Sinh học</v>
      </c>
      <c r="C22" s="4" t="str">
        <f>IFERROR(__xludf.DUMMYFUNCTION("""COMPUTED_VALUE"""),"Thiết kế hệ hydrogel bám dính sinh học chứa dịch chiết cây nhọ nồi Eclipta prostrata với hoạt tính chống oxy hóa tăng cường trong quản lý vết thương")</f>
        <v>Thiết kế hệ hydrogel bám dính sinh học chứa dịch chiết cây nhọ nồi Eclipta prostrata với hoạt tính chống oxy hóa tăng cường trong quản lý vết thương</v>
      </c>
      <c r="D22" s="4" t="str">
        <f>IFERROR(__xludf.DUMMYFUNCTION("""COMPUTED_VALUE"""),"Nguyễn Như Quỳnh; Trần Thị Mỹ Dung")</f>
        <v>Nguyễn Như Quỳnh; Trần Thị Mỹ Dung</v>
      </c>
      <c r="E22" s="4" t="str">
        <f>IFERROR(__xludf.DUMMYFUNCTION("""COMPUTED_VALUE"""),"Trường Đại học Khoa học Tự nhiên, ĐHQG-HCM")</f>
        <v>Trường Đại học Khoa học Tự nhiên, ĐHQG-HCM</v>
      </c>
      <c r="F22" s="4" t="str">
        <f>IFERROR(__xludf.DUMMYFUNCTION("""COMPUTED_VALUE"""),"SH2026-022.png")</f>
        <v>SH2026-022.png</v>
      </c>
    </row>
    <row r="23">
      <c r="A23" s="4" t="str">
        <f>IFERROR(__xludf.DUMMYFUNCTION("""COMPUTED_VALUE"""),"SH2026-023")</f>
        <v>SH2026-023</v>
      </c>
      <c r="B23" s="4" t="str">
        <f>IFERROR(__xludf.DUMMYFUNCTION("""COMPUTED_VALUE"""),"Sinh học")</f>
        <v>Sinh học</v>
      </c>
      <c r="C23" s="4" t="str">
        <f>IFERROR(__xludf.DUMMYFUNCTION("""COMPUTED_VALUE"""),"Phân lập và sàng lọc vi sinh vật chịu nhiệt có khả năng phân giải cellulose ứng dụng xử lý phụ phẩm")</f>
        <v>Phân lập và sàng lọc vi sinh vật chịu nhiệt có khả năng phân giải cellulose ứng dụng xử lý phụ phẩm</v>
      </c>
      <c r="D23" s="4" t="str">
        <f>IFERROR(__xludf.DUMMYFUNCTION("""COMPUTED_VALUE"""),"Hoàng Thị Bích Đào")</f>
        <v>Hoàng Thị Bích Đào</v>
      </c>
      <c r="E23" s="4" t="str">
        <f>IFERROR(__xludf.DUMMYFUNCTION("""COMPUTED_VALUE"""),"Trường Đại học Mở TP. Hồ Chí Minh")</f>
        <v>Trường Đại học Mở TP. Hồ Chí Minh</v>
      </c>
      <c r="F23" s="4" t="str">
        <f>IFERROR(__xludf.DUMMYFUNCTION("""COMPUTED_VALUE"""),"SH2026-023.png")</f>
        <v>SH2026-023.png</v>
      </c>
    </row>
    <row r="24">
      <c r="A24" s="4" t="str">
        <f>IFERROR(__xludf.DUMMYFUNCTION("""COMPUTED_VALUE"""),"SH2026-024")</f>
        <v>SH2026-024</v>
      </c>
      <c r="B24" s="4" t="str">
        <f>IFERROR(__xludf.DUMMYFUNCTION("""COMPUTED_VALUE"""),"Sinh học")</f>
        <v>Sinh học</v>
      </c>
      <c r="C24" s="4" t="str">
        <f>IFERROR(__xludf.DUMMYFUNCTION("""COMPUTED_VALUE"""),"Đánh giá hoạt tính loại bỏ vi khuẩn sinh biofilm phân lập từ bề mặt điện thoại thông minh của tinh dầu quế (Cinnamomum cassia) và tinh dầu đinh hương (Syzygium aromaticum)")</f>
        <v>Đánh giá hoạt tính loại bỏ vi khuẩn sinh biofilm phân lập từ bề mặt điện thoại thông minh của tinh dầu quế (Cinnamomum cassia) và tinh dầu đinh hương (Syzygium aromaticum)</v>
      </c>
      <c r="D24" s="4" t="str">
        <f>IFERROR(__xludf.DUMMYFUNCTION("""COMPUTED_VALUE"""),"Vũ Thái Hợp; Đặng Việt Nhơn; Nguyễn Ngọc Thuỷ Tiên")</f>
        <v>Vũ Thái Hợp; Đặng Việt Nhơn; Nguyễn Ngọc Thuỷ Tiên</v>
      </c>
      <c r="E24" s="4" t="str">
        <f>IFERROR(__xludf.DUMMYFUNCTION("""COMPUTED_VALUE"""),"Trường Đại học Công nghệ TP. Hồ Chí Minh")</f>
        <v>Trường Đại học Công nghệ TP. Hồ Chí Minh</v>
      </c>
      <c r="F24" s="4" t="str">
        <f>IFERROR(__xludf.DUMMYFUNCTION("""COMPUTED_VALUE"""),"SH2026-024.png")</f>
        <v>SH2026-024.png</v>
      </c>
    </row>
    <row r="25">
      <c r="A25" s="4" t="str">
        <f>IFERROR(__xludf.DUMMYFUNCTION("""COMPUTED_VALUE"""),"SH2026-025")</f>
        <v>SH2026-025</v>
      </c>
      <c r="B25" s="4" t="str">
        <f>IFERROR(__xludf.DUMMYFUNCTION("""COMPUTED_VALUE"""),"Sinh học")</f>
        <v>Sinh học</v>
      </c>
      <c r="C25" s="4" t="str">
        <f>IFERROR(__xludf.DUMMYFUNCTION("""COMPUTED_VALUE"""),"Nghiên cứu khả năng thích nghi và khoáng hóa của chủng Sporosarcina pasteurii trong môi trường nước biển nhân tạo ứng dụng ổn định nền cát hướng tới giảm thiểu xói mòn ven biển")</f>
        <v>Nghiên cứu khả năng thích nghi và khoáng hóa của chủng Sporosarcina pasteurii trong môi trường nước biển nhân tạo ứng dụng ổn định nền cát hướng tới giảm thiểu xói mòn ven biển</v>
      </c>
      <c r="D25" s="4" t="str">
        <f>IFERROR(__xludf.DUMMYFUNCTION("""COMPUTED_VALUE"""),"Đặng Nghuyễn Quang Thiện; Nguyễn Thị Cẩm Tiên; Nguyễn Văn Hiển")</f>
        <v>Đặng Nghuyễn Quang Thiện; Nguyễn Thị Cẩm Tiên; Nguyễn Văn Hiển</v>
      </c>
      <c r="E25" s="4" t="str">
        <f>IFERROR(__xludf.DUMMYFUNCTION("""COMPUTED_VALUE"""),"Trường Đại học Công Thương TP. Hồ Chí Minh")</f>
        <v>Trường Đại học Công Thương TP. Hồ Chí Minh</v>
      </c>
      <c r="F25" s="4" t="str">
        <f>IFERROR(__xludf.DUMMYFUNCTION("""COMPUTED_VALUE"""),"SH2026-025.png")</f>
        <v>SH2026-025.png</v>
      </c>
    </row>
    <row r="26">
      <c r="A26" s="4" t="str">
        <f>IFERROR(__xludf.DUMMYFUNCTION("""COMPUTED_VALUE"""),"SH2026-026")</f>
        <v>SH2026-026</v>
      </c>
      <c r="B26" s="4" t="str">
        <f>IFERROR(__xludf.DUMMYFUNCTION("""COMPUTED_VALUE"""),"Sinh học")</f>
        <v>Sinh học</v>
      </c>
      <c r="C26" s="4" t="str">
        <f>IFERROR(__xludf.DUMMYFUNCTION("""COMPUTED_VALUE"""),"Đánh giá hoạt tính kháng viêm và kháng oxi hóa của hai cây thuộc chi Ceriops là Dà vôi (Ceriops tagal) và Dà quánh (Ceriops decandra)")</f>
        <v>Đánh giá hoạt tính kháng viêm và kháng oxi hóa của hai cây thuộc chi Ceriops là Dà vôi (Ceriops tagal) và Dà quánh (Ceriops decandra)</v>
      </c>
      <c r="D26" s="4" t="str">
        <f>IFERROR(__xludf.DUMMYFUNCTION("""COMPUTED_VALUE"""),"Đoàn Lê Phương Nhi; Đỗ Nguyễn Minh Thư")</f>
        <v>Đoàn Lê Phương Nhi; Đỗ Nguyễn Minh Thư</v>
      </c>
      <c r="E26" s="4" t="str">
        <f>IFERROR(__xludf.DUMMYFUNCTION("""COMPUTED_VALUE"""),"Trường Đại học Mở TP. Hồ Chí Minh")</f>
        <v>Trường Đại học Mở TP. Hồ Chí Minh</v>
      </c>
      <c r="F26" s="4" t="str">
        <f>IFERROR(__xludf.DUMMYFUNCTION("""COMPUTED_VALUE"""),"SH2026-026.png")</f>
        <v>SH2026-026.png</v>
      </c>
    </row>
    <row r="27">
      <c r="A27" s="4" t="str">
        <f>IFERROR(__xludf.DUMMYFUNCTION("""COMPUTED_VALUE"""),"SH2026-027")</f>
        <v>SH2026-027</v>
      </c>
      <c r="B27" s="4" t="str">
        <f>IFERROR(__xludf.DUMMYFUNCTION("""COMPUTED_VALUE"""),"Sinh học")</f>
        <v>Sinh học</v>
      </c>
      <c r="C27" s="4" t="str">
        <f>IFERROR(__xludf.DUMMYFUNCTION("""COMPUTED_VALUE"""),"Khảo sát khả năng kháng nấm Fusarium sp. gây bệnh thối rễ trên dưa leo của dịch chiết nha đam Aloe vera l. và nhũ tương tinh dầu tiêu")</f>
        <v>Khảo sát khả năng kháng nấm Fusarium sp. gây bệnh thối rễ trên dưa leo của dịch chiết nha đam Aloe vera l. và nhũ tương tinh dầu tiêu</v>
      </c>
      <c r="D27" s="4" t="str">
        <f>IFERROR(__xludf.DUMMYFUNCTION("""COMPUTED_VALUE"""),"Từ Gia Nhi; Đinh Hồng Vy; Trương Thị Nhi; Phan Bích Trâm")</f>
        <v>Từ Gia Nhi; Đinh Hồng Vy; Trương Thị Nhi; Phan Bích Trâm</v>
      </c>
      <c r="E27" s="4" t="str">
        <f>IFERROR(__xludf.DUMMYFUNCTION("""COMPUTED_VALUE"""),"Trường Đại học Mở TP. Hồ Chí Minh")</f>
        <v>Trường Đại học Mở TP. Hồ Chí Minh</v>
      </c>
      <c r="F27" s="4" t="str">
        <f>IFERROR(__xludf.DUMMYFUNCTION("""COMPUTED_VALUE"""),"SH2026-027.png")</f>
        <v>SH2026-027.png</v>
      </c>
    </row>
    <row r="28">
      <c r="A28" s="4" t="str">
        <f>IFERROR(__xludf.DUMMYFUNCTION("""COMPUTED_VALUE"""),"SH2026-028")</f>
        <v>SH2026-028</v>
      </c>
      <c r="B28" s="4" t="str">
        <f>IFERROR(__xludf.DUMMYFUNCTION("""COMPUTED_VALUE"""),"Sinh học")</f>
        <v>Sinh học</v>
      </c>
      <c r="C28" s="4" t="str">
        <f>IFERROR(__xludf.DUMMYFUNCTION("""COMPUTED_VALUE"""),"Nghiên cứu tuyển chọn chủng vi khuẩn lam có tiềm năng sinh lipid cao phân lập trên lá cây đước tại Vàm Sát (Cần Giờ) Thành phố Hồ Chí Minh")</f>
        <v>Nghiên cứu tuyển chọn chủng vi khuẩn lam có tiềm năng sinh lipid cao phân lập trên lá cây đước tại Vàm Sát (Cần Giờ) Thành phố Hồ Chí Minh</v>
      </c>
      <c r="D28" s="4" t="str">
        <f>IFERROR(__xludf.DUMMYFUNCTION("""COMPUTED_VALUE"""),"Cao Ngọc Lê Huy; Nguyễn Hương Giang; Huỳnh Ngọc Băng; Nguyễn Thành Phát; Hồ Đặng Minh Trâm")</f>
        <v>Cao Ngọc Lê Huy; Nguyễn Hương Giang; Huỳnh Ngọc Băng; Nguyễn Thành Phát; Hồ Đặng Minh Trâm</v>
      </c>
      <c r="E28" s="4" t="str">
        <f>IFERROR(__xludf.DUMMYFUNCTION("""COMPUTED_VALUE"""),"Trường Đại học Công Thương TP. Hồ Chí Minh")</f>
        <v>Trường Đại học Công Thương TP. Hồ Chí Minh</v>
      </c>
      <c r="F28" s="4" t="str">
        <f>IFERROR(__xludf.DUMMYFUNCTION("""COMPUTED_VALUE"""),"SH2026-028.png")</f>
        <v>SH2026-028.png</v>
      </c>
    </row>
    <row r="29">
      <c r="A29" s="4" t="str">
        <f>IFERROR(__xludf.DUMMYFUNCTION("""COMPUTED_VALUE"""),"SH2026-029")</f>
        <v>SH2026-029</v>
      </c>
      <c r="B29" s="4" t="str">
        <f>IFERROR(__xludf.DUMMYFUNCTION("""COMPUTED_VALUE"""),"Sinh học")</f>
        <v>Sinh học</v>
      </c>
      <c r="C29" s="4" t="str">
        <f>IFERROR(__xludf.DUMMYFUNCTION("""COMPUTED_VALUE"""),"Giải pháp mới trong kỹ thuật trồng nấm bào ngư")</f>
        <v>Giải pháp mới trong kỹ thuật trồng nấm bào ngư</v>
      </c>
      <c r="D29" s="4" t="str">
        <f>IFERROR(__xludf.DUMMYFUNCTION("""COMPUTED_VALUE"""),"Nguyễn Thị Như Quỳnh; Trần Minh Ý; Đặng Hữu Duyên; Bon Yo Ka Xuân Dũng; Trần Hồng Đăng")</f>
        <v>Nguyễn Thị Như Quỳnh; Trần Minh Ý; Đặng Hữu Duyên; Bon Yo Ka Xuân Dũng; Trần Hồng Đăng</v>
      </c>
      <c r="E29" s="4" t="str">
        <f>IFERROR(__xludf.DUMMYFUNCTION("""COMPUTED_VALUE"""),"Trường Đại học Đà Lạt")</f>
        <v>Trường Đại học Đà Lạt</v>
      </c>
      <c r="F29" s="4" t="str">
        <f>IFERROR(__xludf.DUMMYFUNCTION("""COMPUTED_VALUE"""),"SH2026-029.png")</f>
        <v>SH2026-029.png</v>
      </c>
    </row>
    <row r="30">
      <c r="A30" s="4" t="str">
        <f>IFERROR(__xludf.DUMMYFUNCTION("""COMPUTED_VALUE"""),"SH2026-030")</f>
        <v>SH2026-030</v>
      </c>
      <c r="B30" s="4" t="str">
        <f>IFERROR(__xludf.DUMMYFUNCTION("""COMPUTED_VALUE"""),"Sinh học")</f>
        <v>Sinh học</v>
      </c>
      <c r="C30" s="4" t="str">
        <f>IFERROR(__xludf.DUMMYFUNCTION("""COMPUTED_VALUE"""),"Nghiên cứu vật liệu sợi xanh từ cây thùa (Agave americana L.): quy trình sản xuất và ứng dụng nhuộm sinh thái")</f>
        <v>Nghiên cứu vật liệu sợi xanh từ cây thùa (Agave americana L.): quy trình sản xuất và ứng dụng nhuộm sinh thái</v>
      </c>
      <c r="D30" s="4" t="str">
        <f>IFERROR(__xludf.DUMMYFUNCTION("""COMPUTED_VALUE"""),"Huỳnh Hồ Phương Uyên; Phùng Thị Xuân Thảo; Nguyễn Khánh Nhi; Cai Hoàng Phúc; Phan Văn Thịnh")</f>
        <v>Huỳnh Hồ Phương Uyên; Phùng Thị Xuân Thảo; Nguyễn Khánh Nhi; Cai Hoàng Phúc; Phan Văn Thịnh</v>
      </c>
      <c r="E30" s="4" t="str">
        <f>IFERROR(__xludf.DUMMYFUNCTION("""COMPUTED_VALUE"""),"Trường Đại học Đà Lạt")</f>
        <v>Trường Đại học Đà Lạt</v>
      </c>
      <c r="F30" s="4" t="str">
        <f>IFERROR(__xludf.DUMMYFUNCTION("""COMPUTED_VALUE"""),"SH2026-030.png")</f>
        <v>SH2026-030.png</v>
      </c>
    </row>
    <row r="31">
      <c r="A31" s="4" t="str">
        <f>IFERROR(__xludf.DUMMYFUNCTION("""COMPUTED_VALUE"""),"SH2026-031")</f>
        <v>SH2026-031</v>
      </c>
      <c r="B31" s="4" t="str">
        <f>IFERROR(__xludf.DUMMYFUNCTION("""COMPUTED_VALUE"""),"Sinh học")</f>
        <v>Sinh học</v>
      </c>
      <c r="C31" s="4" t="str">
        <f>IFERROR(__xludf.DUMMYFUNCTION("""COMPUTED_VALUE"""),"Sản xuất enzyme ngoại bào tái tổ hợp từ bacillus subtilis vào thế hệ vector plygo-bs-1")</f>
        <v>Sản xuất enzyme ngoại bào tái tổ hợp từ bacillus subtilis vào thế hệ vector plygo-bs-1</v>
      </c>
      <c r="D31" s="4" t="str">
        <f>IFERROR(__xludf.DUMMYFUNCTION("""COMPUTED_VALUE"""),"Bùi Quang Lê; Lê Anh Khoa; Trương Tấn Phát")</f>
        <v>Bùi Quang Lê; Lê Anh Khoa; Trương Tấn Phát</v>
      </c>
      <c r="E31" s="4" t="str">
        <f>IFERROR(__xludf.DUMMYFUNCTION("""COMPUTED_VALUE"""),"Đại học Y Dược TP. Hồ Chí Minh")</f>
        <v>Đại học Y Dược TP. Hồ Chí Minh</v>
      </c>
      <c r="F31" s="4" t="str">
        <f>IFERROR(__xludf.DUMMYFUNCTION("""COMPUTED_VALUE"""),"SH2026-031.png")</f>
        <v>SH2026-031.png</v>
      </c>
    </row>
    <row r="32">
      <c r="A32" s="4" t="str">
        <f>IFERROR(__xludf.DUMMYFUNCTION("""COMPUTED_VALUE"""),"SH2026-032")</f>
        <v>SH2026-032</v>
      </c>
      <c r="B32" s="4" t="str">
        <f>IFERROR(__xludf.DUMMYFUNCTION("""COMPUTED_VALUE"""),"Sinh học")</f>
        <v>Sinh học</v>
      </c>
      <c r="C32" s="4" t="str">
        <f>IFERROR(__xludf.DUMMYFUNCTION("""COMPUTED_VALUE"""),"Khảo sát hoạt tính sinh học của mẫu Keo Ong không ngòi đốt thu tại Đồng Nai")</f>
        <v>Khảo sát hoạt tính sinh học của mẫu Keo Ong không ngòi đốt thu tại Đồng Nai</v>
      </c>
      <c r="D32" s="4" t="str">
        <f>IFERROR(__xludf.DUMMYFUNCTION("""COMPUTED_VALUE"""),"Ngô Huỳnh Bảo Châu; Huỳnh Thị Thuý An")</f>
        <v>Ngô Huỳnh Bảo Châu; Huỳnh Thị Thuý An</v>
      </c>
      <c r="E32" s="4" t="str">
        <f>IFERROR(__xludf.DUMMYFUNCTION("""COMPUTED_VALUE"""),"Trường Đại học Quốc tế Hồng Bàng")</f>
        <v>Trường Đại học Quốc tế Hồng Bàng</v>
      </c>
      <c r="F32" s="4" t="str">
        <f>IFERROR(__xludf.DUMMYFUNCTION("""COMPUTED_VALUE"""),"SH2026-032.png")</f>
        <v>SH2026-032.png</v>
      </c>
    </row>
    <row r="33">
      <c r="A33" s="4" t="str">
        <f>IFERROR(__xludf.DUMMYFUNCTION("""COMPUTED_VALUE"""),"SH2026-033")</f>
        <v>SH2026-033</v>
      </c>
      <c r="B33" s="4" t="str">
        <f>IFERROR(__xludf.DUMMYFUNCTION("""COMPUTED_VALUE"""),"Sinh học")</f>
        <v>Sinh học</v>
      </c>
      <c r="C33" s="4" t="str">
        <f>IFERROR(__xludf.DUMMYFUNCTION("""COMPUTED_VALUE"""),"Đánh giá in vitro và in silico hoạt tính ức chế α-glucosidase của cao chiết lá Vối Cleistocalyx operculatus (Roxb.) Merr. et Perry Myrtaceae")</f>
        <v>Đánh giá in vitro và in silico hoạt tính ức chế α-glucosidase của cao chiết lá Vối Cleistocalyx operculatus (Roxb.) Merr. et Perry Myrtaceae</v>
      </c>
      <c r="D33" s="4" t="str">
        <f>IFERROR(__xludf.DUMMYFUNCTION("""COMPUTED_VALUE"""),"Nguyễn Ngọc Nam Anh; Phạm Thị Bích Liên; Trần Gia Trí")</f>
        <v>Nguyễn Ngọc Nam Anh; Phạm Thị Bích Liên; Trần Gia Trí</v>
      </c>
      <c r="E33" s="4" t="str">
        <f>IFERROR(__xludf.DUMMYFUNCTION("""COMPUTED_VALUE"""),"Trường Đại học Quốc tế Hồng Bàng")</f>
        <v>Trường Đại học Quốc tế Hồng Bàng</v>
      </c>
      <c r="F33" s="4" t="str">
        <f>IFERROR(__xludf.DUMMYFUNCTION("""COMPUTED_VALUE"""),"SH2026-033.png")</f>
        <v>SH2026-033.png</v>
      </c>
    </row>
    <row r="34">
      <c r="A34" s="4" t="str">
        <f>IFERROR(__xludf.DUMMYFUNCTION("""COMPUTED_VALUE"""),"SH2026-034")</f>
        <v>SH2026-034</v>
      </c>
      <c r="B34" s="4" t="str">
        <f>IFERROR(__xludf.DUMMYFUNCTION("""COMPUTED_VALUE"""),"Sinh học")</f>
        <v>Sinh học</v>
      </c>
      <c r="C34" s="4" t="str">
        <f>IFERROR(__xludf.DUMMYFUNCTION("""COMPUTED_VALUE"""),"Trường điện từ xung cải thiện tính biến dạng hồng cầu và tưới máu vi tuần hoàn trong mô hình viêm da cơ địa")</f>
        <v>Trường điện từ xung cải thiện tính biến dạng hồng cầu và tưới máu vi tuần hoàn trong mô hình viêm da cơ địa</v>
      </c>
      <c r="D34" s="4" t="str">
        <f>IFERROR(__xludf.DUMMYFUNCTION("""COMPUTED_VALUE"""),"Huỳnh Minh Nhật; Phạm Hoàng Vy; Nguyễn Duy Khang")</f>
        <v>Huỳnh Minh Nhật; Phạm Hoàng Vy; Nguyễn Duy Khang</v>
      </c>
      <c r="E34" s="4" t="str">
        <f>IFERROR(__xludf.DUMMYFUNCTION("""COMPUTED_VALUE"""),"Trường Đại học Khoa học Sức khỏe, ĐHQG-HCM")</f>
        <v>Trường Đại học Khoa học Sức khỏe, ĐHQG-HCM</v>
      </c>
      <c r="F34" s="4" t="str">
        <f>IFERROR(__xludf.DUMMYFUNCTION("""COMPUTED_VALUE"""),"SH2026-034.png")</f>
        <v>SH2026-034.png</v>
      </c>
    </row>
    <row r="35">
      <c r="A35" s="4" t="str">
        <f>IFERROR(__xludf.DUMMYFUNCTION("""COMPUTED_VALUE"""),"SH2026-035")</f>
        <v>SH2026-035</v>
      </c>
      <c r="B35" s="4" t="str">
        <f>IFERROR(__xludf.DUMMYFUNCTION("""COMPUTED_VALUE"""),"Sinh học")</f>
        <v>Sinh học</v>
      </c>
      <c r="C35" s="4" t="str">
        <f>IFERROR(__xludf.DUMMYFUNCTION("""COMPUTED_VALUE"""),"Khảo sát ảnh hưởng của sự phối hợp giữa BA và IBA với NAA lên quá trình nhân chồi của cây nắp ấm (Nepenthes mirabilis (Lour.) Druce)")</f>
        <v>Khảo sát ảnh hưởng của sự phối hợp giữa BA và IBA với NAA lên quá trình nhân chồi của cây nắp ấm (Nepenthes mirabilis (Lour.) Druce)</v>
      </c>
      <c r="D35" s="4" t="str">
        <f>IFERROR(__xludf.DUMMYFUNCTION("""COMPUTED_VALUE"""),"Hoàng Nhật Phi")</f>
        <v>Hoàng Nhật Phi</v>
      </c>
      <c r="E35" s="4" t="str">
        <f>IFERROR(__xludf.DUMMYFUNCTION("""COMPUTED_VALUE"""),"Trường Đại học Thủ Dầu Một")</f>
        <v>Trường Đại học Thủ Dầu Một</v>
      </c>
      <c r="F35" s="4" t="str">
        <f>IFERROR(__xludf.DUMMYFUNCTION("""COMPUTED_VALUE"""),"SH2026-035.png")</f>
        <v>SH2026-035.png</v>
      </c>
    </row>
    <row r="36">
      <c r="A36" s="4" t="str">
        <f>IFERROR(__xludf.DUMMYFUNCTION("""COMPUTED_VALUE"""),"SH2026-036")</f>
        <v>SH2026-036</v>
      </c>
      <c r="B36" s="4" t="str">
        <f>IFERROR(__xludf.DUMMYFUNCTION("""COMPUTED_VALUE"""),"Sinh học")</f>
        <v>Sinh học</v>
      </c>
      <c r="C36" s="4" t="str">
        <f>IFERROR(__xludf.DUMMYFUNCTION("""COMPUTED_VALUE"""),"Tối ưu quá trình lên men kombucha nhằm nâng cao hoạt tính ức chế enzyme tyrosinase định hướng ứng dụng trong chăm sóc da")</f>
        <v>Tối ưu quá trình lên men kombucha nhằm nâng cao hoạt tính ức chế enzyme tyrosinase định hướng ứng dụng trong chăm sóc da</v>
      </c>
      <c r="D36" s="4" t="str">
        <f>IFERROR(__xludf.DUMMYFUNCTION("""COMPUTED_VALUE"""),"Nguyễn Diệp Lan Phương; Nguyễn Phi Long; Lương Đông Vy")</f>
        <v>Nguyễn Diệp Lan Phương; Nguyễn Phi Long; Lương Đông Vy</v>
      </c>
      <c r="E36" s="4" t="str">
        <f>IFERROR(__xludf.DUMMYFUNCTION("""COMPUTED_VALUE"""),"Trường Đại học Nông Lâm TP. Hồ Chí Minh")</f>
        <v>Trường Đại học Nông Lâm TP. Hồ Chí Minh</v>
      </c>
      <c r="F36" s="4" t="str">
        <f>IFERROR(__xludf.DUMMYFUNCTION("""COMPUTED_VALUE"""),"SH2026-036.png")</f>
        <v>SH2026-036.png</v>
      </c>
    </row>
    <row r="37">
      <c r="A37" s="4" t="str">
        <f>IFERROR(__xludf.DUMMYFUNCTION("""COMPUTED_VALUE"""),"SH2026-037")</f>
        <v>SH2026-037</v>
      </c>
      <c r="B37" s="4" t="str">
        <f>IFERROR(__xludf.DUMMYFUNCTION("""COMPUTED_VALUE"""),"Sinh học")</f>
        <v>Sinh học</v>
      </c>
      <c r="C37" s="4" t="str">
        <f>IFERROR(__xludf.DUMMYFUNCTION("""COMPUTED_VALUE"""),"Đánh giá hiệu quả kiểm soát bệnh héo vàng do Fusarium oxysporum f. sp. cubense TR4 trên chuối già nam mỹ của các chủng Streptomyces spp. và Pseudomonas spp. và phân tích sơ bộ chất chuyển hóa của Streptomyces sp. BT14")</f>
        <v>Đánh giá hiệu quả kiểm soát bệnh héo vàng do Fusarium oxysporum f. sp. cubense TR4 trên chuối già nam mỹ của các chủng Streptomyces spp. và Pseudomonas spp. và phân tích sơ bộ chất chuyển hóa của Streptomyces sp. BT14</v>
      </c>
      <c r="D37" s="4" t="str">
        <f>IFERROR(__xludf.DUMMYFUNCTION("""COMPUTED_VALUE"""),"Nguyễn Thị Phương Linh; Trương Phạm Hải My; Nguyễn Trần Uyển Nhi; Nguyễn Thị Kim Xuân")</f>
        <v>Nguyễn Thị Phương Linh; Trương Phạm Hải My; Nguyễn Trần Uyển Nhi; Nguyễn Thị Kim Xuân</v>
      </c>
      <c r="E37" s="4" t="str">
        <f>IFERROR(__xludf.DUMMYFUNCTION("""COMPUTED_VALUE"""),"Trường Đại học Nông Lâm TP. Hồ Chí Minh")</f>
        <v>Trường Đại học Nông Lâm TP. Hồ Chí Minh</v>
      </c>
      <c r="F37" s="4" t="str">
        <f>IFERROR(__xludf.DUMMYFUNCTION("""COMPUTED_VALUE"""),"SH2026-037.png")</f>
        <v>SH2026-037.png</v>
      </c>
    </row>
    <row r="38">
      <c r="A38" s="4" t="str">
        <f>IFERROR(__xludf.DUMMYFUNCTION("""COMPUTED_VALUE"""),"SH2026-038")</f>
        <v>SH2026-038</v>
      </c>
      <c r="B38" s="4" t="str">
        <f>IFERROR(__xludf.DUMMYFUNCTION("""COMPUTED_VALUE"""),"Sinh học")</f>
        <v>Sinh học</v>
      </c>
      <c r="C38" s="4" t="str">
        <f>IFERROR(__xludf.DUMMYFUNCTION("""COMPUTED_VALUE"""),"Enhancing Lactic Acid Bacterial Fermentation With Aloe vera To Reduce E. coli O157:H7 On Fresh Lettuce")</f>
        <v>Enhancing Lactic Acid Bacterial Fermentation With Aloe vera To Reduce E. coli O157:H7 On Fresh Lettuce</v>
      </c>
      <c r="D38" s="4" t="str">
        <f>IFERROR(__xludf.DUMMYFUNCTION("""COMPUTED_VALUE"""),"Nguyễn Thêm Lộc; Hà Thị Nhàn; Võ Kế Hiếu; Nguyễn Hoàng Anh Thư")</f>
        <v>Nguyễn Thêm Lộc; Hà Thị Nhàn; Võ Kế Hiếu; Nguyễn Hoàng Anh Thư</v>
      </c>
      <c r="E38" s="4" t="str">
        <f>IFERROR(__xludf.DUMMYFUNCTION("""COMPUTED_VALUE"""),"Trường Đại học Nông Lâm TP. Hồ Chí Minh")</f>
        <v>Trường Đại học Nông Lâm TP. Hồ Chí Minh</v>
      </c>
      <c r="F38" s="4" t="str">
        <f>IFERROR(__xludf.DUMMYFUNCTION("""COMPUTED_VALUE"""),"SH2026-038.png")</f>
        <v>SH2026-038.png</v>
      </c>
    </row>
    <row r="39">
      <c r="A39" s="4" t="str">
        <f>IFERROR(__xludf.DUMMYFUNCTION("""COMPUTED_VALUE"""),"SH2026-039")</f>
        <v>SH2026-039</v>
      </c>
      <c r="B39" s="4" t="str">
        <f>IFERROR(__xludf.DUMMYFUNCTION("""COMPUTED_VALUE"""),"Sinh học")</f>
        <v>Sinh học</v>
      </c>
      <c r="C39" s="4" t="str">
        <f>IFERROR(__xludf.DUMMYFUNCTION("""COMPUTED_VALUE"""),"Vi nhân giống dâu tây (fragaria × ananassa) Nhật Bản từ hạt bằng phương pháp nuôi cấy mô")</f>
        <v>Vi nhân giống dâu tây (fragaria × ananassa) Nhật Bản từ hạt bằng phương pháp nuôi cấy mô</v>
      </c>
      <c r="D39" s="4" t="str">
        <f>IFERROR(__xludf.DUMMYFUNCTION("""COMPUTED_VALUE"""),"Nguyễn Nhật Minh")</f>
        <v>Nguyễn Nhật Minh</v>
      </c>
      <c r="E39" s="4" t="str">
        <f>IFERROR(__xludf.DUMMYFUNCTION("""COMPUTED_VALUE"""),"Trường Đại học Quốc Tế, ĐHQG-HCM")</f>
        <v>Trường Đại học Quốc Tế, ĐHQG-HCM</v>
      </c>
      <c r="F39" s="4" t="str">
        <f>IFERROR(__xludf.DUMMYFUNCTION("""COMPUTED_VALUE"""),"SH2026-039.png")</f>
        <v>SH2026-039.png</v>
      </c>
    </row>
    <row r="40">
      <c r="A40" s="4" t="str">
        <f>IFERROR(__xludf.DUMMYFUNCTION("""COMPUTED_VALUE"""),"SH2026-040")</f>
        <v>SH2026-040</v>
      </c>
      <c r="B40" s="4" t="str">
        <f>IFERROR(__xludf.DUMMYFUNCTION("""COMPUTED_VALUE"""),"Sinh học")</f>
        <v>Sinh học</v>
      </c>
      <c r="C40" s="4" t="str">
        <f>IFERROR(__xludf.DUMMYFUNCTION("""COMPUTED_VALUE"""),"Xây dựng quy trình nhân nhanh cây dứa bằng phương pháp nuôi cấy mô")</f>
        <v>Xây dựng quy trình nhân nhanh cây dứa bằng phương pháp nuôi cấy mô</v>
      </c>
      <c r="D40" s="4" t="str">
        <f>IFERROR(__xludf.DUMMYFUNCTION("""COMPUTED_VALUE"""),"Bùi Ngọc Thảo My")</f>
        <v>Bùi Ngọc Thảo My</v>
      </c>
      <c r="E40" s="4" t="str">
        <f>IFERROR(__xludf.DUMMYFUNCTION("""COMPUTED_VALUE"""),"Trường Đại học Quốc Tế, ĐHQG-HCM")</f>
        <v>Trường Đại học Quốc Tế, ĐHQG-HCM</v>
      </c>
      <c r="F40" s="4" t="str">
        <f>IFERROR(__xludf.DUMMYFUNCTION("""COMPUTED_VALUE"""),"SH2026-040.png")</f>
        <v>SH2026-040.png</v>
      </c>
    </row>
    <row r="41">
      <c r="A41" s="4" t="str">
        <f>IFERROR(__xludf.DUMMYFUNCTION("""COMPUTED_VALUE"""),"SH2026-041")</f>
        <v>SH2026-041</v>
      </c>
      <c r="B41" s="4" t="str">
        <f>IFERROR(__xludf.DUMMYFUNCTION("""COMPUTED_VALUE"""),"Sinh học")</f>
        <v>Sinh học</v>
      </c>
      <c r="C41" s="4" t="str">
        <f>IFERROR(__xludf.DUMMYFUNCTION("""COMPUTED_VALUE"""),"Phát triển hạt nano carbon có hoạt tính kháng khuẩn từ bã mía (Saccharum sinense Roxb.)")</f>
        <v>Phát triển hạt nano carbon có hoạt tính kháng khuẩn từ bã mía (Saccharum sinense Roxb.)</v>
      </c>
      <c r="D41" s="4" t="str">
        <f>IFERROR(__xludf.DUMMYFUNCTION("""COMPUTED_VALUE"""),"Lý Minh Hằng; Đỗ Nguyễn Hạnh Dung; Phan Tuyết Anh")</f>
        <v>Lý Minh Hằng; Đỗ Nguyễn Hạnh Dung; Phan Tuyết Anh</v>
      </c>
      <c r="E41" s="4" t="str">
        <f>IFERROR(__xludf.DUMMYFUNCTION("""COMPUTED_VALUE"""),"Trường Đại học Quốc Tế, ĐHQG-HCM")</f>
        <v>Trường Đại học Quốc Tế, ĐHQG-HCM</v>
      </c>
      <c r="F41" s="4" t="str">
        <f>IFERROR(__xludf.DUMMYFUNCTION("""COMPUTED_VALUE"""),"SH2026-041.png")</f>
        <v>SH2026-041.png</v>
      </c>
    </row>
    <row r="42">
      <c r="A42" s="4" t="str">
        <f>IFERROR(__xludf.DUMMYFUNCTION("""COMPUTED_VALUE"""),"SH2026-042")</f>
        <v>SH2026-042</v>
      </c>
      <c r="B42" s="4" t="str">
        <f>IFERROR(__xludf.DUMMYFUNCTION("""COMPUTED_VALUE"""),"Sinh học")</f>
        <v>Sinh học</v>
      </c>
      <c r="C42" s="4" t="str">
        <f>IFERROR(__xludf.DUMMYFUNCTION("""COMPUTED_VALUE"""),"Họat tính chống oxy hóa, kháng vi sinh vật và ức chế các enzyme tác động trên da và thần kinh của lá ngũ trảo (Vitex negundo L.)")</f>
        <v>Họat tính chống oxy hóa, kháng vi sinh vật và ức chế các enzyme tác động trên da và thần kinh của lá ngũ trảo (Vitex negundo L.)</v>
      </c>
      <c r="D42" s="4" t="str">
        <f>IFERROR(__xludf.DUMMYFUNCTION("""COMPUTED_VALUE"""),"Trần Lê Phương Linh; Vũ Nguyễn Thái Tuấn")</f>
        <v>Trần Lê Phương Linh; Vũ Nguyễn Thái Tuấn</v>
      </c>
      <c r="E42" s="4" t="str">
        <f>IFERROR(__xludf.DUMMYFUNCTION("""COMPUTED_VALUE"""),"Trường Đại học Quốc tế Hồng Bàng")</f>
        <v>Trường Đại học Quốc tế Hồng Bàng</v>
      </c>
      <c r="F42" s="4" t="str">
        <f>IFERROR(__xludf.DUMMYFUNCTION("""COMPUTED_VALUE"""),"SH2026-042.png")</f>
        <v>SH2026-042.png</v>
      </c>
    </row>
    <row r="43">
      <c r="A43" s="4" t="str">
        <f>IFERROR(__xludf.DUMMYFUNCTION("""COMPUTED_VALUE"""),"SH2026-043")</f>
        <v>SH2026-043</v>
      </c>
      <c r="B43" s="4" t="str">
        <f>IFERROR(__xludf.DUMMYFUNCTION("""COMPUTED_VALUE"""),"Sinh học")</f>
        <v>Sinh học</v>
      </c>
      <c r="C43" s="4" t="str">
        <f>IFERROR(__xludf.DUMMYFUNCTION("""COMPUTED_VALUE"""),"Nghiên cứu thành phần hóa học và đánh giá học tính sinh học của các bộ phận cây Trâm bầu (Combretum quadrangulare Kurz.)")</f>
        <v>Nghiên cứu thành phần hóa học và đánh giá học tính sinh học của các bộ phận cây Trâm bầu (Combretum quadrangulare Kurz.)</v>
      </c>
      <c r="D43" s="4" t="str">
        <f>IFERROR(__xludf.DUMMYFUNCTION("""COMPUTED_VALUE"""),"Nguyễn Kim Oanh; Trần Ngọc Minh Anh; Bùi Anh Trà; Đào Duy Bảo Ngọc; Nguyễn Võ Quang Huy")</f>
        <v>Nguyễn Kim Oanh; Trần Ngọc Minh Anh; Bùi Anh Trà; Đào Duy Bảo Ngọc; Nguyễn Võ Quang Huy</v>
      </c>
      <c r="E43" s="4" t="str">
        <f>IFERROR(__xludf.DUMMYFUNCTION("""COMPUTED_VALUE"""),"Trường Đại học Quốc tế Hồng Bàng")</f>
        <v>Trường Đại học Quốc tế Hồng Bàng</v>
      </c>
      <c r="F43" s="4" t="str">
        <f>IFERROR(__xludf.DUMMYFUNCTION("""COMPUTED_VALUE"""),"SH2026-043.png")</f>
        <v>SH2026-043.png</v>
      </c>
    </row>
    <row r="44">
      <c r="A44" s="4" t="str">
        <f>IFERROR(__xludf.DUMMYFUNCTION("""COMPUTED_VALUE"""),"SH2026-044")</f>
        <v>SH2026-044</v>
      </c>
      <c r="B44" s="4" t="str">
        <f>IFERROR(__xludf.DUMMYFUNCTION("""COMPUTED_VALUE"""),"Sinh học")</f>
        <v>Sinh học</v>
      </c>
      <c r="C44" s="4" t="str">
        <f>IFERROR(__xludf.DUMMYFUNCTION("""COMPUTED_VALUE"""),"Tiềm năng ứng dụng lactobacillus plantarum trong kiểm soát vi khuẩn sinh lipase và/hoặc hợp chất lưu huỳnh gây hư hỏng thực phẩm đông lạnh")</f>
        <v>Tiềm năng ứng dụng lactobacillus plantarum trong kiểm soát vi khuẩn sinh lipase và/hoặc hợp chất lưu huỳnh gây hư hỏng thực phẩm đông lạnh</v>
      </c>
      <c r="D44" s="4" t="str">
        <f>IFERROR(__xludf.DUMMYFUNCTION("""COMPUTED_VALUE"""),"Phạm Hữu Tuấn; Trần Minh Thư; Ngô Hữu Phước")</f>
        <v>Phạm Hữu Tuấn; Trần Minh Thư; Ngô Hữu Phước</v>
      </c>
      <c r="E44" s="4" t="str">
        <f>IFERROR(__xludf.DUMMYFUNCTION("""COMPUTED_VALUE"""),"Trường Đại học Bách Khoa, ĐHQG-HCM")</f>
        <v>Trường Đại học Bách Khoa, ĐHQG-HCM</v>
      </c>
      <c r="F44" s="4" t="str">
        <f>IFERROR(__xludf.DUMMYFUNCTION("""COMPUTED_VALUE"""),"SH2026-044.png")</f>
        <v>SH2026-044.png</v>
      </c>
    </row>
    <row r="45">
      <c r="A45" s="4" t="str">
        <f>IFERROR(__xludf.DUMMYFUNCTION("""COMPUTED_VALUE"""),"SH2026-045")</f>
        <v>SH2026-045</v>
      </c>
      <c r="B45" s="4" t="str">
        <f>IFERROR(__xludf.DUMMYFUNCTION("""COMPUTED_VALUE"""),"Sinh học")</f>
        <v>Sinh học</v>
      </c>
      <c r="C45" s="4" t="str">
        <f>IFERROR(__xludf.DUMMYFUNCTION("""COMPUTED_VALUE"""),"Thiết lập hệ lên men đa chủng có kiểm soát cho dịch quả nhàu (Morinda citrifolia L.): tuyển chọn vi sinh vật, đánh giá tiềm năng hệ gen và cải thiện chất lượng cảm quan")</f>
        <v>Thiết lập hệ lên men đa chủng có kiểm soát cho dịch quả nhàu (Morinda citrifolia L.): tuyển chọn vi sinh vật, đánh giá tiềm năng hệ gen và cải thiện chất lượng cảm quan</v>
      </c>
      <c r="D45" s="4" t="str">
        <f>IFERROR(__xludf.DUMMYFUNCTION("""COMPUTED_VALUE"""),"Nguyễn Lê Quý Phúc; Tạ Tú Uyên; Nguyễn Lê Minh Khôi")</f>
        <v>Nguyễn Lê Quý Phúc; Tạ Tú Uyên; Nguyễn Lê Minh Khôi</v>
      </c>
      <c r="E45" s="4" t="str">
        <f>IFERROR(__xludf.DUMMYFUNCTION("""COMPUTED_VALUE"""),"Trường Đại học Bách Khoa, ĐHQG-HCM")</f>
        <v>Trường Đại học Bách Khoa, ĐHQG-HCM</v>
      </c>
      <c r="F45" s="4" t="str">
        <f>IFERROR(__xludf.DUMMYFUNCTION("""COMPUTED_VALUE"""),"SH2026-045.png")</f>
        <v>SH2026-045.png</v>
      </c>
    </row>
    <row r="46">
      <c r="A46" s="4" t="str">
        <f>IFERROR(__xludf.DUMMYFUNCTION("""COMPUTED_VALUE"""),"SH2026-046")</f>
        <v>SH2026-046</v>
      </c>
      <c r="B46" s="4" t="str">
        <f>IFERROR(__xludf.DUMMYFUNCTION("""COMPUTED_VALUE"""),"Sinh học")</f>
        <v>Sinh học</v>
      </c>
      <c r="C46" s="4" t="str">
        <f>IFERROR(__xludf.DUMMYFUNCTION("""COMPUTED_VALUE"""),"Bacillus spp. trong kháng nấm gây thối quả vỏ thanh long sau thu hoạch")</f>
        <v>Bacillus spp. trong kháng nấm gây thối quả vỏ thanh long sau thu hoạch</v>
      </c>
      <c r="D46" s="4" t="str">
        <f>IFERROR(__xludf.DUMMYFUNCTION("""COMPUTED_VALUE"""),"Trần Xuân Hoàng; Lê Hoàng Huy")</f>
        <v>Trần Xuân Hoàng; Lê Hoàng Huy</v>
      </c>
      <c r="E46" s="4" t="str">
        <f>IFERROR(__xludf.DUMMYFUNCTION("""COMPUTED_VALUE"""),"Trường Đại học Bách Khoa, ĐHQG-HCM")</f>
        <v>Trường Đại học Bách Khoa, ĐHQG-HCM</v>
      </c>
      <c r="F46" s="4" t="str">
        <f>IFERROR(__xludf.DUMMYFUNCTION("""COMPUTED_VALUE"""),"SH2026-046.png")</f>
        <v>SH2026-046.png</v>
      </c>
    </row>
    <row r="47">
      <c r="A47" s="4" t="str">
        <f>IFERROR(__xludf.DUMMYFUNCTION("""COMPUTED_VALUE"""),"SH2026-047")</f>
        <v>SH2026-047</v>
      </c>
      <c r="B47" s="4" t="str">
        <f>IFERROR(__xludf.DUMMYFUNCTION("""COMPUTED_VALUE"""),"Sinh học")</f>
        <v>Sinh học</v>
      </c>
      <c r="C47" s="4" t="str">
        <f>IFERROR(__xludf.DUMMYFUNCTION("""COMPUTED_VALUE"""),"Khảo sát khả năng kháng khuẩn và kháng oxy hóa của hệ vật liệu silica hữu cơ chứa acid rosmarinic")</f>
        <v>Khảo sát khả năng kháng khuẩn và kháng oxy hóa của hệ vật liệu silica hữu cơ chứa acid rosmarinic</v>
      </c>
      <c r="D47" s="4" t="str">
        <f>IFERROR(__xludf.DUMMYFUNCTION("""COMPUTED_VALUE"""),"Lê Trọng Bằng")</f>
        <v>Lê Trọng Bằng</v>
      </c>
      <c r="E47" s="4" t="str">
        <f>IFERROR(__xludf.DUMMYFUNCTION("""COMPUTED_VALUE"""),"Trường Đại học Khoa học Tự nhiên, ĐHQG-HCM")</f>
        <v>Trường Đại học Khoa học Tự nhiên, ĐHQG-HCM</v>
      </c>
      <c r="F47" s="4" t="str">
        <f>IFERROR(__xludf.DUMMYFUNCTION("""COMPUTED_VALUE"""),"SH2026-047.png")</f>
        <v>SH2026-047.png</v>
      </c>
    </row>
    <row r="48">
      <c r="A48" s="4" t="str">
        <f>IFERROR(__xludf.DUMMYFUNCTION("""COMPUTED_VALUE"""),"SH2026-048")</f>
        <v>SH2026-048</v>
      </c>
      <c r="B48" s="4" t="str">
        <f>IFERROR(__xludf.DUMMYFUNCTION("""COMPUTED_VALUE"""),"Sinh học")</f>
        <v>Sinh học</v>
      </c>
      <c r="C48" s="4" t="str">
        <f>IFERROR(__xludf.DUMMYFUNCTION("""COMPUTED_VALUE"""),"Preliminary study on the development of a mouse model for metabolic dysfunction-associated fatty liver disease (MAFLD) induced by high-fat diet, thioacetamide, and T0901317")</f>
        <v>Preliminary study on the development of a mouse model for metabolic dysfunction-associated fatty liver disease (MAFLD) induced by high-fat diet, thioacetamide, and T0901317</v>
      </c>
      <c r="D48" s="4" t="str">
        <f>IFERROR(__xludf.DUMMYFUNCTION("""COMPUTED_VALUE"""),"Phạm Ngọc Khánh; Nguyễn Ngọc Hồng Nhi; Chu Thành Tuyên")</f>
        <v>Phạm Ngọc Khánh; Nguyễn Ngọc Hồng Nhi; Chu Thành Tuyên</v>
      </c>
      <c r="E48" s="4" t="str">
        <f>IFERROR(__xludf.DUMMYFUNCTION("""COMPUTED_VALUE"""),"Trường Đại học Khoa học Tự nhiên, ĐHQG-HCM")</f>
        <v>Trường Đại học Khoa học Tự nhiên, ĐHQG-HCM</v>
      </c>
      <c r="F48" s="4" t="str">
        <f>IFERROR(__xludf.DUMMYFUNCTION("""COMPUTED_VALUE"""),"SH2026-048.png")</f>
        <v>SH2026-048.png</v>
      </c>
    </row>
    <row r="49">
      <c r="A49" s="4" t="str">
        <f>IFERROR(__xludf.DUMMYFUNCTION("""COMPUTED_VALUE"""),"SH2026-049")</f>
        <v>SH2026-049</v>
      </c>
      <c r="B49" s="4" t="str">
        <f>IFERROR(__xludf.DUMMYFUNCTION("""COMPUTED_VALUE"""),"Sinh học")</f>
        <v>Sinh học</v>
      </c>
      <c r="C49" s="4" t="str">
        <f>IFERROR(__xludf.DUMMYFUNCTION("""COMPUTED_VALUE"""),"Thu nhận và đánh giá hoạt tính protein cảm biến sinh học từ Escherichia coli nhằm định lượng microalbumin niệu")</f>
        <v>Thu nhận và đánh giá hoạt tính protein cảm biến sinh học từ Escherichia coli nhằm định lượng microalbumin niệu</v>
      </c>
      <c r="D49" s="4" t="str">
        <f>IFERROR(__xludf.DUMMYFUNCTION("""COMPUTED_VALUE"""),"Trương Phước Bách; Nguyễn Ngọc Thúy Lan")</f>
        <v>Trương Phước Bách; Nguyễn Ngọc Thúy Lan</v>
      </c>
      <c r="E49" s="4" t="str">
        <f>IFERROR(__xludf.DUMMYFUNCTION("""COMPUTED_VALUE"""),"Trường Đại học Khoa học Tự nhiên, ĐHQG-HCM")</f>
        <v>Trường Đại học Khoa học Tự nhiên, ĐHQG-HCM</v>
      </c>
      <c r="F49" s="4" t="str">
        <f>IFERROR(__xludf.DUMMYFUNCTION("""COMPUTED_VALUE"""),"SH2026-049.png")</f>
        <v>SH2026-049.png</v>
      </c>
    </row>
    <row r="50">
      <c r="A50" s="4" t="str">
        <f>IFERROR(__xludf.DUMMYFUNCTION("""COMPUTED_VALUE"""),"SH2026-050")</f>
        <v>SH2026-050</v>
      </c>
      <c r="B50" s="4" t="str">
        <f>IFERROR(__xludf.DUMMYFUNCTION("""COMPUTED_VALUE"""),"Sinh học")</f>
        <v>Sinh học</v>
      </c>
      <c r="C50" s="4" t="str">
        <f>IFERROR(__xludf.DUMMYFUNCTION("""COMPUTED_VALUE"""),"Tuyển chọn các chủng Bacillus có lợi cho cây trồng dùng để phát triển phân npk vi sinh")</f>
        <v>Tuyển chọn các chủng Bacillus có lợi cho cây trồng dùng để phát triển phân npk vi sinh</v>
      </c>
      <c r="D50" s="4" t="str">
        <f>IFERROR(__xludf.DUMMYFUNCTION("""COMPUTED_VALUE"""),"Trần Thị Anh Thi; Trần Quang Huy; Phạm Quốc Huy; Nguyễn Võ Vân Anh; Đặng Ngọc Gia Hân")</f>
        <v>Trần Thị Anh Thi; Trần Quang Huy; Phạm Quốc Huy; Nguyễn Võ Vân Anh; Đặng Ngọc Gia Hân</v>
      </c>
      <c r="E50" s="4" t="str">
        <f>IFERROR(__xludf.DUMMYFUNCTION("""COMPUTED_VALUE"""),"Trường Đại học Tôn Đức Thắng")</f>
        <v>Trường Đại học Tôn Đức Thắng</v>
      </c>
      <c r="F50" s="4" t="str">
        <f>IFERROR(__xludf.DUMMYFUNCTION("""COMPUTED_VALUE"""),"SH2026-050.png")</f>
        <v>SH2026-050.png</v>
      </c>
    </row>
    <row r="51">
      <c r="A51" s="4" t="str">
        <f>IFERROR(__xludf.DUMMYFUNCTION("""COMPUTED_VALUE"""),"SH2026-051")</f>
        <v>SH2026-051</v>
      </c>
      <c r="B51" s="4" t="str">
        <f>IFERROR(__xludf.DUMMYFUNCTION("""COMPUTED_VALUE"""),"Sinh học")</f>
        <v>Sinh học</v>
      </c>
      <c r="C51" s="4" t="str">
        <f>IFERROR(__xludf.DUMMYFUNCTION("""COMPUTED_VALUE"""),"Phân lập và tuyển chọn vi khuẩn chiụ mặn từ đất rừng ngập mặn phục vụ nghiên cứu cải thiện khả năng chịu mặn của cây lúa (Oryza sativa L.)")</f>
        <v>Phân lập và tuyển chọn vi khuẩn chiụ mặn từ đất rừng ngập mặn phục vụ nghiên cứu cải thiện khả năng chịu mặn của cây lúa (Oryza sativa L.)</v>
      </c>
      <c r="D51" s="4" t="str">
        <f>IFERROR(__xludf.DUMMYFUNCTION("""COMPUTED_VALUE"""),"Bùi Như Ý; Nguyễn Khánh Ly; Phạm Thị Bích Ngọc")</f>
        <v>Bùi Như Ý; Nguyễn Khánh Ly; Phạm Thị Bích Ngọc</v>
      </c>
      <c r="E51" s="4" t="str">
        <f>IFERROR(__xludf.DUMMYFUNCTION("""COMPUTED_VALUE"""),"Trường Đại học Tài nguyên và Môi trường Hà Nội")</f>
        <v>Trường Đại học Tài nguyên và Môi trường Hà Nội</v>
      </c>
      <c r="F51" s="4" t="str">
        <f>IFERROR(__xludf.DUMMYFUNCTION("""COMPUTED_VALUE"""),"SH2026-051.png")</f>
        <v>SH2026-051.png</v>
      </c>
    </row>
    <row r="52">
      <c r="A52" s="4" t="str">
        <f>IFERROR(__xludf.DUMMYFUNCTION("""COMPUTED_VALUE"""),"SH2026-052")</f>
        <v>SH2026-052</v>
      </c>
      <c r="B52" s="4" t="str">
        <f>IFERROR(__xludf.DUMMYFUNCTION("""COMPUTED_VALUE"""),"Sinh học")</f>
        <v>Sinh học</v>
      </c>
      <c r="C52" s="4" t="str">
        <f>IFERROR(__xludf.DUMMYFUNCTION("""COMPUTED_VALUE"""),"Phân lập, giải trình tự metagenome hệ vi sinh vật nem chua ba miền việt nam và tuyền chọn chủng khởi động cho nem lên men từ thịt gà")</f>
        <v>Phân lập, giải trình tự metagenome hệ vi sinh vật nem chua ba miền việt nam và tuyền chọn chủng khởi động cho nem lên men từ thịt gà</v>
      </c>
      <c r="D52" s="4" t="str">
        <f>IFERROR(__xludf.DUMMYFUNCTION("""COMPUTED_VALUE"""),"Mai Hoàng Băng Tâm; Nguyễn Minh Thùy")</f>
        <v>Mai Hoàng Băng Tâm; Nguyễn Minh Thùy</v>
      </c>
      <c r="E52" s="4" t="str">
        <f>IFERROR(__xludf.DUMMYFUNCTION("""COMPUTED_VALUE"""),"Trường Đại học Bách Khoa, ĐHQG-HCM")</f>
        <v>Trường Đại học Bách Khoa, ĐHQG-HCM</v>
      </c>
      <c r="F52" s="4" t="str">
        <f>IFERROR(__xludf.DUMMYFUNCTION("""COMPUTED_VALUE"""),"SH2026-052.png")</f>
        <v>SH2026-052.png</v>
      </c>
    </row>
    <row r="53">
      <c r="A53" s="4" t="str">
        <f>IFERROR(__xludf.DUMMYFUNCTION("""COMPUTED_VALUE"""),"SH2026-053")</f>
        <v>SH2026-053</v>
      </c>
      <c r="B53" s="4" t="str">
        <f>IFERROR(__xludf.DUMMYFUNCTION("""COMPUTED_VALUE"""),"Sinh học")</f>
        <v>Sinh học</v>
      </c>
      <c r="C53" s="4" t="str">
        <f>IFERROR(__xludf.DUMMYFUNCTION("""COMPUTED_VALUE"""),"Nghiên cứu tính đa dạng di truyền cây sâm khỏe (dracaena sp.) tại tỉnh gia lai bằng chỉ thị phân tử")</f>
        <v>Nghiên cứu tính đa dạng di truyền cây sâm khỏe (dracaena sp.) tại tỉnh gia lai bằng chỉ thị phân tử</v>
      </c>
      <c r="D53" s="4" t="str">
        <f>IFERROR(__xludf.DUMMYFUNCTION("""COMPUTED_VALUE"""),"Trần Thanh Hiếu; Hoàng Thị Thanh Tú; Trần Minh Tâm")</f>
        <v>Trần Thanh Hiếu; Hoàng Thị Thanh Tú; Trần Minh Tâm</v>
      </c>
      <c r="E53" s="4" t="str">
        <f>IFERROR(__xludf.DUMMYFUNCTION("""COMPUTED_VALUE"""),"Trường Đại học Sư phạm, Đại học Đà Nẵng")</f>
        <v>Trường Đại học Sư phạm, Đại học Đà Nẵng</v>
      </c>
      <c r="F53" s="4" t="str">
        <f>IFERROR(__xludf.DUMMYFUNCTION("""COMPUTED_VALUE"""),"SH2026-053.png")</f>
        <v>SH2026-053.png</v>
      </c>
    </row>
    <row r="54">
      <c r="A54" s="4" t="str">
        <f>IFERROR(__xludf.DUMMYFUNCTION("""COMPUTED_VALUE"""),"SH2026-054")</f>
        <v>SH2026-054</v>
      </c>
      <c r="B54" s="4" t="str">
        <f>IFERROR(__xludf.DUMMYFUNCTION("""COMPUTED_VALUE"""),"Sinh học")</f>
        <v>Sinh học</v>
      </c>
      <c r="C54" s="4" t="str">
        <f>IFERROR(__xludf.DUMMYFUNCTION("""COMPUTED_VALUE"""),"Khảo sát một số đặc điểm sinh học dinh dưỡng của cá lìm kìm bên Hyporhamphus limbatus (Valenciennes, 1847) tại Cà Mau, Việt Nam.")</f>
        <v>Khảo sát một số đặc điểm sinh học dinh dưỡng của cá lìm kìm bên Hyporhamphus limbatus (Valenciennes, 1847) tại Cà Mau, Việt Nam.</v>
      </c>
      <c r="D54" s="4" t="str">
        <f>IFERROR(__xludf.DUMMYFUNCTION("""COMPUTED_VALUE"""),"Nguyễn Quốc Vinh; Lý Văn Vương; Nguyễn Lê Hoàng Phúc; Võ Thị Thảo Lam; Trần Ngọc Anh")</f>
        <v>Nguyễn Quốc Vinh; Lý Văn Vương; Nguyễn Lê Hoàng Phúc; Võ Thị Thảo Lam; Trần Ngọc Anh</v>
      </c>
      <c r="E54" s="4" t="str">
        <f>IFERROR(__xludf.DUMMYFUNCTION("""COMPUTED_VALUE"""),"Đại học Cần Thơ")</f>
        <v>Đại học Cần Thơ</v>
      </c>
      <c r="F54" s="4" t="str">
        <f>IFERROR(__xludf.DUMMYFUNCTION("""COMPUTED_VALUE"""),"SH2026-054.png")</f>
        <v>SH2026-054.png</v>
      </c>
    </row>
    <row r="55">
      <c r="A55" s="4" t="str">
        <f>IFERROR(__xludf.DUMMYFUNCTION("""COMPUTED_VALUE"""),"SH2026-055")</f>
        <v>SH2026-055</v>
      </c>
      <c r="B55" s="4" t="str">
        <f>IFERROR(__xludf.DUMMYFUNCTION("""COMPUTED_VALUE"""),"Sinh học")</f>
        <v>Sinh học</v>
      </c>
      <c r="C55" s="4" t="str">
        <f>IFERROR(__xludf.DUMMYFUNCTION("""COMPUTED_VALUE"""),"Xác định thành phần hoạt chất có hoạt tính sinh học trong cao chiết ethanol vỏ quả ấu (Trapa natans L.) và đánh giá độc tính cấp tính trên chuột đực C57BL_6")</f>
        <v>Xác định thành phần hoạt chất có hoạt tính sinh học trong cao chiết ethanol vỏ quả ấu (Trapa natans L.) và đánh giá độc tính cấp tính trên chuột đực C57BL_6</v>
      </c>
      <c r="D55" s="4" t="str">
        <f>IFERROR(__xludf.DUMMYFUNCTION("""COMPUTED_VALUE"""),"Phan Thị Ngọc Ngân; Nguyễn Vũ Minh Đạt; Nguyễn Thị Thanh Trúc")</f>
        <v>Phan Thị Ngọc Ngân; Nguyễn Vũ Minh Đạt; Nguyễn Thị Thanh Trúc</v>
      </c>
      <c r="E55" s="4" t="str">
        <f>IFERROR(__xludf.DUMMYFUNCTION("""COMPUTED_VALUE"""),"Trường Đại học Sư phạm TP. Hồ Chí Minh")</f>
        <v>Trường Đại học Sư phạm TP. Hồ Chí Minh</v>
      </c>
      <c r="F55" s="4" t="str">
        <f>IFERROR(__xludf.DUMMYFUNCTION("""COMPUTED_VALUE"""),"SH2026-055.png")</f>
        <v>SH2026-055.png</v>
      </c>
    </row>
    <row r="56">
      <c r="A56" s="4" t="str">
        <f>IFERROR(__xludf.DUMMYFUNCTION("""COMPUTED_VALUE"""),"SH2026-056")</f>
        <v>SH2026-056</v>
      </c>
      <c r="B56" s="4" t="str">
        <f>IFERROR(__xludf.DUMMYFUNCTION("""COMPUTED_VALUE"""),"Sinh học")</f>
        <v>Sinh học</v>
      </c>
      <c r="C56" s="4" t="str">
        <f>IFERROR(__xludf.DUMMYFUNCTION("""COMPUTED_VALUE"""),"Nghiên cứu tiềm năng kháng oxy hoá của cây Chè cẩu (Eurya nitida Korth.) và phát triển sản phẩm trà túi lọc")</f>
        <v>Nghiên cứu tiềm năng kháng oxy hoá của cây Chè cẩu (Eurya nitida Korth.) và phát triển sản phẩm trà túi lọc</v>
      </c>
      <c r="D56" s="4" t="str">
        <f>IFERROR(__xludf.DUMMYFUNCTION("""COMPUTED_VALUE"""),"Nguyễn Ngọc Hoàng Nhi; Huỳnh Hà Thy; Nguyễn Phúc Linh Gabriel; Nguyễn Minh Tiến; Nguyễn Hoàng Phượng Loan")</f>
        <v>Nguyễn Ngọc Hoàng Nhi; Huỳnh Hà Thy; Nguyễn Phúc Linh Gabriel; Nguyễn Minh Tiến; Nguyễn Hoàng Phượng Loan</v>
      </c>
      <c r="E56" s="4" t="str">
        <f>IFERROR(__xludf.DUMMYFUNCTION("""COMPUTED_VALUE"""),"Trường Đại học Tôn Đức Thắng")</f>
        <v>Trường Đại học Tôn Đức Thắng</v>
      </c>
      <c r="F56" s="4" t="str">
        <f>IFERROR(__xludf.DUMMYFUNCTION("""COMPUTED_VALUE"""),"SH2026-056.png")</f>
        <v>SH2026-056.png</v>
      </c>
    </row>
    <row r="57">
      <c r="A57" s="4" t="str">
        <f>IFERROR(__xludf.DUMMYFUNCTION("""COMPUTED_VALUE"""),"SH2026-057")</f>
        <v>SH2026-057</v>
      </c>
      <c r="B57" s="4" t="str">
        <f>IFERROR(__xludf.DUMMYFUNCTION("""COMPUTED_VALUE"""),"Sinh học")</f>
        <v>Sinh học</v>
      </c>
      <c r="C57" s="4" t="str">
        <f>IFERROR(__xludf.DUMMYFUNCTION("""COMPUTED_VALUE"""),"Tối ưu sản xuất sản phẩm giàu Compound K trong cao chiết rễ sâm Mỹ Panax quinquefolius L. bằng enzyme thương mại sử dụng phương pháp bề mặt đáp ứng")</f>
        <v>Tối ưu sản xuất sản phẩm giàu Compound K trong cao chiết rễ sâm Mỹ Panax quinquefolius L. bằng enzyme thương mại sử dụng phương pháp bề mặt đáp ứng</v>
      </c>
      <c r="D57" s="4" t="str">
        <f>IFERROR(__xludf.DUMMYFUNCTION("""COMPUTED_VALUE"""),"Nguyễn Thị Quỳnh Hoa; Lý Anh Toàn; Bùi Thị Mỹ Hằng")</f>
        <v>Nguyễn Thị Quỳnh Hoa; Lý Anh Toàn; Bùi Thị Mỹ Hằng</v>
      </c>
      <c r="E57" s="4" t="str">
        <f>IFERROR(__xludf.DUMMYFUNCTION("""COMPUTED_VALUE"""),"Trường Đại học Tôn Đức Thắng")</f>
        <v>Trường Đại học Tôn Đức Thắng</v>
      </c>
      <c r="F57" s="4" t="str">
        <f>IFERROR(__xludf.DUMMYFUNCTION("""COMPUTED_VALUE"""),"SH2026-057.png")</f>
        <v>SH2026-057.png</v>
      </c>
    </row>
    <row r="58">
      <c r="A58" s="4" t="str">
        <f>IFERROR(__xludf.DUMMYFUNCTION("""COMPUTED_VALUE"""),"SH2026-058")</f>
        <v>SH2026-058</v>
      </c>
      <c r="B58" s="4" t="str">
        <f>IFERROR(__xludf.DUMMYFUNCTION("""COMPUTED_VALUE"""),"Sinh học")</f>
        <v>Sinh học</v>
      </c>
      <c r="C58" s="4" t="str">
        <f>IFERROR(__xludf.DUMMYFUNCTION("""COMPUTED_VALUE"""),"Nghiên cứu ảnh hưởng của việc xử lý melatonin sau thu hoạch đến chỉ tiêu sinh lý, sinh hóa và độ bền của hoa hồng (rosa hybrida l.) cắt cành")</f>
        <v>Nghiên cứu ảnh hưởng của việc xử lý melatonin sau thu hoạch đến chỉ tiêu sinh lý, sinh hóa và độ bền của hoa hồng (rosa hybrida l.) cắt cành</v>
      </c>
      <c r="D58" s="4" t="str">
        <f>IFERROR(__xludf.DUMMYFUNCTION("""COMPUTED_VALUE"""),"Nguyễn Ngọc Hân; Đạo Quý Phi; Nguyễn Hà Sương; Võ Trần Phương Diễm")</f>
        <v>Nguyễn Ngọc Hân; Đạo Quý Phi; Nguyễn Hà Sương; Võ Trần Phương Diễm</v>
      </c>
      <c r="E58" s="4" t="str">
        <f>IFERROR(__xludf.DUMMYFUNCTION("""COMPUTED_VALUE"""),"Trường Đại học Quy Nhơn")</f>
        <v>Trường Đại học Quy Nhơn</v>
      </c>
      <c r="F58" s="4" t="str">
        <f>IFERROR(__xludf.DUMMYFUNCTION("""COMPUTED_VALUE"""),"SH2026-058.png")</f>
        <v>SH2026-058.png</v>
      </c>
    </row>
    <row r="59">
      <c r="A59" s="4" t="str">
        <f>IFERROR(__xludf.DUMMYFUNCTION("""COMPUTED_VALUE"""),"SH2026-059")</f>
        <v>SH2026-059</v>
      </c>
      <c r="B59" s="4" t="str">
        <f>IFERROR(__xludf.DUMMYFUNCTION("""COMPUTED_VALUE"""),"Sinh học")</f>
        <v>Sinh học</v>
      </c>
      <c r="C59" s="4" t="str">
        <f>IFERROR(__xludf.DUMMYFUNCTION("""COMPUTED_VALUE"""),"Khảo sát tiềm năng kháng oxy hóa của phân đoạn chloroform từ cao chiết củ nghĩa sâm (Abelmochus rhodopentalus var. binhsonensis) thu hái tại quảng ngãi")</f>
        <v>Khảo sát tiềm năng kháng oxy hóa của phân đoạn chloroform từ cao chiết củ nghĩa sâm (Abelmochus rhodopentalus var. binhsonensis) thu hái tại quảng ngãi</v>
      </c>
      <c r="D59" s="4" t="str">
        <f>IFERROR(__xludf.DUMMYFUNCTION("""COMPUTED_VALUE"""),"Đỗ Hoài Thư; Phạm Kiều Thạnh; Phan Khắc Anh; Nguyễn Ngọc Phương Như; Lê Thị Hiền")</f>
        <v>Đỗ Hoài Thư; Phạm Kiều Thạnh; Phan Khắc Anh; Nguyễn Ngọc Phương Như; Lê Thị Hiền</v>
      </c>
      <c r="E59" s="4" t="str">
        <f>IFERROR(__xludf.DUMMYFUNCTION("""COMPUTED_VALUE"""),"Trường Đại học Sư phạm, Đại học Đà Nẵng")</f>
        <v>Trường Đại học Sư phạm, Đại học Đà Nẵng</v>
      </c>
      <c r="F59" s="4" t="str">
        <f>IFERROR(__xludf.DUMMYFUNCTION("""COMPUTED_VALUE"""),"SH2026-059.png")</f>
        <v>SH2026-059.png</v>
      </c>
    </row>
    <row r="60">
      <c r="A60" s="4" t="str">
        <f>IFERROR(__xludf.DUMMYFUNCTION("""COMPUTED_VALUE"""),"SH2026-060")</f>
        <v>SH2026-060</v>
      </c>
      <c r="B60" s="4" t="str">
        <f>IFERROR(__xludf.DUMMYFUNCTION("""COMPUTED_VALUE"""),"Sinh học")</f>
        <v>Sinh học</v>
      </c>
      <c r="C60" s="4" t="str">
        <f>IFERROR(__xludf.DUMMYFUNCTION("""COMPUTED_VALUE"""),"Tối ưu hoá quy trình chiết polyphenol từ cây Ngò om (Limnophila aromatica), phân đoạn và khảo sát hoạt tính kháng oxy hoá trên mô hình in vitro và in silico")</f>
        <v>Tối ưu hoá quy trình chiết polyphenol từ cây Ngò om (Limnophila aromatica), phân đoạn và khảo sát hoạt tính kháng oxy hoá trên mô hình in vitro và in silico</v>
      </c>
      <c r="D60" s="4" t="str">
        <f>IFERROR(__xludf.DUMMYFUNCTION("""COMPUTED_VALUE"""),"Phạm Thanh Phong; Hồ Thị Phương Nga; Nguyễn Trần Tiến; Đào Anh Khôi")</f>
        <v>Phạm Thanh Phong; Hồ Thị Phương Nga; Nguyễn Trần Tiến; Đào Anh Khôi</v>
      </c>
      <c r="E60" s="4" t="str">
        <f>IFERROR(__xludf.DUMMYFUNCTION("""COMPUTED_VALUE"""),"Trường Đại học Khoa học Tự nhiên, ĐHQG-HCM")</f>
        <v>Trường Đại học Khoa học Tự nhiên, ĐHQG-HCM</v>
      </c>
      <c r="F60" s="4" t="str">
        <f>IFERROR(__xludf.DUMMYFUNCTION("""COMPUTED_VALUE"""),"SH2026-060.png")</f>
        <v>SH2026-060.png</v>
      </c>
    </row>
    <row r="61">
      <c r="A61" s="4" t="str">
        <f>IFERROR(__xludf.DUMMYFUNCTION("""COMPUTED_VALUE"""),"SH2026-061")</f>
        <v>SH2026-061</v>
      </c>
      <c r="B61" s="4" t="str">
        <f>IFERROR(__xludf.DUMMYFUNCTION("""COMPUTED_VALUE"""),"Sinh học")</f>
        <v>Sinh học</v>
      </c>
      <c r="C61" s="4" t="str">
        <f>IFERROR(__xludf.DUMMYFUNCTION("""COMPUTED_VALUE"""),"Nghiên cứu in vitro hoạt tính chống oxy hóa của nụ Vối Cleistocalyx operculatus (Roxb.) Merr. et Perry Myrtaceae")</f>
        <v>Nghiên cứu in vitro hoạt tính chống oxy hóa của nụ Vối Cleistocalyx operculatus (Roxb.) Merr. et Perry Myrtaceae</v>
      </c>
      <c r="D61" s="4" t="str">
        <f>IFERROR(__xludf.DUMMYFUNCTION("""COMPUTED_VALUE"""),"Phạm Thị Thanh Trúc; Lê Nguyễn Bảo Hân; Hồ Tường Vy; Trần Ngọc Như")</f>
        <v>Phạm Thị Thanh Trúc; Lê Nguyễn Bảo Hân; Hồ Tường Vy; Trần Ngọc Như</v>
      </c>
      <c r="E61" s="4" t="str">
        <f>IFERROR(__xludf.DUMMYFUNCTION("""COMPUTED_VALUE"""),"Trường Đại học Quốc tế Hồng Bàng")</f>
        <v>Trường Đại học Quốc tế Hồng Bàng</v>
      </c>
      <c r="F61" s="4" t="str">
        <f>IFERROR(__xludf.DUMMYFUNCTION("""COMPUTED_VALUE"""),"SH2026-061.png")</f>
        <v>SH2026-061.png</v>
      </c>
    </row>
    <row r="62">
      <c r="A62" s="4" t="str">
        <f>IFERROR(__xludf.DUMMYFUNCTION("""COMPUTED_VALUE"""),"SH2026-062")</f>
        <v>SH2026-062</v>
      </c>
      <c r="B62" s="4" t="str">
        <f>IFERROR(__xludf.DUMMYFUNCTION("""COMPUTED_VALUE"""),"Sinh học")</f>
        <v>Sinh học</v>
      </c>
      <c r="C62" s="4" t="str">
        <f>IFERROR(__xludf.DUMMYFUNCTION("""COMPUTED_VALUE"""),"Ảnh hưởng của bổ sung DHA ở chuột bố trước thụ thai đến chuyển hóa lipid của thế hệ sau theo giới tính và chế độ ăn")</f>
        <v>Ảnh hưởng của bổ sung DHA ở chuột bố trước thụ thai đến chuyển hóa lipid của thế hệ sau theo giới tính và chế độ ăn</v>
      </c>
      <c r="D62" s="4" t="str">
        <f>IFERROR(__xludf.DUMMYFUNCTION("""COMPUTED_VALUE"""),"Dương Diễm Quỳnh")</f>
        <v>Dương Diễm Quỳnh</v>
      </c>
      <c r="E62" s="4" t="str">
        <f>IFERROR(__xludf.DUMMYFUNCTION("""COMPUTED_VALUE"""),"Trường Đại học Quốc Tế, ĐHQG-HCM")</f>
        <v>Trường Đại học Quốc Tế, ĐHQG-HCM</v>
      </c>
      <c r="F62" s="4" t="str">
        <f>IFERROR(__xludf.DUMMYFUNCTION("""COMPUTED_VALUE"""),"SH2026-062.png")</f>
        <v>SH2026-062.png</v>
      </c>
    </row>
    <row r="63">
      <c r="A63" s="4" t="str">
        <f>IFERROR(__xludf.DUMMYFUNCTION("""COMPUTED_VALUE"""),"SH2026-063")</f>
        <v>SH2026-063</v>
      </c>
      <c r="B63" s="4" t="str">
        <f>IFERROR(__xludf.DUMMYFUNCTION("""COMPUTED_VALUE"""),"Sinh học")</f>
        <v>Sinh học</v>
      </c>
      <c r="C63" s="4" t="str">
        <f>IFERROR(__xludf.DUMMYFUNCTION("""COMPUTED_VALUE"""),"Tối ưu hóa điều kiện tách chiết polyphenol từ nghệ đắng (Curcuma comosa R.) có hỗ trợ enzyme và định hướng ứng dụng trong mỹ phẩm")</f>
        <v>Tối ưu hóa điều kiện tách chiết polyphenol từ nghệ đắng (Curcuma comosa R.) có hỗ trợ enzyme và định hướng ứng dụng trong mỹ phẩm</v>
      </c>
      <c r="D63" s="4" t="str">
        <f>IFERROR(__xludf.DUMMYFUNCTION("""COMPUTED_VALUE"""),"Ngô Hà Phương; Trần Lê Thanh Uyên; Nguyễn Hoàng Nhung; Nguyễn Thanh Mai; Huỳnh Phương Nhi")</f>
        <v>Ngô Hà Phương; Trần Lê Thanh Uyên; Nguyễn Hoàng Nhung; Nguyễn Thanh Mai; Huỳnh Phương Nhi</v>
      </c>
      <c r="E63" s="4" t="str">
        <f>IFERROR(__xludf.DUMMYFUNCTION("""COMPUTED_VALUE"""),"Trường Đại học Bách Khoa, ĐHQG-HCM")</f>
        <v>Trường Đại học Bách Khoa, ĐHQG-HCM</v>
      </c>
      <c r="F63" s="4" t="str">
        <f>IFERROR(__xludf.DUMMYFUNCTION("""COMPUTED_VALUE"""),"SH2026-063.png")</f>
        <v>SH2026-063.png</v>
      </c>
    </row>
    <row r="64">
      <c r="A64" s="4" t="str">
        <f>IFERROR(__xludf.DUMMYFUNCTION("""COMPUTED_VALUE"""),"SH2026-064")</f>
        <v>SH2026-064</v>
      </c>
      <c r="B64" s="4" t="str">
        <f>IFERROR(__xludf.DUMMYFUNCTION("""COMPUTED_VALUE"""),"Sinh học")</f>
        <v>Sinh học</v>
      </c>
      <c r="C64" s="4" t="str">
        <f>IFERROR(__xludf.DUMMYFUNCTION("""COMPUTED_VALUE"""),"Trích ly aloesin từ phụ phẩm vỏ lô hội (Aloe vera) định hướng phát triển sản phẩm dưỡng da")</f>
        <v>Trích ly aloesin từ phụ phẩm vỏ lô hội (Aloe vera) định hướng phát triển sản phẩm dưỡng da</v>
      </c>
      <c r="D64" s="4" t="str">
        <f>IFERROR(__xludf.DUMMYFUNCTION("""COMPUTED_VALUE"""),"Huỳnh Ngọc Nhã My; Dương Võ Khang Tường; Trần Thị Thảo Như")</f>
        <v>Huỳnh Ngọc Nhã My; Dương Võ Khang Tường; Trần Thị Thảo Như</v>
      </c>
      <c r="E64" s="4" t="str">
        <f>IFERROR(__xludf.DUMMYFUNCTION("""COMPUTED_VALUE"""),"Trường Đại học Bách Khoa, ĐHQG-HCM")</f>
        <v>Trường Đại học Bách Khoa, ĐHQG-HCM</v>
      </c>
      <c r="F64" s="4" t="str">
        <f>IFERROR(__xludf.DUMMYFUNCTION("""COMPUTED_VALUE"""),"SH2026-064.png")</f>
        <v>SH2026-064.png</v>
      </c>
    </row>
    <row r="65">
      <c r="A65" s="4" t="str">
        <f>IFERROR(__xludf.DUMMYFUNCTION("""COMPUTED_VALUE"""),"SH2026-065")</f>
        <v>SH2026-065</v>
      </c>
      <c r="B65" s="4" t="str">
        <f>IFERROR(__xludf.DUMMYFUNCTION("""COMPUTED_VALUE"""),"Sinh học")</f>
        <v>Sinh học</v>
      </c>
      <c r="C65" s="4" t="str">
        <f>IFERROR(__xludf.DUMMYFUNCTION("""COMPUTED_VALUE"""),"Đánh giá tác dụng hạ đường huyết của cao chiết cồn bài thuốc Nam gồm Thiên hoa phấn và Đậu đen in vivo")</f>
        <v>Đánh giá tác dụng hạ đường huyết của cao chiết cồn bài thuốc Nam gồm Thiên hoa phấn và Đậu đen in vivo</v>
      </c>
      <c r="D65" s="4" t="str">
        <f>IFERROR(__xludf.DUMMYFUNCTION("""COMPUTED_VALUE"""),"Lê Thị Thanh Thủy; Nguyễn Hà Châu Anh")</f>
        <v>Lê Thị Thanh Thủy; Nguyễn Hà Châu Anh</v>
      </c>
      <c r="E65" s="4" t="str">
        <f>IFERROR(__xludf.DUMMYFUNCTION("""COMPUTED_VALUE"""),"Đại học Y Dược TP. Hồ Chí Minh")</f>
        <v>Đại học Y Dược TP. Hồ Chí Minh</v>
      </c>
      <c r="F65" s="4" t="str">
        <f>IFERROR(__xludf.DUMMYFUNCTION("""COMPUTED_VALUE"""),"SH2026-065.png")</f>
        <v>SH2026-065.png</v>
      </c>
    </row>
    <row r="66">
      <c r="A66" s="4" t="str">
        <f>IFERROR(__xludf.DUMMYFUNCTION("""COMPUTED_VALUE"""),"SH2026-066")</f>
        <v>SH2026-066</v>
      </c>
      <c r="B66" s="4" t="str">
        <f>IFERROR(__xludf.DUMMYFUNCTION("""COMPUTED_VALUE"""),"Sinh học")</f>
        <v>Sinh học</v>
      </c>
      <c r="C66" s="4" t="str">
        <f>IFERROR(__xludf.DUMMYFUNCTION("""COMPUTED_VALUE"""),"Xây dựng mô hình sàng lọc ảo chất ức chế pd-1/pd-l1")</f>
        <v>Xây dựng mô hình sàng lọc ảo chất ức chế pd-1/pd-l1</v>
      </c>
      <c r="D66" s="4" t="str">
        <f>IFERROR(__xludf.DUMMYFUNCTION("""COMPUTED_VALUE"""),"Nguyễn Văn Tường Nghi; Nguyễn Hồ Mai Anh; Liêu Quang Khải")</f>
        <v>Nguyễn Văn Tường Nghi; Nguyễn Hồ Mai Anh; Liêu Quang Khải</v>
      </c>
      <c r="E66" s="4" t="str">
        <f>IFERROR(__xludf.DUMMYFUNCTION("""COMPUTED_VALUE"""),"Đại học Y Dược TP. Hồ Chí Minh")</f>
        <v>Đại học Y Dược TP. Hồ Chí Minh</v>
      </c>
      <c r="F66" s="4" t="str">
        <f>IFERROR(__xludf.DUMMYFUNCTION("""COMPUTED_VALUE"""),"SH2026-066.png")</f>
        <v>SH2026-066.png</v>
      </c>
    </row>
    <row r="67">
      <c r="A67" s="4" t="str">
        <f>IFERROR(__xludf.DUMMYFUNCTION("""COMPUTED_VALUE"""),"SH2026-067")</f>
        <v>SH2026-067</v>
      </c>
      <c r="B67" s="4" t="str">
        <f>IFERROR(__xludf.DUMMYFUNCTION("""COMPUTED_VALUE"""),"Sinh học")</f>
        <v>Sinh học</v>
      </c>
      <c r="C67" s="4" t="str">
        <f>IFERROR(__xludf.DUMMYFUNCTION("""COMPUTED_VALUE"""),"Nghiên cứu quy trình chiết tách polysaccharide và khảo sát sơ bộ in vivo tác dụng lợi sữa của cao chiết nước và phân đoạn polysaccharide thô từ đảng sâm việt nam (Codonopsis javanica)")</f>
        <v>Nghiên cứu quy trình chiết tách polysaccharide và khảo sát sơ bộ in vivo tác dụng lợi sữa của cao chiết nước và phân đoạn polysaccharide thô từ đảng sâm việt nam (Codonopsis javanica)</v>
      </c>
      <c r="D67" s="4" t="str">
        <f>IFERROR(__xludf.DUMMYFUNCTION("""COMPUTED_VALUE"""),"Phan Huỳnh Kim Dung; Võ Bách Hợp; Nguyễn Quý Ngọc Châu; Nguyễn Thảo Vy; Nguyễn Phan Hoàng Long")</f>
        <v>Phan Huỳnh Kim Dung; Võ Bách Hợp; Nguyễn Quý Ngọc Châu; Nguyễn Thảo Vy; Nguyễn Phan Hoàng Long</v>
      </c>
      <c r="E67" s="4" t="str">
        <f>IFERROR(__xludf.DUMMYFUNCTION("""COMPUTED_VALUE"""),"Đại học Y Dược TP. Hồ Chí Minh")</f>
        <v>Đại học Y Dược TP. Hồ Chí Minh</v>
      </c>
      <c r="F67" s="4" t="str">
        <f>IFERROR(__xludf.DUMMYFUNCTION("""COMPUTED_VALUE"""),"SH2026-067.png")</f>
        <v>SH2026-067.png</v>
      </c>
    </row>
    <row r="68">
      <c r="A68" s="4" t="str">
        <f>IFERROR(__xludf.DUMMYFUNCTION("""COMPUTED_VALUE"""),"SH2026-068")</f>
        <v>SH2026-068</v>
      </c>
      <c r="B68" s="4" t="str">
        <f>IFERROR(__xludf.DUMMYFUNCTION("""COMPUTED_VALUE"""),"Sinh học")</f>
        <v>Sinh học</v>
      </c>
      <c r="C68" s="4" t="str">
        <f>IFERROR(__xludf.DUMMYFUNCTION("""COMPUTED_VALUE"""),"Khảo sát tác dụng bảo vệ thần kinh của cây cỏ máu quảng bình Ventilago diffusa (g.don) exell trong mô hình mô phỏng bệnh huntington")</f>
        <v>Khảo sát tác dụng bảo vệ thần kinh của cây cỏ máu quảng bình Ventilago diffusa (g.don) exell trong mô hình mô phỏng bệnh huntington</v>
      </c>
      <c r="D68" s="4" t="str">
        <f>IFERROR(__xludf.DUMMYFUNCTION("""COMPUTED_VALUE"""),"Phạm Hồng Ngọc Hân; Phan Huỳnh Kim Dung; Nguyễn Quý Ngọc Châu; Võ Như Ý; Trần Thị Ngọc Dung")</f>
        <v>Phạm Hồng Ngọc Hân; Phan Huỳnh Kim Dung; Nguyễn Quý Ngọc Châu; Võ Như Ý; Trần Thị Ngọc Dung</v>
      </c>
      <c r="E68" s="4" t="str">
        <f>IFERROR(__xludf.DUMMYFUNCTION("""COMPUTED_VALUE"""),"Đại học Y Dược TP. Hồ Chí Minh")</f>
        <v>Đại học Y Dược TP. Hồ Chí Minh</v>
      </c>
      <c r="F68" s="4" t="str">
        <f>IFERROR(__xludf.DUMMYFUNCTION("""COMPUTED_VALUE"""),"SH2026-068.png")</f>
        <v>SH2026-068.png</v>
      </c>
    </row>
    <row r="69">
      <c r="A69" s="4" t="str">
        <f>IFERROR(__xludf.DUMMYFUNCTION("""COMPUTED_VALUE"""),"SH2026-069")</f>
        <v>SH2026-069</v>
      </c>
      <c r="B69" s="4" t="str">
        <f>IFERROR(__xludf.DUMMYFUNCTION("""COMPUTED_VALUE"""),"Sinh học")</f>
        <v>Sinh học</v>
      </c>
      <c r="C69" s="4" t="str">
        <f>IFERROR(__xludf.DUMMYFUNCTION("""COMPUTED_VALUE"""),"Hiệu quả kháng melanoma của cao chiết từ lá mãng cầu xiêm (Annona muricata linn) trên chuột nhắt")</f>
        <v>Hiệu quả kháng melanoma của cao chiết từ lá mãng cầu xiêm (Annona muricata linn) trên chuột nhắt</v>
      </c>
      <c r="D69" s="4" t="str">
        <f>IFERROR(__xludf.DUMMYFUNCTION("""COMPUTED_VALUE"""),"Lê Nguyễn Ngọc Nhi; Đỗ Vy")</f>
        <v>Lê Nguyễn Ngọc Nhi; Đỗ Vy</v>
      </c>
      <c r="E69" s="4" t="str">
        <f>IFERROR(__xludf.DUMMYFUNCTION("""COMPUTED_VALUE"""),"Đại học Y Dược TP. Hồ Chí Minh")</f>
        <v>Đại học Y Dược TP. Hồ Chí Minh</v>
      </c>
      <c r="F69" s="4" t="str">
        <f>IFERROR(__xludf.DUMMYFUNCTION("""COMPUTED_VALUE"""),"SH2026-069.png")</f>
        <v>SH2026-069.png</v>
      </c>
    </row>
    <row r="70">
      <c r="A70" s="4" t="str">
        <f>IFERROR(__xludf.DUMMYFUNCTION("""COMPUTED_VALUE"""),"SH2026-070")</f>
        <v>SH2026-070</v>
      </c>
      <c r="B70" s="4" t="str">
        <f>IFERROR(__xludf.DUMMYFUNCTION("""COMPUTED_VALUE"""),"Sinh học")</f>
        <v>Sinh học</v>
      </c>
      <c r="C70" s="4" t="str">
        <f>IFERROR(__xludf.DUMMYFUNCTION("""COMPUTED_VALUE"""),"Khảo sát tác động hạ acid uric và kháng viêm của cao chiết toàn phần từ hoa rau khúc trên mô hình viêm khớp do gout ở chuột nhắt")</f>
        <v>Khảo sát tác động hạ acid uric và kháng viêm của cao chiết toàn phần từ hoa rau khúc trên mô hình viêm khớp do gout ở chuột nhắt</v>
      </c>
      <c r="D70" s="4" t="str">
        <f>IFERROR(__xludf.DUMMYFUNCTION("""COMPUTED_VALUE"""),"Vũ Minh Đức; Lê Nguyễn Gia Hân; Phạm Giang Bình Yên")</f>
        <v>Vũ Minh Đức; Lê Nguyễn Gia Hân; Phạm Giang Bình Yên</v>
      </c>
      <c r="E70" s="4" t="str">
        <f>IFERROR(__xludf.DUMMYFUNCTION("""COMPUTED_VALUE"""),"Đại học Y Dược TP. Hồ Chí Minh")</f>
        <v>Đại học Y Dược TP. Hồ Chí Minh</v>
      </c>
      <c r="F70" s="4" t="str">
        <f>IFERROR(__xludf.DUMMYFUNCTION("""COMPUTED_VALUE"""),"SH2026-070.png")</f>
        <v>SH2026-070.png</v>
      </c>
    </row>
    <row r="71">
      <c r="A71" s="4" t="str">
        <f>IFERROR(__xludf.DUMMYFUNCTION("""COMPUTED_VALUE"""),"SH2026-071")</f>
        <v>SH2026-071</v>
      </c>
      <c r="B71" s="4" t="str">
        <f>IFERROR(__xludf.DUMMYFUNCTION("""COMPUTED_VALUE"""),"Sinh học")</f>
        <v>Sinh học</v>
      </c>
      <c r="C71" s="4" t="str">
        <f>IFERROR(__xludf.DUMMYFUNCTION("""COMPUTED_VALUE"""),"Tổng hợp theo phương pháp biginelli với sự hỗ trợ của vi sóng và đánh giá hoạt tính kháng khuẩn các dẫn chất 2-amino-1,4-dihydropyrimidin")</f>
        <v>Tổng hợp theo phương pháp biginelli với sự hỗ trợ của vi sóng và đánh giá hoạt tính kháng khuẩn các dẫn chất 2-amino-1,4-dihydropyrimidin</v>
      </c>
      <c r="D71" s="4" t="str">
        <f>IFERROR(__xludf.DUMMYFUNCTION("""COMPUTED_VALUE"""),"Lê Thị Bảo Trân; Phan Thị Ngọc Thi; Trần Ngọc Trân; Nguyễn Huy Nam; Bùi Lê Duy Tùng")</f>
        <v>Lê Thị Bảo Trân; Phan Thị Ngọc Thi; Trần Ngọc Trân; Nguyễn Huy Nam; Bùi Lê Duy Tùng</v>
      </c>
      <c r="E71" s="4" t="str">
        <f>IFERROR(__xludf.DUMMYFUNCTION("""COMPUTED_VALUE"""),"Đại học Y Dược TP. Hồ Chí Minh")</f>
        <v>Đại học Y Dược TP. Hồ Chí Minh</v>
      </c>
      <c r="F71" s="4" t="str">
        <f>IFERROR(__xludf.DUMMYFUNCTION("""COMPUTED_VALUE"""),"SH2026-071.png")</f>
        <v>SH2026-071.png</v>
      </c>
    </row>
    <row r="72">
      <c r="A72" s="4" t="str">
        <f>IFERROR(__xludf.DUMMYFUNCTION("""COMPUTED_VALUE"""),"SH2026-072")</f>
        <v>SH2026-072</v>
      </c>
      <c r="B72" s="4" t="str">
        <f>IFERROR(__xludf.DUMMYFUNCTION("""COMPUTED_VALUE"""),"Sinh học")</f>
        <v>Sinh học</v>
      </c>
      <c r="C72" s="4" t="str">
        <f>IFERROR(__xludf.DUMMYFUNCTION("""COMPUTED_VALUE"""),"Tổng hợp và đáng giá hoạt tính kháng ​vi sinh vật của các dẫn chất ​2-phenyl-1h-imidazol-4,5-dicarboxamid ​bất đối xứng mang nhóm morpholin​")</f>
        <v>Tổng hợp và đáng giá hoạt tính kháng ​vi sinh vật của các dẫn chất ​2-phenyl-1h-imidazol-4,5-dicarboxamid ​bất đối xứng mang nhóm morpholin​</v>
      </c>
      <c r="D72" s="4" t="str">
        <f>IFERROR(__xludf.DUMMYFUNCTION("""COMPUTED_VALUE"""),"Trần Đình Thanh Bình; Lý Hải Khang; Lê Bảo Hương; Phạm Huỳnh Thùy An; Nguyễn Hữu Đạt")</f>
        <v>Trần Đình Thanh Bình; Lý Hải Khang; Lê Bảo Hương; Phạm Huỳnh Thùy An; Nguyễn Hữu Đạt</v>
      </c>
      <c r="E72" s="4" t="str">
        <f>IFERROR(__xludf.DUMMYFUNCTION("""COMPUTED_VALUE"""),"Đại học Y Dược TP. Hồ Chí Minh")</f>
        <v>Đại học Y Dược TP. Hồ Chí Minh</v>
      </c>
      <c r="F72" s="4" t="str">
        <f>IFERROR(__xludf.DUMMYFUNCTION("""COMPUTED_VALUE"""),"SH2026-072.png")</f>
        <v>SH2026-072.png</v>
      </c>
    </row>
    <row r="73">
      <c r="A73" s="4" t="str">
        <f>IFERROR(__xludf.DUMMYFUNCTION("""COMPUTED_VALUE"""),"SH2026-073")</f>
        <v>SH2026-073</v>
      </c>
      <c r="B73" s="4" t="str">
        <f>IFERROR(__xludf.DUMMYFUNCTION("""COMPUTED_VALUE"""),"Sinh học")</f>
        <v>Sinh học</v>
      </c>
      <c r="C73" s="4" t="str">
        <f>IFERROR(__xludf.DUMMYFUNCTION("""COMPUTED_VALUE"""),"Phân tích đặc điểm thực vật và đánh giá tác dụng kháng viêm và giảm đau của lá cây Vòi voi (Heliotropium indicum Linn., Boraginaceae)")</f>
        <v>Phân tích đặc điểm thực vật và đánh giá tác dụng kháng viêm và giảm đau của lá cây Vòi voi (Heliotropium indicum Linn., Boraginaceae)</v>
      </c>
      <c r="D73" s="4" t="str">
        <f>IFERROR(__xludf.DUMMYFUNCTION("""COMPUTED_VALUE"""),"Châu Huệ Mẫn; Bồ Lê Quỳnh Trâm; Nguyễn Phước Tú; Lê Trần Gia Thuận")</f>
        <v>Châu Huệ Mẫn; Bồ Lê Quỳnh Trâm; Nguyễn Phước Tú; Lê Trần Gia Thuận</v>
      </c>
      <c r="E73" s="4" t="str">
        <f>IFERROR(__xludf.DUMMYFUNCTION("""COMPUTED_VALUE"""),"Trường Đại học Quốc tế Hồng Bàng")</f>
        <v>Trường Đại học Quốc tế Hồng Bàng</v>
      </c>
      <c r="F73" s="4" t="str">
        <f>IFERROR(__xludf.DUMMYFUNCTION("""COMPUTED_VALUE"""),"SH2026-073.png")</f>
        <v>SH2026-073.png</v>
      </c>
    </row>
    <row r="74">
      <c r="A74" s="4" t="str">
        <f>IFERROR(__xludf.DUMMYFUNCTION("""COMPUTED_VALUE"""),"SH2026-074")</f>
        <v>SH2026-074</v>
      </c>
      <c r="B74" s="4" t="str">
        <f>IFERROR(__xludf.DUMMYFUNCTION("""COMPUTED_VALUE"""),"Sinh học")</f>
        <v>Sinh học</v>
      </c>
      <c r="C74" s="4" t="str">
        <f>IFERROR(__xludf.DUMMYFUNCTION("""COMPUTED_VALUE"""),"Research on the bioremediation of chlorpyrifos residues in coffee soil using bacteria")</f>
        <v>Research on the bioremediation of chlorpyrifos residues in coffee soil using bacteria</v>
      </c>
      <c r="D74" s="4" t="str">
        <f>IFERROR(__xludf.DUMMYFUNCTION("""COMPUTED_VALUE"""),"Đồng Diễm Linh; Nguyễn Nam Khánh")</f>
        <v>Đồng Diễm Linh; Nguyễn Nam Khánh</v>
      </c>
      <c r="E74" s="4" t="str">
        <f>IFERROR(__xludf.DUMMYFUNCTION("""COMPUTED_VALUE"""),"Trường Đại học Khoa học và Công nghệ Hà Nội")</f>
        <v>Trường Đại học Khoa học và Công nghệ Hà Nội</v>
      </c>
      <c r="F74" s="4" t="str">
        <f>IFERROR(__xludf.DUMMYFUNCTION("""COMPUTED_VALUE"""),"SH2026-074.png")</f>
        <v>SH2026-074.png</v>
      </c>
    </row>
    <row r="75">
      <c r="A75" s="4" t="str">
        <f>IFERROR(__xludf.DUMMYFUNCTION("""COMPUTED_VALUE"""),"SH2026-075")</f>
        <v>SH2026-075</v>
      </c>
      <c r="B75" s="4" t="str">
        <f>IFERROR(__xludf.DUMMYFUNCTION("""COMPUTED_VALUE"""),"Sinh học")</f>
        <v>Sinh học</v>
      </c>
      <c r="C75" s="4" t="str">
        <f>IFERROR(__xludf.DUMMYFUNCTION("""COMPUTED_VALUE"""),"Xây dựng hệ thống sinh học mạng lưới tích hợp dữ liệu biểu hiện gen hướng đến dự đoán đáp ứng phân tử cá thể hóa ở tế bào ung thư bạch cầu dòng tủy cấp tính")</f>
        <v>Xây dựng hệ thống sinh học mạng lưới tích hợp dữ liệu biểu hiện gen hướng đến dự đoán đáp ứng phân tử cá thể hóa ở tế bào ung thư bạch cầu dòng tủy cấp tính</v>
      </c>
      <c r="D75" s="4" t="str">
        <f>IFERROR(__xludf.DUMMYFUNCTION("""COMPUTED_VALUE"""),"Đinh Tiến Đạt; Nguyễn Cầm Trang Anh")</f>
        <v>Đinh Tiến Đạt; Nguyễn Cầm Trang Anh</v>
      </c>
      <c r="E75" s="4" t="str">
        <f>IFERROR(__xludf.DUMMYFUNCTION("""COMPUTED_VALUE"""),"Trường Đại học Khoa học và Công nghệ Hà Nội")</f>
        <v>Trường Đại học Khoa học và Công nghệ Hà Nội</v>
      </c>
      <c r="F75" s="4" t="str">
        <f>IFERROR(__xludf.DUMMYFUNCTION("""COMPUTED_VALUE"""),"SH2026-075.png")</f>
        <v>SH2026-075.png</v>
      </c>
    </row>
    <row r="76">
      <c r="A76" s="4" t="str">
        <f>IFERROR(__xludf.DUMMYFUNCTION("""COMPUTED_VALUE"""),"SH2026-076")</f>
        <v>SH2026-076</v>
      </c>
      <c r="B76" s="4" t="str">
        <f>IFERROR(__xludf.DUMMYFUNCTION("""COMPUTED_VALUE"""),"Sinh học")</f>
        <v>Sinh học</v>
      </c>
      <c r="C76" s="4" t="str">
        <f>IFERROR(__xludf.DUMMYFUNCTION("""COMPUTED_VALUE"""),"Evaluating the therapeutic of quecertin in conventional monolayer and biomimetic spheroid models of hepatocellular carcinoma")</f>
        <v>Evaluating the therapeutic of quecertin in conventional monolayer and biomimetic spheroid models of hepatocellular carcinoma</v>
      </c>
      <c r="D76" s="4" t="str">
        <f>IFERROR(__xludf.DUMMYFUNCTION("""COMPUTED_VALUE"""),"Bùi Tâm Nghi; Đặng Thị Hiếu Lan")</f>
        <v>Bùi Tâm Nghi; Đặng Thị Hiếu Lan</v>
      </c>
      <c r="E76" s="4" t="str">
        <f>IFERROR(__xludf.DUMMYFUNCTION("""COMPUTED_VALUE"""),"Trường Đại học Quốc Tế, ĐHQG-HCM")</f>
        <v>Trường Đại học Quốc Tế, ĐHQG-HCM</v>
      </c>
      <c r="F76" s="4" t="str">
        <f>IFERROR(__xludf.DUMMYFUNCTION("""COMPUTED_VALUE"""),"SH2026-076.png")</f>
        <v>SH2026-076.png</v>
      </c>
    </row>
    <row r="77">
      <c r="A77" s="4" t="str">
        <f>IFERROR(__xludf.DUMMYFUNCTION("""COMPUTED_VALUE"""),"SH2026-077")</f>
        <v>SH2026-077</v>
      </c>
      <c r="B77" s="4" t="str">
        <f>IFERROR(__xludf.DUMMYFUNCTION("""COMPUTED_VALUE"""),"Sinh học")</f>
        <v>Sinh học</v>
      </c>
      <c r="C77" s="4" t="str">
        <f>IFERROR(__xludf.DUMMYFUNCTION("""COMPUTED_VALUE"""),"Xây dựng tiêu chuẩn kiểm nghiệm và đánh giá hoạt tính chống oxy hóa, ức chế α-glucosidase của lá thường xuân (Hedera nepalensis var. Sinensis (tobl.) rehder) bằng phương pháp in vitro và in silico")</f>
        <v>Xây dựng tiêu chuẩn kiểm nghiệm và đánh giá hoạt tính chống oxy hóa, ức chế α-glucosidase của lá thường xuân (Hedera nepalensis var. Sinensis (tobl.) rehder) bằng phương pháp in vitro và in silico</v>
      </c>
      <c r="D77" s="4" t="str">
        <f>IFERROR(__xludf.DUMMYFUNCTION("""COMPUTED_VALUE"""),"Lê Thảo Trân; Nguyễn Tuệ Minh; Đào Vũ Khánh Vy; Nguyễn Phan Bích Nguyệt")</f>
        <v>Lê Thảo Trân; Nguyễn Tuệ Minh; Đào Vũ Khánh Vy; Nguyễn Phan Bích Nguyệt</v>
      </c>
      <c r="E77" s="4" t="str">
        <f>IFERROR(__xludf.DUMMYFUNCTION("""COMPUTED_VALUE"""),"Trường Đại học Nguyễn Tất Thành")</f>
        <v>Trường Đại học Nguyễn Tất Thành</v>
      </c>
      <c r="F77" s="4" t="str">
        <f>IFERROR(__xludf.DUMMYFUNCTION("""COMPUTED_VALUE"""),"SH2026-077.png")</f>
        <v>SH2026-077.png</v>
      </c>
    </row>
    <row r="78">
      <c r="A78" s="4" t="str">
        <f>IFERROR(__xludf.DUMMYFUNCTION("""COMPUTED_VALUE"""),"SH2026-078")</f>
        <v>SH2026-078</v>
      </c>
      <c r="B78" s="4" t="str">
        <f>IFERROR(__xludf.DUMMYFUNCTION("""COMPUTED_VALUE"""),"Sinh học")</f>
        <v>Sinh học</v>
      </c>
      <c r="C78" s="4" t="str">
        <f>IFERROR(__xludf.DUMMYFUNCTION("""COMPUTED_VALUE"""),"Thiết kế và đánh giá vắc-xin đa epitope từ các protein liên quan ung thư dạ dày bằng phương pháp tin sinh học miễn dịch")</f>
        <v>Thiết kế và đánh giá vắc-xin đa epitope từ các protein liên quan ung thư dạ dày bằng phương pháp tin sinh học miễn dịch</v>
      </c>
      <c r="D78" s="4" t="str">
        <f>IFERROR(__xludf.DUMMYFUNCTION("""COMPUTED_VALUE"""),"Nguyễn Hoàng Vi Anhchar(10) Trần Thị Anh Thưchar(10) Huỳnh Gia Phúc")</f>
        <v>Nguyễn Hoàng Vi Anhchar(10) Trần Thị Anh Thưchar(10) Huỳnh Gia Phúc</v>
      </c>
      <c r="E78" s="4" t="str">
        <f>IFERROR(__xludf.DUMMYFUNCTION("""COMPUTED_VALUE"""),"Trường Đại học Khoa học Sức khỏe, ĐHQG-HCM")</f>
        <v>Trường Đại học Khoa học Sức khỏe, ĐHQG-HCM</v>
      </c>
      <c r="F78" s="4" t="str">
        <f>IFERROR(__xludf.DUMMYFUNCTION("""COMPUTED_VALUE"""),"SH2026-078.png")</f>
        <v>SH2026-078.png</v>
      </c>
    </row>
    <row r="79">
      <c r="A79" s="4" t="str">
        <f>IFERROR(__xludf.DUMMYFUNCTION("""COMPUTED_VALUE"""),"SH2026-079")</f>
        <v>SH2026-079</v>
      </c>
      <c r="B79" s="4" t="str">
        <f>IFERROR(__xludf.DUMMYFUNCTION("""COMPUTED_VALUE"""),"Sinh học")</f>
        <v>Sinh học</v>
      </c>
      <c r="C79" s="4" t="str">
        <f>IFERROR(__xludf.DUMMYFUNCTION("""COMPUTED_VALUE"""),"Khảo sát tác động của các chủng Helicobacter pylori Việt Nam lên đáp ứng viêm, điều hòa chu kỳ tế bào và apoptosis trên dòng tế bào biểu mô dạ dày GES-1.")</f>
        <v>Khảo sát tác động của các chủng Helicobacter pylori Việt Nam lên đáp ứng viêm, điều hòa chu kỳ tế bào và apoptosis trên dòng tế bào biểu mô dạ dày GES-1.</v>
      </c>
      <c r="D79" s="4" t="str">
        <f>IFERROR(__xludf.DUMMYFUNCTION("""COMPUTED_VALUE"""),"Vũ Đình Đông; Trần Đông Uyên")</f>
        <v>Vũ Đình Đông; Trần Đông Uyên</v>
      </c>
      <c r="E79" s="4" t="str">
        <f>IFERROR(__xludf.DUMMYFUNCTION("""COMPUTED_VALUE"""),"Trường Đại học Khoa học Tự nhiên, ĐHQG-HCM")</f>
        <v>Trường Đại học Khoa học Tự nhiên, ĐHQG-HCM</v>
      </c>
      <c r="F79" s="4" t="str">
        <f>IFERROR(__xludf.DUMMYFUNCTION("""COMPUTED_VALUE"""),"SH2026-079.png")</f>
        <v>SH2026-079.png</v>
      </c>
    </row>
    <row r="80">
      <c r="A80" s="4" t="str">
        <f>IFERROR(__xludf.DUMMYFUNCTION("""COMPUTED_VALUE"""),"SH2026-080")</f>
        <v>SH2026-080</v>
      </c>
      <c r="B80" s="4" t="str">
        <f>IFERROR(__xludf.DUMMYFUNCTION("""COMPUTED_VALUE"""),"Sinh học")</f>
        <v>Sinh học</v>
      </c>
      <c r="C80" s="4" t="str">
        <f>IFERROR(__xludf.DUMMYFUNCTION("""COMPUTED_VALUE"""),"Xây dựng quy trình PCR để phân biệt thổ sâm (Talinum palniculatum) và thổ sâm ba cạnh (Talinum fruticosum)")</f>
        <v>Xây dựng quy trình PCR để phân biệt thổ sâm (Talinum palniculatum) và thổ sâm ba cạnh (Talinum fruticosum)</v>
      </c>
      <c r="D80" s="4" t="str">
        <f>IFERROR(__xludf.DUMMYFUNCTION("""COMPUTED_VALUE"""),"Lý Giai Thành; Đặng Thị Thuỳ Linh; Nguyễn Văn Tuấn")</f>
        <v>Lý Giai Thành; Đặng Thị Thuỳ Linh; Nguyễn Văn Tuấn</v>
      </c>
      <c r="E80" s="4" t="str">
        <f>IFERROR(__xludf.DUMMYFUNCTION("""COMPUTED_VALUE"""),"Trường Đại học Công Thương TP. Hồ Chí Minh")</f>
        <v>Trường Đại học Công Thương TP. Hồ Chí Minh</v>
      </c>
      <c r="F80" s="4" t="str">
        <f>IFERROR(__xludf.DUMMYFUNCTION("""COMPUTED_VALUE"""),"SH2026-080.png")</f>
        <v>SH2026-080.png</v>
      </c>
    </row>
    <row r="81">
      <c r="A81" s="4" t="str">
        <f>IFERROR(__xludf.DUMMYFUNCTION("""COMPUTED_VALUE"""),"SH2026-081")</f>
        <v>SH2026-081</v>
      </c>
      <c r="B81" s="4" t="str">
        <f>IFERROR(__xludf.DUMMYFUNCTION("""COMPUTED_VALUE"""),"Sinh học")</f>
        <v>Sinh học</v>
      </c>
      <c r="C81" s="4" t="str">
        <f>IFERROR(__xludf.DUMMYFUNCTION("""COMPUTED_VALUE"""),"Investigating the impact of 2c-peg on activation and e2f1 gene expression in the twnt-1 hepatic stellate cell line")</f>
        <v>Investigating the impact of 2c-peg on activation and e2f1 gene expression in the twnt-1 hepatic stellate cell line</v>
      </c>
      <c r="D81" s="4" t="str">
        <f>IFERROR(__xludf.DUMMYFUNCTION("""COMPUTED_VALUE"""),"ÔNG HÀ THẢO MY")</f>
        <v>ÔNG HÀ THẢO MY</v>
      </c>
      <c r="E81" s="4" t="str">
        <f>IFERROR(__xludf.DUMMYFUNCTION("""COMPUTED_VALUE"""),"Trường Đại học Khoa học Tự nhiên, ĐHQG-HCM")</f>
        <v>Trường Đại học Khoa học Tự nhiên, ĐHQG-HCM</v>
      </c>
      <c r="F81" s="4" t="str">
        <f>IFERROR(__xludf.DUMMYFUNCTION("""COMPUTED_VALUE"""),"SH2026-081.png")</f>
        <v>SH2026-081.png</v>
      </c>
    </row>
    <row r="82">
      <c r="A82" s="4" t="str">
        <f>IFERROR(__xludf.DUMMYFUNCTION("""COMPUTED_VALUE"""),"SH2026-082")</f>
        <v>SH2026-082</v>
      </c>
      <c r="B82" s="4" t="str">
        <f>IFERROR(__xludf.DUMMYFUNCTION("""COMPUTED_VALUE"""),"Sinh học")</f>
        <v>Sinh học</v>
      </c>
      <c r="C82" s="4" t="str">
        <f>IFERROR(__xludf.DUMMYFUNCTION("""COMPUTED_VALUE"""),"Evaluating the impact of siRNA-mediated E2F1 and EEF1A1 knockdown on the activation of hepatic stellate cell lines")</f>
        <v>Evaluating the impact of siRNA-mediated E2F1 and EEF1A1 knockdown on the activation of hepatic stellate cell lines</v>
      </c>
      <c r="D82" s="4" t="str">
        <f>IFERROR(__xludf.DUMMYFUNCTION("""COMPUTED_VALUE"""),"Trương Quỳnh Lan; Nguyễn Phạm Anh Thư; Lê Hiếu Ngân; Nguyễn Thị Diên; Trần Cảnh Thành Trung")</f>
        <v>Trương Quỳnh Lan; Nguyễn Phạm Anh Thư; Lê Hiếu Ngân; Nguyễn Thị Diên; Trần Cảnh Thành Trung</v>
      </c>
      <c r="E82" s="4" t="str">
        <f>IFERROR(__xludf.DUMMYFUNCTION("""COMPUTED_VALUE"""),"Trường Đại học Khoa học Tự nhiên, ĐHQG-HCM")</f>
        <v>Trường Đại học Khoa học Tự nhiên, ĐHQG-HCM</v>
      </c>
      <c r="F82" s="4" t="str">
        <f>IFERROR(__xludf.DUMMYFUNCTION("""COMPUTED_VALUE"""),"SH2026-082.png")</f>
        <v>SH2026-082.png</v>
      </c>
    </row>
    <row r="83">
      <c r="A83" s="4" t="str">
        <f>IFERROR(__xludf.DUMMYFUNCTION("""COMPUTED_VALUE"""),"SH2026-083")</f>
        <v>SH2026-083</v>
      </c>
      <c r="B83" s="4" t="str">
        <f>IFERROR(__xludf.DUMMYFUNCTION("""COMPUTED_VALUE"""),"Sinh học")</f>
        <v>Sinh học</v>
      </c>
      <c r="C83" s="4" t="str">
        <f>IFERROR(__xludf.DUMMYFUNCTION("""COMPUTED_VALUE"""),"Nghiên cứu phân vùng và dự báo khu vực phân bố tiềm năng sâm Ngọc Linh bằng mô hình XGBOOST")</f>
        <v>Nghiên cứu phân vùng và dự báo khu vực phân bố tiềm năng sâm Ngọc Linh bằng mô hình XGBOOST</v>
      </c>
      <c r="D83" s="4" t="str">
        <f>IFERROR(__xludf.DUMMYFUNCTION("""COMPUTED_VALUE"""),"Nguyễn Thị Hồng Ngọc; Nguyễn Nhật Long")</f>
        <v>Nguyễn Thị Hồng Ngọc; Nguyễn Nhật Long</v>
      </c>
      <c r="E83" s="4" t="str">
        <f>IFERROR(__xludf.DUMMYFUNCTION("""COMPUTED_VALUE"""),"Trường Đại học Sư phạm, Đại học Đà Nẵng")</f>
        <v>Trường Đại học Sư phạm, Đại học Đà Nẵng</v>
      </c>
      <c r="F83" s="4" t="str">
        <f>IFERROR(__xludf.DUMMYFUNCTION("""COMPUTED_VALUE"""),"SH2026-083.png")</f>
        <v>SH2026-083.png</v>
      </c>
    </row>
    <row r="84">
      <c r="A84" s="4" t="str">
        <f>IFERROR(__xludf.DUMMYFUNCTION("""COMPUTED_VALUE"""),"SH2026-084")</f>
        <v>SH2026-084</v>
      </c>
      <c r="B84" s="4" t="str">
        <f>IFERROR(__xludf.DUMMYFUNCTION("""COMPUTED_VALUE"""),"Sinh học")</f>
        <v>Sinh học</v>
      </c>
      <c r="C84" s="4" t="str">
        <f>IFERROR(__xludf.DUMMYFUNCTION("""COMPUTED_VALUE"""),"Nghiên cứu đặc điểm hình thái và sinh thái của loài Gai ma vương nhỏ (Tribulus sp.) phân bố ven biển khu vực tỉnh Lâm Đồng")</f>
        <v>Nghiên cứu đặc điểm hình thái và sinh thái của loài Gai ma vương nhỏ (Tribulus sp.) phân bố ven biển khu vực tỉnh Lâm Đồng</v>
      </c>
      <c r="D84" s="4" t="str">
        <f>IFERROR(__xludf.DUMMYFUNCTION("""COMPUTED_VALUE"""),"Lê Thi Gia Hân")</f>
        <v>Lê Thi Gia Hân</v>
      </c>
      <c r="E84" s="4" t="str">
        <f>IFERROR(__xludf.DUMMYFUNCTION("""COMPUTED_VALUE"""),"Trường Đại học Sư phạm TP. Hồ Chí Minh")</f>
        <v>Trường Đại học Sư phạm TP. Hồ Chí Minh</v>
      </c>
      <c r="F84" s="4" t="str">
        <f>IFERROR(__xludf.DUMMYFUNCTION("""COMPUTED_VALUE"""),"SH2026-084.png")</f>
        <v>SH2026-084.png</v>
      </c>
    </row>
    <row r="85">
      <c r="A85" s="4" t="str">
        <f>IFERROR(__xludf.DUMMYFUNCTION("""COMPUTED_VALUE"""),"SH2026-085")</f>
        <v>SH2026-085</v>
      </c>
      <c r="B85" s="4" t="str">
        <f>IFERROR(__xludf.DUMMYFUNCTION("""COMPUTED_VALUE"""),"Sinh học")</f>
        <v>Sinh học</v>
      </c>
      <c r="C85" s="4" t="str">
        <f>IFERROR(__xludf.DUMMYFUNCTION("""COMPUTED_VALUE"""),"Ứng dụng và cải tiến kỹ thuật Diaphonization nhuộm toàn thân biểu hiện mô xương và sụn ở chuột")</f>
        <v>Ứng dụng và cải tiến kỹ thuật Diaphonization nhuộm toàn thân biểu hiện mô xương và sụn ở chuột</v>
      </c>
      <c r="D85" s="4" t="str">
        <f>IFERROR(__xludf.DUMMYFUNCTION("""COMPUTED_VALUE"""),"Nguyễn Thị Thanh Thúy; Lê Thanh Tuyền; Nguyễn Minh Phương; Nguyễn Như Hải Phong; Phạm Phú Quang")</f>
        <v>Nguyễn Thị Thanh Thúy; Lê Thanh Tuyền; Nguyễn Minh Phương; Nguyễn Như Hải Phong; Phạm Phú Quang</v>
      </c>
      <c r="E85" s="4" t="str">
        <f>IFERROR(__xludf.DUMMYFUNCTION("""COMPUTED_VALUE"""),"Học viện Nông nghiệp Việt Nam")</f>
        <v>Học viện Nông nghiệp Việt Nam</v>
      </c>
      <c r="F85" s="4" t="str">
        <f>IFERROR(__xludf.DUMMYFUNCTION("""COMPUTED_VALUE"""),"SH2026-085.png")</f>
        <v>SH2026-085.png</v>
      </c>
    </row>
    <row r="86">
      <c r="A86" s="4" t="str">
        <f>IFERROR(__xludf.DUMMYFUNCTION("""COMPUTED_VALUE"""),"SH2026-086")</f>
        <v>SH2026-086</v>
      </c>
      <c r="B86" s="4" t="str">
        <f>IFERROR(__xludf.DUMMYFUNCTION("""COMPUTED_VALUE"""),"Sinh học")</f>
        <v>Sinh học</v>
      </c>
      <c r="C86" s="4" t="str">
        <f>IFERROR(__xludf.DUMMYFUNCTION("""COMPUTED_VALUE"""),"Đánh giá khả năng ức chế E2F của HLM006474 trong điều hòa sự hoạt hóa tế bào hình sao gan chuột liên quan đến quá trình xơ hóa gan")</f>
        <v>Đánh giá khả năng ức chế E2F của HLM006474 trong điều hòa sự hoạt hóa tế bào hình sao gan chuột liên quan đến quá trình xơ hóa gan</v>
      </c>
      <c r="D86" s="4" t="str">
        <f>IFERROR(__xludf.DUMMYFUNCTION("""COMPUTED_VALUE"""),"Lê Trúc Luân; Lâm Duy Anh")</f>
        <v>Lê Trúc Luân; Lâm Duy Anh</v>
      </c>
      <c r="E86" s="4" t="str">
        <f>IFERROR(__xludf.DUMMYFUNCTION("""COMPUTED_VALUE"""),"Trường Đại học Khoa học Tự nhiên, ĐHQG-HCM")</f>
        <v>Trường Đại học Khoa học Tự nhiên, ĐHQG-HCM</v>
      </c>
      <c r="F86" s="4" t="str">
        <f>IFERROR(__xludf.DUMMYFUNCTION("""COMPUTED_VALUE"""),"SH2026-086.png")</f>
        <v>SH2026-086.png</v>
      </c>
    </row>
    <row r="87">
      <c r="A87" s="4" t="str">
        <f>IFERROR(__xludf.DUMMYFUNCTION("""COMPUTED_VALUE"""),"SH2026-087")</f>
        <v>SH2026-087</v>
      </c>
      <c r="B87" s="4" t="str">
        <f>IFERROR(__xludf.DUMMYFUNCTION("""COMPUTED_VALUE"""),"Sinh học")</f>
        <v>Sinh học</v>
      </c>
      <c r="C87" s="4" t="str">
        <f>IFERROR(__xludf.DUMMYFUNCTION("""COMPUTED_VALUE"""),"Xây dựng khoảng tham chiếu sinh học cho chỉ số phân bố kích thước bạch cầu đơn nhân ở người khám sức khoẻ định kỳ tại Bệnh viện Quân y 175")</f>
        <v>Xây dựng khoảng tham chiếu sinh học cho chỉ số phân bố kích thước bạch cầu đơn nhân ở người khám sức khoẻ định kỳ tại Bệnh viện Quân y 175</v>
      </c>
      <c r="D87" s="4" t="str">
        <f>IFERROR(__xludf.DUMMYFUNCTION("""COMPUTED_VALUE"""),"Lê Ngọc Bảo Hân; Cao Mỹ Hạnh; Nguyễn Duy Khang; Nguyễn Lộc Quí; Hà Đức Trí")</f>
        <v>Lê Ngọc Bảo Hân; Cao Mỹ Hạnh; Nguyễn Duy Khang; Nguyễn Lộc Quí; Hà Đức Trí</v>
      </c>
      <c r="E87" s="4" t="str">
        <f>IFERROR(__xludf.DUMMYFUNCTION("""COMPUTED_VALUE"""),"Trường Đại học Quốc tế Hồng Bàng")</f>
        <v>Trường Đại học Quốc tế Hồng Bàng</v>
      </c>
      <c r="F87" s="4" t="str">
        <f>IFERROR(__xludf.DUMMYFUNCTION("""COMPUTED_VALUE"""),"SH2026-087.png")</f>
        <v>SH2026-087.png</v>
      </c>
    </row>
    <row r="88">
      <c r="A88" s="4" t="str">
        <f>IFERROR(__xludf.DUMMYFUNCTION("""COMPUTED_VALUE"""),"SH2026-088")</f>
        <v>SH2026-088</v>
      </c>
      <c r="B88" s="4" t="str">
        <f>IFERROR(__xludf.DUMMYFUNCTION("""COMPUTED_VALUE"""),"Sinh học")</f>
        <v>Sinh học</v>
      </c>
      <c r="C88" s="4" t="str">
        <f>IFERROR(__xludf.DUMMYFUNCTION("""COMPUTED_VALUE"""),"Chuẩn hóa và đánh giá tiềm năng chống đái tháo đường của Stenochlaena palustris và Diplazium esculentum thông qua hoạt tính ức chế α-glucosidase.")</f>
        <v>Chuẩn hóa và đánh giá tiềm năng chống đái tháo đường của Stenochlaena palustris và Diplazium esculentum thông qua hoạt tính ức chế α-glucosidase.</v>
      </c>
      <c r="D88" s="4" t="str">
        <f>IFERROR(__xludf.DUMMYFUNCTION("""COMPUTED_VALUE"""),"Lê Phương Ngọc Duyên; Nguyễn Mai Hoàng Hoa; Lê Ngọc Kim Ngân; Đoàn Yến Nhi")</f>
        <v>Lê Phương Ngọc Duyên; Nguyễn Mai Hoàng Hoa; Lê Ngọc Kim Ngân; Đoàn Yến Nhi</v>
      </c>
      <c r="E88" s="4" t="str">
        <f>IFERROR(__xludf.DUMMYFUNCTION("""COMPUTED_VALUE"""),"Trường Đại học Nguyễn Tất Thành")</f>
        <v>Trường Đại học Nguyễn Tất Thành</v>
      </c>
      <c r="F88" s="4" t="str">
        <f>IFERROR(__xludf.DUMMYFUNCTION("""COMPUTED_VALUE"""),"SH2026-088.png")</f>
        <v>SH2026-088.png</v>
      </c>
    </row>
    <row r="89">
      <c r="A89" s="4" t="str">
        <f>IFERROR(__xludf.DUMMYFUNCTION("""COMPUTED_VALUE"""),"SH2026-089")</f>
        <v>SH2026-089</v>
      </c>
      <c r="B89" s="4" t="str">
        <f>IFERROR(__xludf.DUMMYFUNCTION("""COMPUTED_VALUE"""),"Sinh học")</f>
        <v>Sinh học</v>
      </c>
      <c r="C89" s="4" t="str">
        <f>IFERROR(__xludf.DUMMYFUNCTION("""COMPUTED_VALUE"""),"Nghiên cứu đặc điểm thực vật học, đề xuất một số chỉ tiêu chất lượng và khảo sát dung môi chiết xuất polyphenol từ Dương xỉ ráng (Pteris vittata L.)")</f>
        <v>Nghiên cứu đặc điểm thực vật học, đề xuất một số chỉ tiêu chất lượng và khảo sát dung môi chiết xuất polyphenol từ Dương xỉ ráng (Pteris vittata L.)</v>
      </c>
      <c r="D89" s="4" t="str">
        <f>IFERROR(__xludf.DUMMYFUNCTION("""COMPUTED_VALUE"""),"Lê Nguyễn Thành Phúc; Đặng Phương Nghi; Nguyễn Hồ Quỳnh Thư; Trần Thị Ngọc Trâm; Lê Thị Kim Thoa")</f>
        <v>Lê Nguyễn Thành Phúc; Đặng Phương Nghi; Nguyễn Hồ Quỳnh Thư; Trần Thị Ngọc Trâm; Lê Thị Kim Thoa</v>
      </c>
      <c r="E89" s="4" t="str">
        <f>IFERROR(__xludf.DUMMYFUNCTION("""COMPUTED_VALUE"""),"Trường Đại học Nguyễn Tất Thành")</f>
        <v>Trường Đại học Nguyễn Tất Thành</v>
      </c>
      <c r="F89" s="4" t="str">
        <f>IFERROR(__xludf.DUMMYFUNCTION("""COMPUTED_VALUE"""),"SH2026-089.png")</f>
        <v>SH2026-089.png</v>
      </c>
    </row>
    <row r="90">
      <c r="A90" s="4" t="str">
        <f>IFERROR(__xludf.DUMMYFUNCTION("""COMPUTED_VALUE"""),"SH2026-090")</f>
        <v>SH2026-090</v>
      </c>
      <c r="B90" s="4" t="str">
        <f>IFERROR(__xludf.DUMMYFUNCTION("""COMPUTED_VALUE"""),"Sinh học")</f>
        <v>Sinh học</v>
      </c>
      <c r="C90" s="4" t="str">
        <f>IFERROR(__xludf.DUMMYFUNCTION("""COMPUTED_VALUE"""),"Nghiên cứu đặc điểm hình thái, vi học và sơ bộ thành phần hoá học của Bần không cánh (Sonneratia apetala)")</f>
        <v>Nghiên cứu đặc điểm hình thái, vi học và sơ bộ thành phần hoá học của Bần không cánh (Sonneratia apetala)</v>
      </c>
      <c r="D90" s="4" t="str">
        <f>IFERROR(__xludf.DUMMYFUNCTION("""COMPUTED_VALUE"""),"Lương Thị Kim Anh; Đặng Nguyễn Trúc Vy; Nguyễn Văn Thuận; Nguyễn Hồng Thái")</f>
        <v>Lương Thị Kim Anh; Đặng Nguyễn Trúc Vy; Nguyễn Văn Thuận; Nguyễn Hồng Thái</v>
      </c>
      <c r="E90" s="4" t="str">
        <f>IFERROR(__xludf.DUMMYFUNCTION("""COMPUTED_VALUE"""),"Trường Đại học Nguyễn Tất Thành")</f>
        <v>Trường Đại học Nguyễn Tất Thành</v>
      </c>
      <c r="F90" s="4" t="str">
        <f>IFERROR(__xludf.DUMMYFUNCTION("""COMPUTED_VALUE"""),"SH2026-090.png")</f>
        <v>SH2026-090.png</v>
      </c>
    </row>
    <row r="91">
      <c r="A91" s="4" t="str">
        <f>IFERROR(__xludf.DUMMYFUNCTION("""COMPUTED_VALUE"""),"SH2026-091")</f>
        <v>SH2026-091</v>
      </c>
      <c r="B91" s="4" t="str">
        <f>IFERROR(__xludf.DUMMYFUNCTION("""COMPUTED_VALUE"""),"Sinh học")</f>
        <v>Sinh học</v>
      </c>
      <c r="C91" s="4" t="str">
        <f>IFERROR(__xludf.DUMMYFUNCTION("""COMPUTED_VALUE"""),"Nghiên cứu phân lập thành phần hóa học và hoạt tính sinh học của Chè Vằng (Jasminum nervosum Lour.) ứng dụng phát triển dầu gội và sữa tắm thảo dược.")</f>
        <v>Nghiên cứu phân lập thành phần hóa học và hoạt tính sinh học của Chè Vằng (Jasminum nervosum Lour.) ứng dụng phát triển dầu gội và sữa tắm thảo dược.</v>
      </c>
      <c r="D91" s="4" t="str">
        <f>IFERROR(__xludf.DUMMYFUNCTION("""COMPUTED_VALUE"""),"Đào Thị Ngọc Ánh; Lâm Thị Ngọc Linh; Đặng Thị Xuân Mai; Nguyễn Thái My")</f>
        <v>Đào Thị Ngọc Ánh; Lâm Thị Ngọc Linh; Đặng Thị Xuân Mai; Nguyễn Thái My</v>
      </c>
      <c r="E91" s="4" t="str">
        <f>IFERROR(__xludf.DUMMYFUNCTION("""COMPUTED_VALUE"""),"Trường Đại học Nguyễn Tất Thành")</f>
        <v>Trường Đại học Nguyễn Tất Thành</v>
      </c>
      <c r="F91" s="4" t="str">
        <f>IFERROR(__xludf.DUMMYFUNCTION("""COMPUTED_VALUE"""),"SH2026-091.png")</f>
        <v>SH2026-091.png</v>
      </c>
    </row>
    <row r="92">
      <c r="A92" s="4" t="str">
        <f>IFERROR(__xludf.DUMMYFUNCTION("""COMPUTED_VALUE"""),"SH2026-092")</f>
        <v>SH2026-092</v>
      </c>
      <c r="B92" s="4" t="str">
        <f>IFERROR(__xludf.DUMMYFUNCTION("""COMPUTED_VALUE"""),"Sinh học")</f>
        <v>Sinh học</v>
      </c>
      <c r="C92" s="4" t="str">
        <f>IFERROR(__xludf.DUMMYFUNCTION("""COMPUTED_VALUE"""),"Đặc điểm giải phẫu củ và tương tác mô học tại vùng tiếp xúc giữa cây chủ và bốn loài thuộc chi Nấm ngọc cẩu (Balanophora J.R. Forst. &amp; G. Forst.)")</f>
        <v>Đặc điểm giải phẫu củ và tương tác mô học tại vùng tiếp xúc giữa cây chủ và bốn loài thuộc chi Nấm ngọc cẩu (Balanophora J.R. Forst. &amp; G. Forst.)</v>
      </c>
      <c r="D92" s="4" t="str">
        <f>IFERROR(__xludf.DUMMYFUNCTION("""COMPUTED_VALUE"""),"Cao Hoàng Tuấn; Nguyễn Đào Cẩm Tú; Nguyễn Thị Hồng Nhung")</f>
        <v>Cao Hoàng Tuấn; Nguyễn Đào Cẩm Tú; Nguyễn Thị Hồng Nhung</v>
      </c>
      <c r="E92" s="4" t="str">
        <f>IFERROR(__xludf.DUMMYFUNCTION("""COMPUTED_VALUE"""),"Trường Đại học Sư phạm Hà Nội")</f>
        <v>Trường Đại học Sư phạm Hà Nội</v>
      </c>
      <c r="F92" s="4" t="str">
        <f>IFERROR(__xludf.DUMMYFUNCTION("""COMPUTED_VALUE"""),"SH2026-092.png")</f>
        <v>SH2026-092.png</v>
      </c>
    </row>
    <row r="93">
      <c r="A93" s="4" t="str">
        <f>IFERROR(__xludf.DUMMYFUNCTION("""COMPUTED_VALUE"""),"SH2026-093")</f>
        <v>SH2026-093</v>
      </c>
      <c r="B93" s="4" t="str">
        <f>IFERROR(__xludf.DUMMYFUNCTION("""COMPUTED_VALUE"""),"Sinh học")</f>
        <v>Sinh học</v>
      </c>
      <c r="C93" s="4" t="str">
        <f>IFERROR(__xludf.DUMMYFUNCTION("""COMPUTED_VALUE"""),"Tiềm năng của dịch chiết từ hạt Đậu đen (Vigna cylindrica) trong nghiên cứu và phát triển sản phẩm chăm sóc da và chống lão hoá")</f>
        <v>Tiềm năng của dịch chiết từ hạt Đậu đen (Vigna cylindrica) trong nghiên cứu và phát triển sản phẩm chăm sóc da và chống lão hoá</v>
      </c>
      <c r="D93" s="4" t="str">
        <f>IFERROR(__xludf.DUMMYFUNCTION("""COMPUTED_VALUE"""),"Trần Quang Khang; Nguyễn Thuý Phương Uyên; Nguyễn Ngọc Quỳnh Hương")</f>
        <v>Trần Quang Khang; Nguyễn Thuý Phương Uyên; Nguyễn Ngọc Quỳnh Hương</v>
      </c>
      <c r="E93" s="4" t="str">
        <f>IFERROR(__xludf.DUMMYFUNCTION("""COMPUTED_VALUE"""),"Trường Đại học Khoa học Tự nhiên, ĐHQG-HCM")</f>
        <v>Trường Đại học Khoa học Tự nhiên, ĐHQG-HCM</v>
      </c>
      <c r="F93" s="4" t="str">
        <f>IFERROR(__xludf.DUMMYFUNCTION("""COMPUTED_VALUE"""),"SH2026-093.png")</f>
        <v>SH2026-093.png</v>
      </c>
    </row>
    <row r="94">
      <c r="A94" s="4" t="str">
        <f>IFERROR(__xludf.DUMMYFUNCTION("""COMPUTED_VALUE"""),"SH2026-094")</f>
        <v>SH2026-094</v>
      </c>
      <c r="B94" s="4" t="str">
        <f>IFERROR(__xludf.DUMMYFUNCTION("""COMPUTED_VALUE"""),"Sinh học")</f>
        <v>Sinh học</v>
      </c>
      <c r="C94" s="4" t="str">
        <f>IFERROR(__xludf.DUMMYFUNCTION("""COMPUTED_VALUE"""),"Đánh giá tác dụng sinh học in vitro của loài sung bộng (Ficus fistulosa)")</f>
        <v>Đánh giá tác dụng sinh học in vitro của loài sung bộng (Ficus fistulosa)</v>
      </c>
      <c r="D94" s="4" t="str">
        <f>IFERROR(__xludf.DUMMYFUNCTION("""COMPUTED_VALUE"""),"Lý Kim Hoán; Khổng Tiến Thành; Trần Nguyễn Gia Giàu; Lê Nguyễn Thúy Vy; Nguyễn Anh Khôi")</f>
        <v>Lý Kim Hoán; Khổng Tiến Thành; Trần Nguyễn Gia Giàu; Lê Nguyễn Thúy Vy; Nguyễn Anh Khôi</v>
      </c>
      <c r="E94" s="4" t="str">
        <f>IFERROR(__xludf.DUMMYFUNCTION("""COMPUTED_VALUE"""),"Đại học Y Dược TP. Hồ Chí Minh")</f>
        <v>Đại học Y Dược TP. Hồ Chí Minh</v>
      </c>
      <c r="F94" s="4" t="str">
        <f>IFERROR(__xludf.DUMMYFUNCTION("""COMPUTED_VALUE"""),"SH2026-094.png")</f>
        <v>SH2026-094.png</v>
      </c>
    </row>
    <row r="95">
      <c r="A95" s="4" t="str">
        <f>IFERROR(__xludf.DUMMYFUNCTION("""COMPUTED_VALUE"""),"SH2026-095")</f>
        <v>SH2026-095</v>
      </c>
      <c r="B95" s="4" t="str">
        <f>IFERROR(__xludf.DUMMYFUNCTION("""COMPUTED_VALUE"""),"Sinh học")</f>
        <v>Sinh học</v>
      </c>
      <c r="C95" s="4" t="str">
        <f>IFERROR(__xludf.DUMMYFUNCTION("""COMPUTED_VALUE"""),"Phân tích đặc điểm hình thái thực vật, vi học và thành phần tinh dầu của cây Bạch đàn chanh Eucalyptus citriodora Hook., Myrtaceae")</f>
        <v>Phân tích đặc điểm hình thái thực vật, vi học và thành phần tinh dầu của cây Bạch đàn chanh Eucalyptus citriodora Hook., Myrtaceae</v>
      </c>
      <c r="D95" s="4" t="str">
        <f>IFERROR(__xludf.DUMMYFUNCTION("""COMPUTED_VALUE"""),"Nguyễn Ngọc Băng Như; Lâm Bảo Trân; Nguyễn Huỳnh Như; Trần Nguyễn Nguyên An")</f>
        <v>Nguyễn Ngọc Băng Như; Lâm Bảo Trân; Nguyễn Huỳnh Như; Trần Nguyễn Nguyên An</v>
      </c>
      <c r="E95" s="4" t="str">
        <f>IFERROR(__xludf.DUMMYFUNCTION("""COMPUTED_VALUE"""),"Trường Đại học Quốc tế Hồng Bàng")</f>
        <v>Trường Đại học Quốc tế Hồng Bàng</v>
      </c>
      <c r="F95" s="4" t="str">
        <f>IFERROR(__xludf.DUMMYFUNCTION("""COMPUTED_VALUE"""),"SH2026-095.png")</f>
        <v>SH2026-095.png</v>
      </c>
    </row>
    <row r="96">
      <c r="A96" s="4" t="str">
        <f>IFERROR(__xludf.DUMMYFUNCTION("""COMPUTED_VALUE"""),"SH2026-096")</f>
        <v>SH2026-096</v>
      </c>
      <c r="B96" s="4" t="str">
        <f>IFERROR(__xludf.DUMMYFUNCTION("""COMPUTED_VALUE"""),"Sinh học")</f>
        <v>Sinh học</v>
      </c>
      <c r="C96" s="4" t="str">
        <f>IFERROR(__xludf.DUMMYFUNCTION("""COMPUTED_VALUE"""),"Đánh giá hoạt tính chống oxy hóa, kháng khuẩn, kháng nấm và kháng viêm in vitro của các cao chiết từ lá và quả cây Kim quất [Triphasia trifolia (Burm. f.) P. Wils., họ Cam (Rutaceae)]")</f>
        <v>Đánh giá hoạt tính chống oxy hóa, kháng khuẩn, kháng nấm và kháng viêm in vitro của các cao chiết từ lá và quả cây Kim quất [Triphasia trifolia (Burm. f.) P. Wils., họ Cam (Rutaceae)]</v>
      </c>
      <c r="D96" s="4" t="str">
        <f>IFERROR(__xludf.DUMMYFUNCTION("""COMPUTED_VALUE"""),"Cao Đình Khôi; Nguyễn Thị Thủy Tiên; Nguyễn Thị Việt Trinh; Hồ Đắc Khôi Nguyên")</f>
        <v>Cao Đình Khôi; Nguyễn Thị Thủy Tiên; Nguyễn Thị Việt Trinh; Hồ Đắc Khôi Nguyên</v>
      </c>
      <c r="E96" s="4" t="str">
        <f>IFERROR(__xludf.DUMMYFUNCTION("""COMPUTED_VALUE"""),"Trường Đại học Quốc tế Hồng Bàng")</f>
        <v>Trường Đại học Quốc tế Hồng Bàng</v>
      </c>
      <c r="F96" s="4" t="str">
        <f>IFERROR(__xludf.DUMMYFUNCTION("""COMPUTED_VALUE"""),"SH2026-096.png")</f>
        <v>SH2026-096.png</v>
      </c>
    </row>
    <row r="97">
      <c r="A97" s="4" t="str">
        <f>IFERROR(__xludf.DUMMYFUNCTION("""COMPUTED_VALUE"""),"SH2026-097")</f>
        <v>SH2026-097</v>
      </c>
      <c r="B97" s="4" t="str">
        <f>IFERROR(__xludf.DUMMYFUNCTION("""COMPUTED_VALUE"""),"Sinh học")</f>
        <v>Sinh học</v>
      </c>
      <c r="C97" s="4" t="str">
        <f>IFERROR(__xludf.DUMMYFUNCTION("""COMPUTED_VALUE"""),"Nghiên cứu ảnh hưởng của NAA, IBA và BAP đến khả năng tạo sẹo từ lá cây Bao Báp (Adansonia digitata L.) trong điều kiện in vitro")</f>
        <v>Nghiên cứu ảnh hưởng của NAA, IBA và BAP đến khả năng tạo sẹo từ lá cây Bao Báp (Adansonia digitata L.) trong điều kiện in vitro</v>
      </c>
      <c r="D97" s="4" t="str">
        <f>IFERROR(__xludf.DUMMYFUNCTION("""COMPUTED_VALUE"""),"Nguyễn Thị Thu Em; Nguyễn Vũ Ánh Châu")</f>
        <v>Nguyễn Thị Thu Em; Nguyễn Vũ Ánh Châu</v>
      </c>
      <c r="E97" s="4" t="str">
        <f>IFERROR(__xludf.DUMMYFUNCTION("""COMPUTED_VALUE"""),"Trường Đại học Sư phạm TP. Hồ Chí Minh")</f>
        <v>Trường Đại học Sư phạm TP. Hồ Chí Minh</v>
      </c>
      <c r="F97" s="4" t="str">
        <f>IFERROR(__xludf.DUMMYFUNCTION("""COMPUTED_VALUE"""),"SH2026-097.png")</f>
        <v>SH2026-097.png</v>
      </c>
    </row>
    <row r="98">
      <c r="A98" s="4" t="str">
        <f>IFERROR(__xludf.DUMMYFUNCTION("""COMPUTED_VALUE"""),"SH2026-098")</f>
        <v>SH2026-098</v>
      </c>
      <c r="B98" s="4" t="str">
        <f>IFERROR(__xludf.DUMMYFUNCTION("""COMPUTED_VALUE"""),"Sinh học")</f>
        <v>Sinh học</v>
      </c>
      <c r="C98" s="4" t="str">
        <f>IFERROR(__xludf.DUMMYFUNCTION("""COMPUTED_VALUE"""),"Khảo sát sự hiện diện của vi khuẩn tụ cầu trên mụn ủ ở vùng da mặt ở độ tuổi thanh thiếu niên")</f>
        <v>Khảo sát sự hiện diện của vi khuẩn tụ cầu trên mụn ủ ở vùng da mặt ở độ tuổi thanh thiếu niên</v>
      </c>
      <c r="D98" s="4" t="str">
        <f>IFERROR(__xludf.DUMMYFUNCTION("""COMPUTED_VALUE"""),"Nguyễn Thị Thanh Tú; Vũ Thị Kim Ngân; Nguyễn Đức Nguyễn")</f>
        <v>Nguyễn Thị Thanh Tú; Vũ Thị Kim Ngân; Nguyễn Đức Nguyễn</v>
      </c>
      <c r="E98" s="4" t="str">
        <f>IFERROR(__xludf.DUMMYFUNCTION("""COMPUTED_VALUE"""),"Trường Đại học Nguyễn Tất Thành")</f>
        <v>Trường Đại học Nguyễn Tất Thành</v>
      </c>
      <c r="F98" s="4" t="str">
        <f>IFERROR(__xludf.DUMMYFUNCTION("""COMPUTED_VALUE"""),"SH2026-098.png")</f>
        <v>SH2026-098.png</v>
      </c>
    </row>
    <row r="99">
      <c r="A99" s="4" t="str">
        <f>IFERROR(__xludf.DUMMYFUNCTION("""COMPUTED_VALUE"""),"SH2026-099")</f>
        <v>SH2026-099</v>
      </c>
      <c r="B99" s="4" t="str">
        <f>IFERROR(__xludf.DUMMYFUNCTION("""COMPUTED_VALUE"""),"Sinh học")</f>
        <v>Sinh học</v>
      </c>
      <c r="C99" s="4" t="str">
        <f>IFERROR(__xludf.DUMMYFUNCTION("""COMPUTED_VALUE"""),"Đánh giá các thuộc tính lợi khuẩn và khả năng lên men glucose của Enterococcus faecium TD2")</f>
        <v>Đánh giá các thuộc tính lợi khuẩn và khả năng lên men glucose của Enterococcus faecium TD2</v>
      </c>
      <c r="D99" s="4" t="str">
        <f>IFERROR(__xludf.DUMMYFUNCTION("""COMPUTED_VALUE"""),"Nguyễn Tường Vi; Huỳnh Thị Xuân Thùy; Võ Minh Huy")</f>
        <v>Nguyễn Tường Vi; Huỳnh Thị Xuân Thùy; Võ Minh Huy</v>
      </c>
      <c r="E99" s="4" t="str">
        <f>IFERROR(__xludf.DUMMYFUNCTION("""COMPUTED_VALUE"""),"Trường Đại học Tôn Đức Thắng")</f>
        <v>Trường Đại học Tôn Đức Thắng</v>
      </c>
      <c r="F99" s="4" t="str">
        <f>IFERROR(__xludf.DUMMYFUNCTION("""COMPUTED_VALUE"""),"SH2026-099.png")</f>
        <v>SH2026-099.png</v>
      </c>
    </row>
    <row r="100">
      <c r="A100" s="4" t="str">
        <f>IFERROR(__xludf.DUMMYFUNCTION("""COMPUTED_VALUE"""),"SH2026-100")</f>
        <v>SH2026-100</v>
      </c>
      <c r="B100" s="4" t="str">
        <f>IFERROR(__xludf.DUMMYFUNCTION("""COMPUTED_VALUE"""),"Sinh học")</f>
        <v>Sinh học</v>
      </c>
      <c r="C100" s="4" t="str">
        <f>IFERROR(__xludf.DUMMYFUNCTION("""COMPUTED_VALUE"""),"Đánh giá hàm lượng hợp chất sinh học và khả năng kháng viêm, kháng MRSA của các cao phân đoạn từ cỏ vòi voi (Heliotropium indicum)")</f>
        <v>Đánh giá hàm lượng hợp chất sinh học và khả năng kháng viêm, kháng MRSA của các cao phân đoạn từ cỏ vòi voi (Heliotropium indicum)</v>
      </c>
      <c r="D100" s="4" t="str">
        <f>IFERROR(__xludf.DUMMYFUNCTION("""COMPUTED_VALUE"""),"Vũ Ngọc Gia Hân; Nguyễn Hà Thảo Vy; Đinh Thị Lan Trâm; Diệp Hân Hân; Khang Nguyễn Gia Bảo")</f>
        <v>Vũ Ngọc Gia Hân; Nguyễn Hà Thảo Vy; Đinh Thị Lan Trâm; Diệp Hân Hân; Khang Nguyễn Gia Bảo</v>
      </c>
      <c r="E100" s="4" t="str">
        <f>IFERROR(__xludf.DUMMYFUNCTION("""COMPUTED_VALUE"""),"Trường Đại học Tôn Đức Thắng")</f>
        <v>Trường Đại học Tôn Đức Thắng</v>
      </c>
      <c r="F100" s="4" t="str">
        <f>IFERROR(__xludf.DUMMYFUNCTION("""COMPUTED_VALUE"""),"SH2026-100.png")</f>
        <v>SH2026-100.png</v>
      </c>
    </row>
    <row r="101">
      <c r="A101" s="4" t="str">
        <f>IFERROR(__xludf.DUMMYFUNCTION("""COMPUTED_VALUE"""),"SH2026-101")</f>
        <v>SH2026-101</v>
      </c>
      <c r="B101" s="4" t="str">
        <f>IFERROR(__xludf.DUMMYFUNCTION("""COMPUTED_VALUE"""),"Sinh học")</f>
        <v>Sinh học</v>
      </c>
      <c r="C101" s="4" t="str">
        <f>IFERROR(__xludf.DUMMYFUNCTION("""COMPUTED_VALUE"""),"Nghiên cứu cơ chế kháng Streptococcus mutans của các cao chiết và cao phân đoạn từ lá cây trứng cá (Muntingia calabura)")</f>
        <v>Nghiên cứu cơ chế kháng Streptococcus mutans của các cao chiết và cao phân đoạn từ lá cây trứng cá (Muntingia calabura)</v>
      </c>
      <c r="D101" s="4" t="str">
        <f>IFERROR(__xludf.DUMMYFUNCTION("""COMPUTED_VALUE"""),"Trần Lê Ngọc Khang; Huỳnh Quốc Anh; Phạm Võ Minh Thư; Nguyễn Kim Quỳnh Anh; Đỗ Huỳnh Phương Nhi")</f>
        <v>Trần Lê Ngọc Khang; Huỳnh Quốc Anh; Phạm Võ Minh Thư; Nguyễn Kim Quỳnh Anh; Đỗ Huỳnh Phương Nhi</v>
      </c>
      <c r="E101" s="4" t="str">
        <f>IFERROR(__xludf.DUMMYFUNCTION("""COMPUTED_VALUE"""),"Trường Đại học Tôn Đức Thắng")</f>
        <v>Trường Đại học Tôn Đức Thắng</v>
      </c>
      <c r="F101" s="4" t="str">
        <f>IFERROR(__xludf.DUMMYFUNCTION("""COMPUTED_VALUE"""),"SH2026-101.png")</f>
        <v>SH2026-101.png</v>
      </c>
    </row>
    <row r="102">
      <c r="A102" s="4" t="str">
        <f>IFERROR(__xludf.DUMMYFUNCTION("""COMPUTED_VALUE"""),"SH2026-102")</f>
        <v>SH2026-102</v>
      </c>
      <c r="B102" s="4" t="str">
        <f>IFERROR(__xludf.DUMMYFUNCTION("""COMPUTED_VALUE"""),"Sinh học")</f>
        <v>Sinh học</v>
      </c>
      <c r="C102" s="4" t="str">
        <f>IFERROR(__xludf.DUMMYFUNCTION("""COMPUTED_VALUE"""),"Sàng lọc và đánh giá khả năng kiểm soát sinh học của xạ khuẩn phân lập từ cây sâm Việt Nam")</f>
        <v>Sàng lọc và đánh giá khả năng kiểm soát sinh học của xạ khuẩn phân lập từ cây sâm Việt Nam</v>
      </c>
      <c r="D102" s="4" t="str">
        <f>IFERROR(__xludf.DUMMYFUNCTION("""COMPUTED_VALUE"""),"Nguyễn Công Minh")</f>
        <v>Nguyễn Công Minh</v>
      </c>
      <c r="E102" s="4" t="str">
        <f>IFERROR(__xludf.DUMMYFUNCTION("""COMPUTED_VALUE"""),"Trường Đại học Mở Hà Nội")</f>
        <v>Trường Đại học Mở Hà Nội</v>
      </c>
      <c r="F102" s="4" t="str">
        <f>IFERROR(__xludf.DUMMYFUNCTION("""COMPUTED_VALUE"""),"SH2026-102.png")</f>
        <v>SH2026-102.png</v>
      </c>
    </row>
    <row r="103">
      <c r="A103" s="4" t="str">
        <f>IFERROR(__xludf.DUMMYFUNCTION("""COMPUTED_VALUE"""),"SH2026-103")</f>
        <v>SH2026-103</v>
      </c>
      <c r="B103" s="4" t="str">
        <f>IFERROR(__xludf.DUMMYFUNCTION("""COMPUTED_VALUE"""),"Sinh học")</f>
        <v>Sinh học</v>
      </c>
      <c r="C103" s="4" t="str">
        <f>IFERROR(__xludf.DUMMYFUNCTION("""COMPUTED_VALUE"""),"Khảo sát hoạt tính kháng khuẩn và ức chế tyrosinase của bã dược liệu họ Zingiberaceae lên men bởi lactobacillus plantarum")</f>
        <v>Khảo sát hoạt tính kháng khuẩn và ức chế tyrosinase của bã dược liệu họ Zingiberaceae lên men bởi lactobacillus plantarum</v>
      </c>
      <c r="D103" s="4" t="str">
        <f>IFERROR(__xludf.DUMMYFUNCTION("""COMPUTED_VALUE"""),"Lâm Bội Oanh; Nguyễn Thanh Ngân; Bùi Nguyễn Khánh Vy; Trương Tấn Đạt; Lê Phạm Thị Ngọc Trâm")</f>
        <v>Lâm Bội Oanh; Nguyễn Thanh Ngân; Bùi Nguyễn Khánh Vy; Trương Tấn Đạt; Lê Phạm Thị Ngọc Trâm</v>
      </c>
      <c r="E103" s="4" t="str">
        <f>IFERROR(__xludf.DUMMYFUNCTION("""COMPUTED_VALUE"""),"Trường Đại học Nguyễn Tất Thành")</f>
        <v>Trường Đại học Nguyễn Tất Thành</v>
      </c>
      <c r="F103" s="4" t="str">
        <f>IFERROR(__xludf.DUMMYFUNCTION("""COMPUTED_VALUE"""),"SH2026-103.png")</f>
        <v>SH2026-103.png</v>
      </c>
    </row>
    <row r="104">
      <c r="A104" s="4" t="str">
        <f>IFERROR(__xludf.DUMMYFUNCTION("""COMPUTED_VALUE"""),"SH2026-104")</f>
        <v>SH2026-104</v>
      </c>
      <c r="B104" s="4" t="str">
        <f>IFERROR(__xludf.DUMMYFUNCTION("""COMPUTED_VALUE"""),"Sinh học")</f>
        <v>Sinh học</v>
      </c>
      <c r="C104" s="4" t="str">
        <f>IFERROR(__xludf.DUMMYFUNCTION("""COMPUTED_VALUE"""),"tuyển chọn các chủng xạ khuẩn chịu mặn có khả năng sinh tổng hợp cellulase từ đất nhiễm mặn ở tỉnh vĩnh long")</f>
        <v>tuyển chọn các chủng xạ khuẩn chịu mặn có khả năng sinh tổng hợp cellulase từ đất nhiễm mặn ở tỉnh vĩnh long</v>
      </c>
      <c r="D104" s="4" t="str">
        <f>IFERROR(__xludf.DUMMYFUNCTION("""COMPUTED_VALUE"""),"Nguyễn Huỳnh Bích Du")</f>
        <v>Nguyễn Huỳnh Bích Du</v>
      </c>
      <c r="E104" s="4" t="str">
        <f>IFERROR(__xludf.DUMMYFUNCTION("""COMPUTED_VALUE"""),"Trường Đại học Công nghiệp TP. Hồ Chí Minh")</f>
        <v>Trường Đại học Công nghiệp TP. Hồ Chí Minh</v>
      </c>
      <c r="F104" s="4" t="str">
        <f>IFERROR(__xludf.DUMMYFUNCTION("""COMPUTED_VALUE"""),"SH2026-104.png")</f>
        <v>SH2026-104.png</v>
      </c>
    </row>
    <row r="105">
      <c r="A105" s="4" t="str">
        <f>IFERROR(__xludf.DUMMYFUNCTION("""COMPUTED_VALUE"""),"SH2026-105")</f>
        <v>SH2026-105</v>
      </c>
      <c r="B105" s="4" t="str">
        <f>IFERROR(__xludf.DUMMYFUNCTION("""COMPUTED_VALUE"""),"Sinh học")</f>
        <v>Sinh học</v>
      </c>
      <c r="C105" s="4" t="str">
        <f>IFERROR(__xludf.DUMMYFUNCTION("""COMPUTED_VALUE"""),"Đánh giá độ ổn định của một số vi sinh vật chuẩn qua các lần cấy chuyển")</f>
        <v>Đánh giá độ ổn định của một số vi sinh vật chuẩn qua các lần cấy chuyển</v>
      </c>
      <c r="D105" s="4" t="str">
        <f>IFERROR(__xludf.DUMMYFUNCTION("""COMPUTED_VALUE"""),"Nguyễn Hoàng Thiên Ân; Kim Hoàng Ánh Dương; Chiêm Hoàng Khang; Trần Thị Thùy Linh")</f>
        <v>Nguyễn Hoàng Thiên Ân; Kim Hoàng Ánh Dương; Chiêm Hoàng Khang; Trần Thị Thùy Linh</v>
      </c>
      <c r="E105" s="4" t="str">
        <f>IFERROR(__xludf.DUMMYFUNCTION("""COMPUTED_VALUE"""),"Trường Đại học Quốc tế Hồng Bàng")</f>
        <v>Trường Đại học Quốc tế Hồng Bàng</v>
      </c>
      <c r="F105" s="4" t="str">
        <f>IFERROR(__xludf.DUMMYFUNCTION("""COMPUTED_VALUE"""),"SH2026-105.png")</f>
        <v>SH2026-105.png</v>
      </c>
    </row>
    <row r="106">
      <c r="A106" s="4" t="str">
        <f>IFERROR(__xludf.DUMMYFUNCTION("""COMPUTED_VALUE"""),"SH2026-106")</f>
        <v>SH2026-106</v>
      </c>
      <c r="B106" s="4" t="str">
        <f>IFERROR(__xludf.DUMMYFUNCTION("""COMPUTED_VALUE"""),"Sinh học")</f>
        <v>Sinh học</v>
      </c>
      <c r="C106" s="4" t="str">
        <f>IFERROR(__xludf.DUMMYFUNCTION("""COMPUTED_VALUE"""),"Phân lập, định danh nấm bẫy tuyến trùng (Nematode trapping fungi) ở các vườn trồng chuối già nam mỹ (Musa acuminata cavendish) thuộc xã Bàu Hàm, tỉnh Đồng Nai")</f>
        <v>Phân lập, định danh nấm bẫy tuyến trùng (Nematode trapping fungi) ở các vườn trồng chuối già nam mỹ (Musa acuminata cavendish) thuộc xã Bàu Hàm, tỉnh Đồng Nai</v>
      </c>
      <c r="D106" s="4" t="str">
        <f>IFERROR(__xludf.DUMMYFUNCTION("""COMPUTED_VALUE"""),"Phạm Thị Hồng Hạnh; Nguyễn Phương Thảo")</f>
        <v>Phạm Thị Hồng Hạnh; Nguyễn Phương Thảo</v>
      </c>
      <c r="E106" s="4" t="str">
        <f>IFERROR(__xludf.DUMMYFUNCTION("""COMPUTED_VALUE"""),"Trường Đại học Nông Lâm TP. Hồ Chí Minh")</f>
        <v>Trường Đại học Nông Lâm TP. Hồ Chí Minh</v>
      </c>
      <c r="F106" s="4" t="str">
        <f>IFERROR(__xludf.DUMMYFUNCTION("""COMPUTED_VALUE"""),"SH2026-106.png")</f>
        <v>SH2026-106.png</v>
      </c>
    </row>
    <row r="107">
      <c r="A107" s="4" t="str">
        <f>IFERROR(__xludf.DUMMYFUNCTION("""COMPUTED_VALUE"""),"SH2026-107")</f>
        <v>SH2026-107</v>
      </c>
      <c r="B107" s="4" t="str">
        <f>IFERROR(__xludf.DUMMYFUNCTION("""COMPUTED_VALUE"""),"Sinh học")</f>
        <v>Sinh học</v>
      </c>
      <c r="C107" s="4" t="str">
        <f>IFERROR(__xludf.DUMMYFUNCTION("""COMPUTED_VALUE"""),"Đánh giá tác động hiệp đồng của năm loại tinh dầu chọn lọc và hai loại kháng sinh ampicillin, tetracycline lên chủng V. parahaemolyticus đa kháng phân lập từ tôm bệnh")</f>
        <v>Đánh giá tác động hiệp đồng của năm loại tinh dầu chọn lọc và hai loại kháng sinh ampicillin, tetracycline lên chủng V. parahaemolyticus đa kháng phân lập từ tôm bệnh</v>
      </c>
      <c r="D107" s="4" t="str">
        <f>IFERROR(__xludf.DUMMYFUNCTION("""COMPUTED_VALUE"""),"Trần Phan Ngọc Bảo Trâm")</f>
        <v>Trần Phan Ngọc Bảo Trâm</v>
      </c>
      <c r="E107" s="4" t="str">
        <f>IFERROR(__xludf.DUMMYFUNCTION("""COMPUTED_VALUE"""),"Trường Đại học Sư phạm TP. Hồ Chí Minh")</f>
        <v>Trường Đại học Sư phạm TP. Hồ Chí Minh</v>
      </c>
      <c r="F107" s="4" t="str">
        <f>IFERROR(__xludf.DUMMYFUNCTION("""COMPUTED_VALUE"""),"SH2026-107.png")</f>
        <v>SH2026-107.png</v>
      </c>
    </row>
    <row r="108">
      <c r="A108" s="4" t="str">
        <f>IFERROR(__xludf.DUMMYFUNCTION("""COMPUTED_VALUE"""),"SH2026-108")</f>
        <v>SH2026-108</v>
      </c>
      <c r="B108" s="4" t="str">
        <f>IFERROR(__xludf.DUMMYFUNCTION("""COMPUTED_VALUE"""),"Sinh học")</f>
        <v>Sinh học</v>
      </c>
      <c r="C108" s="4" t="str">
        <f>IFERROR(__xludf.DUMMYFUNCTION("""COMPUTED_VALUE"""),"Phân lập và đánh giá hoạt tính sinh học của một số chủng vi khuẩn, nấm nội sinh từ rễ, lá của cây Gai Ma Vương (Tribulus terrestris L.) ở khu vực phía Nam ở tỉnh Lâm Đồng")</f>
        <v>Phân lập và đánh giá hoạt tính sinh học của một số chủng vi khuẩn, nấm nội sinh từ rễ, lá của cây Gai Ma Vương (Tribulus terrestris L.) ở khu vực phía Nam ở tỉnh Lâm Đồng</v>
      </c>
      <c r="D108" s="4" t="str">
        <f>IFERROR(__xludf.DUMMYFUNCTION("""COMPUTED_VALUE"""),"Nguyễn Thị Thu Hiền")</f>
        <v>Nguyễn Thị Thu Hiền</v>
      </c>
      <c r="E108" s="4" t="str">
        <f>IFERROR(__xludf.DUMMYFUNCTION("""COMPUTED_VALUE"""),"Trường Đại học Sư phạm TP. Hồ Chí Minh")</f>
        <v>Trường Đại học Sư phạm TP. Hồ Chí Minh</v>
      </c>
      <c r="F108" s="4" t="str">
        <f>IFERROR(__xludf.DUMMYFUNCTION("""COMPUTED_VALUE"""),"SH2026-108.png")</f>
        <v>SH2026-108.png</v>
      </c>
    </row>
    <row r="109">
      <c r="A109" s="4" t="str">
        <f>IFERROR(__xludf.DUMMYFUNCTION("""COMPUTED_VALUE"""),"SH2026-109")</f>
        <v>SH2026-109</v>
      </c>
      <c r="B109" s="4" t="str">
        <f>IFERROR(__xludf.DUMMYFUNCTION("""COMPUTED_VALUE"""),"Sinh học")</f>
        <v>Sinh học</v>
      </c>
      <c r="C109" s="4" t="str">
        <f>IFERROR(__xludf.DUMMYFUNCTION("""COMPUTED_VALUE"""),"Nghiên cứu địa y Pyrenula sp. và nấm cộng sinh nuôi cấy in vitro làm cơ sở cho định hướng khai thác bền vững nguồn nguyên liệu có hoạt tính sinh học")</f>
        <v>Nghiên cứu địa y Pyrenula sp. và nấm cộng sinh nuôi cấy in vitro làm cơ sở cho định hướng khai thác bền vững nguồn nguyên liệu có hoạt tính sinh học</v>
      </c>
      <c r="D109" s="4" t="str">
        <f>IFERROR(__xludf.DUMMYFUNCTION("""COMPUTED_VALUE"""),"Trương Minh Anh; Lê Ngọc An")</f>
        <v>Trương Minh Anh; Lê Ngọc An</v>
      </c>
      <c r="E109" s="4" t="str">
        <f>IFERROR(__xludf.DUMMYFUNCTION("""COMPUTED_VALUE"""),"Trường Đại học Sư phạm TP. Hồ Chí Minh")</f>
        <v>Trường Đại học Sư phạm TP. Hồ Chí Minh</v>
      </c>
      <c r="F109" s="4" t="str">
        <f>IFERROR(__xludf.DUMMYFUNCTION("""COMPUTED_VALUE"""),"SH2026-109.png")</f>
        <v>SH2026-109.png</v>
      </c>
    </row>
    <row r="110">
      <c r="A110" s="4" t="str">
        <f>IFERROR(__xludf.DUMMYFUNCTION("""COMPUTED_VALUE"""),"SH2026-110")</f>
        <v>SH2026-110</v>
      </c>
      <c r="B110" s="4" t="str">
        <f>IFERROR(__xludf.DUMMYFUNCTION("""COMPUTED_VALUE"""),"Sinh học")</f>
        <v>Sinh học</v>
      </c>
      <c r="C110" s="4" t="str">
        <f>IFERROR(__xludf.DUMMYFUNCTION("""COMPUTED_VALUE"""),"Nghiên cứu sản xuất chế phẩm sinh học từ phụ phẩm phục vụ sản xuất nông nghiệp hữu cơ tuần hoàn")</f>
        <v>Nghiên cứu sản xuất chế phẩm sinh học từ phụ phẩm phục vụ sản xuất nông nghiệp hữu cơ tuần hoàn</v>
      </c>
      <c r="D110" s="4" t="str">
        <f>IFERROR(__xludf.DUMMYFUNCTION("""COMPUTED_VALUE"""),"Trần Thị Tâm; Lương Trà My; Đào Lê Thùy Dương; Lương Ngọc Lan")</f>
        <v>Trần Thị Tâm; Lương Trà My; Đào Lê Thùy Dương; Lương Ngọc Lan</v>
      </c>
      <c r="E110" s="4" t="str">
        <f>IFERROR(__xludf.DUMMYFUNCTION("""COMPUTED_VALUE"""),"Trường Đại học Nông Lâm, Đại học Thái Nguyên")</f>
        <v>Trường Đại học Nông Lâm, Đại học Thái Nguyên</v>
      </c>
      <c r="F110" s="4" t="str">
        <f>IFERROR(__xludf.DUMMYFUNCTION("""COMPUTED_VALUE"""),"SH2026-110.png")</f>
        <v>SH2026-110.png</v>
      </c>
    </row>
    <row r="111">
      <c r="A111" s="4" t="str">
        <f>IFERROR(__xludf.DUMMYFUNCTION("""COMPUTED_VALUE"""),"SH2026-111")</f>
        <v>SH2026-111</v>
      </c>
      <c r="B111" s="4" t="str">
        <f>IFERROR(__xludf.DUMMYFUNCTION("""COMPUTED_VALUE"""),"Sinh học")</f>
        <v>Sinh học</v>
      </c>
      <c r="C111" s="4" t="str">
        <f>IFERROR(__xludf.DUMMYFUNCTION("""COMPUTED_VALUE"""),"Nghiên cứu phát triển chế phẩm sinh học từ vi nấm Trichoderma Asperellum và tiềm năng ứng dụng trong phục hồi sinh học đất")</f>
        <v>Nghiên cứu phát triển chế phẩm sinh học từ vi nấm Trichoderma Asperellum và tiềm năng ứng dụng trong phục hồi sinh học đất</v>
      </c>
      <c r="D111" s="4" t="str">
        <f>IFERROR(__xludf.DUMMYFUNCTION("""COMPUTED_VALUE"""),"Nguyễn Ngọc Vân Anh; Phạm Khánh Linh; Vũ Hoài Thanh; Trương Vĩnh Khang")</f>
        <v>Nguyễn Ngọc Vân Anh; Phạm Khánh Linh; Vũ Hoài Thanh; Trương Vĩnh Khang</v>
      </c>
      <c r="E111" s="4" t="str">
        <f>IFERROR(__xludf.DUMMYFUNCTION("""COMPUTED_VALUE"""),"Trường Đại học Bách Khoa, ĐHQG-HCM")</f>
        <v>Trường Đại học Bách Khoa, ĐHQG-HCM</v>
      </c>
      <c r="F111" s="4" t="str">
        <f>IFERROR(__xludf.DUMMYFUNCTION("""COMPUTED_VALUE"""),"SH2026-111.png")</f>
        <v>SH2026-111.png</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57"/>
    <col customWidth="1" min="2" max="2" width="8.86"/>
    <col customWidth="1" min="3" max="3" width="239.14"/>
    <col customWidth="1" min="4" max="4" width="101.29"/>
    <col customWidth="1" min="5" max="5" width="48.0"/>
    <col customWidth="1" min="6" max="6" width="16.57"/>
  </cols>
  <sheetData>
    <row r="1">
      <c r="A1" s="1" t="s">
        <v>0</v>
      </c>
      <c r="B1" s="1" t="s">
        <v>1</v>
      </c>
      <c r="C1" s="1" t="s">
        <v>2</v>
      </c>
      <c r="D1" s="1" t="s">
        <v>3</v>
      </c>
      <c r="E1" s="1" t="s">
        <v>4</v>
      </c>
      <c r="F1" s="1" t="s">
        <v>5</v>
      </c>
    </row>
    <row r="2">
      <c r="A2" s="4" t="str">
        <f>IFERROR(__xludf.DUMMYFUNCTION("FILTER('Danh sach'!A2:F2184, 'Danh sach'!B2:B2184=""Hóa học"")"),"HH2026-001")</f>
        <v>HH2026-001</v>
      </c>
      <c r="B2" s="4" t="str">
        <f>IFERROR(__xludf.DUMMYFUNCTION("""COMPUTED_VALUE"""),"Hóa học")</f>
        <v>Hóa học</v>
      </c>
      <c r="C2" s="4" t="str">
        <f>IFERROR(__xludf.DUMMYFUNCTION("""COMPUTED_VALUE"""),"Nghiên cứu phát triển hydrogel PVA/Carboxymethyl Chitosan/Fucoidan tạo liên kết chéo vật lý hướng tới ứng dụng băng vết thương")</f>
        <v>Nghiên cứu phát triển hydrogel PVA/Carboxymethyl Chitosan/Fucoidan tạo liên kết chéo vật lý hướng tới ứng dụng băng vết thương</v>
      </c>
      <c r="D2" s="4" t="str">
        <f>IFERROR(__xludf.DUMMYFUNCTION("""COMPUTED_VALUE"""),"Mạch Trung Kiên; Phạm Duy Khang")</f>
        <v>Mạch Trung Kiên; Phạm Duy Khang</v>
      </c>
      <c r="E2" s="4" t="str">
        <f>IFERROR(__xludf.DUMMYFUNCTION("""COMPUTED_VALUE"""),"Trường Đại học Tôn Đức Thắng")</f>
        <v>Trường Đại học Tôn Đức Thắng</v>
      </c>
      <c r="F2" s="4" t="str">
        <f>IFERROR(__xludf.DUMMYFUNCTION("""COMPUTED_VALUE"""),"HH2026-001.png")</f>
        <v>HH2026-001.png</v>
      </c>
    </row>
    <row r="3">
      <c r="A3" s="4" t="str">
        <f>IFERROR(__xludf.DUMMYFUNCTION("""COMPUTED_VALUE"""),"HH2026-002")</f>
        <v>HH2026-002</v>
      </c>
      <c r="B3" s="4" t="str">
        <f>IFERROR(__xludf.DUMMYFUNCTION("""COMPUTED_VALUE"""),"Hóa học")</f>
        <v>Hóa học</v>
      </c>
      <c r="C3" s="4" t="str">
        <f>IFERROR(__xludf.DUMMYFUNCTION("""COMPUTED_VALUE"""),"Nghiên cứu chế tạo hydrogel có thể tiêm trên cơ sở Carboxymethyl Chitosan/Inulin oxi hóa định hướng ứng dụng hỗ trợ điều trị viêm khớp gối.")</f>
        <v>Nghiên cứu chế tạo hydrogel có thể tiêm trên cơ sở Carboxymethyl Chitosan/Inulin oxi hóa định hướng ứng dụng hỗ trợ điều trị viêm khớp gối.</v>
      </c>
      <c r="D3" s="4" t="str">
        <f>IFERROR(__xludf.DUMMYFUNCTION("""COMPUTED_VALUE"""),"Nguyễn Minh Trí; Trịnh Hoài Thương; Trần Nguyễn Lê Vy")</f>
        <v>Nguyễn Minh Trí; Trịnh Hoài Thương; Trần Nguyễn Lê Vy</v>
      </c>
      <c r="E3" s="4" t="str">
        <f>IFERROR(__xludf.DUMMYFUNCTION("""COMPUTED_VALUE"""),"Trường Đại học Tôn Đức Thắng")</f>
        <v>Trường Đại học Tôn Đức Thắng</v>
      </c>
      <c r="F3" s="4" t="str">
        <f>IFERROR(__xludf.DUMMYFUNCTION("""COMPUTED_VALUE"""),"HH2026-002.png")</f>
        <v>HH2026-002.png</v>
      </c>
    </row>
    <row r="4">
      <c r="A4" s="4" t="str">
        <f>IFERROR(__xludf.DUMMYFUNCTION("""COMPUTED_VALUE"""),"HH2026-003")</f>
        <v>HH2026-003</v>
      </c>
      <c r="B4" s="4" t="str">
        <f>IFERROR(__xludf.DUMMYFUNCTION("""COMPUTED_VALUE"""),"Hóa học")</f>
        <v>Hóa học</v>
      </c>
      <c r="C4" s="4" t="str">
        <f>IFERROR(__xludf.DUMMYFUNCTION("""COMPUTED_VALUE"""),"Nghiên cứu phát triển vật liệu composite phân hủy sinh học trên cơ sở PLA/PHA/BC ứng dụng công nghệ Scan 3D và in 3D FDM chế tạo nẹp AFO cá nhân hóa")</f>
        <v>Nghiên cứu phát triển vật liệu composite phân hủy sinh học trên cơ sở PLA/PHA/BC ứng dụng công nghệ Scan 3D và in 3D FDM chế tạo nẹp AFO cá nhân hóa</v>
      </c>
      <c r="D4" s="4" t="str">
        <f>IFERROR(__xludf.DUMMYFUNCTION("""COMPUTED_VALUE"""),"Nguyễn Ngọc Hiếu; Trần Đan Huy; Lê Vũ Phúc Vy")</f>
        <v>Nguyễn Ngọc Hiếu; Trần Đan Huy; Lê Vũ Phúc Vy</v>
      </c>
      <c r="E4" s="4" t="str">
        <f>IFERROR(__xludf.DUMMYFUNCTION("""COMPUTED_VALUE"""),"Trường Đại học Khoa học Tự nhiên, ĐHQG-HCM")</f>
        <v>Trường Đại học Khoa học Tự nhiên, ĐHQG-HCM</v>
      </c>
      <c r="F4" s="4" t="str">
        <f>IFERROR(__xludf.DUMMYFUNCTION("""COMPUTED_VALUE"""),"HH2026-003.png")</f>
        <v>HH2026-003.png</v>
      </c>
    </row>
    <row r="5">
      <c r="A5" s="4" t="str">
        <f>IFERROR(__xludf.DUMMYFUNCTION("""COMPUTED_VALUE"""),"HH2026-004")</f>
        <v>HH2026-004</v>
      </c>
      <c r="B5" s="4" t="str">
        <f>IFERROR(__xludf.DUMMYFUNCTION("""COMPUTED_VALUE"""),"Hóa học")</f>
        <v>Hóa học</v>
      </c>
      <c r="C5" s="4" t="str">
        <f>IFERROR(__xludf.DUMMYFUNCTION("""COMPUTED_VALUE"""),"Nghiên cứu tổng hợp hydrogel composite dạng tiêm nhạy nhiệt trên cơ sở alginat-NIPAM tích hợp hematin và hạt thủy tinh sinh học")</f>
        <v>Nghiên cứu tổng hợp hydrogel composite dạng tiêm nhạy nhiệt trên cơ sở alginat-NIPAM tích hợp hematin và hạt thủy tinh sinh học</v>
      </c>
      <c r="D5" s="4" t="str">
        <f>IFERROR(__xludf.DUMMYFUNCTION("""COMPUTED_VALUE"""),"Nguyễn Tuấn Phong; Trần Thị Như Ý")</f>
        <v>Nguyễn Tuấn Phong; Trần Thị Như Ý</v>
      </c>
      <c r="E5" s="4" t="str">
        <f>IFERROR(__xludf.DUMMYFUNCTION("""COMPUTED_VALUE"""),"Trường Đại học Khoa học Sức khỏe, ĐHQG-HCM")</f>
        <v>Trường Đại học Khoa học Sức khỏe, ĐHQG-HCM</v>
      </c>
      <c r="F5" s="4" t="str">
        <f>IFERROR(__xludf.DUMMYFUNCTION("""COMPUTED_VALUE"""),"HH2026-004.png")</f>
        <v>HH2026-004.png</v>
      </c>
    </row>
    <row r="6">
      <c r="A6" s="4" t="str">
        <f>IFERROR(__xludf.DUMMYFUNCTION("""COMPUTED_VALUE"""),"HH2026-005")</f>
        <v>HH2026-005</v>
      </c>
      <c r="B6" s="4" t="str">
        <f>IFERROR(__xludf.DUMMYFUNCTION("""COMPUTED_VALUE"""),"Hóa học")</f>
        <v>Hóa học</v>
      </c>
      <c r="C6" s="4" t="str">
        <f>IFERROR(__xludf.DUMMYFUNCTION("""COMPUTED_VALUE"""),"NGHIÊN CỨU TỔNG HỢP GEL HỖ TRỢ LÀM LÀNH VẾT THƯƠNG TỪ BÃ RAU MÁ")</f>
        <v>NGHIÊN CỨU TỔNG HỢP GEL HỖ TRỢ LÀM LÀNH VẾT THƯƠNG TỪ BÃ RAU MÁ</v>
      </c>
      <c r="D6" s="4" t="str">
        <f>IFERROR(__xludf.DUMMYFUNCTION("""COMPUTED_VALUE"""),"Lê Mạnh Trường")</f>
        <v>Lê Mạnh Trường</v>
      </c>
      <c r="E6" s="4" t="str">
        <f>IFERROR(__xludf.DUMMYFUNCTION("""COMPUTED_VALUE"""),"Trường Đại học Nguyễn Tất Thành")</f>
        <v>Trường Đại học Nguyễn Tất Thành</v>
      </c>
      <c r="F6" s="4" t="str">
        <f>IFERROR(__xludf.DUMMYFUNCTION("""COMPUTED_VALUE"""),"HH2026-005.png")</f>
        <v>HH2026-005.png</v>
      </c>
    </row>
    <row r="7">
      <c r="A7" s="4" t="str">
        <f>IFERROR(__xludf.DUMMYFUNCTION("""COMPUTED_VALUE"""),"HH2026-006")</f>
        <v>HH2026-006</v>
      </c>
      <c r="B7" s="4" t="str">
        <f>IFERROR(__xludf.DUMMYFUNCTION("""COMPUTED_VALUE"""),"Hóa học")</f>
        <v>Hóa học</v>
      </c>
      <c r="C7" s="4" t="str">
        <f>IFERROR(__xludf.DUMMYFUNCTION("""COMPUTED_VALUE"""),"PHÁT TRIỂN QUY TRÌNH TÍCH HỢP CHƯNG CẤT PHÂN ĐOẠN CHÂN KHÔNG VÀ CHƯNG CẤT PHÂN TỬ QUY MÔ PILOT NHẰM THU NHẬN CÁC PHÂN ĐOẠN TINH DẦU TRÀM NĂM GÂN GIÀU HOẠT CHẤT PHỤC VỤ NGÀNH DƯỢC – MỸ PHẨM")</f>
        <v>PHÁT TRIỂN QUY TRÌNH TÍCH HỢP CHƯNG CẤT PHÂN ĐOẠN CHÂN KHÔNG VÀ CHƯNG CẤT PHÂN TỬ QUY MÔ PILOT NHẰM THU NHẬN CÁC PHÂN ĐOẠN TINH DẦU TRÀM NĂM GÂN GIÀU HOẠT CHẤT PHỤC VỤ NGÀNH DƯỢC – MỸ PHẨM</v>
      </c>
      <c r="D7" s="4" t="str">
        <f>IFERROR(__xludf.DUMMYFUNCTION("""COMPUTED_VALUE"""),"Nguyễn Thị Hồng Nhi; Lê Ngọc Sang; Nguyễn Hồng Ân")</f>
        <v>Nguyễn Thị Hồng Nhi; Lê Ngọc Sang; Nguyễn Hồng Ân</v>
      </c>
      <c r="E7" s="4" t="str">
        <f>IFERROR(__xludf.DUMMYFUNCTION("""COMPUTED_VALUE"""),"Trường Đại học Nguyễn Tất Thành")</f>
        <v>Trường Đại học Nguyễn Tất Thành</v>
      </c>
      <c r="F7" s="4" t="str">
        <f>IFERROR(__xludf.DUMMYFUNCTION("""COMPUTED_VALUE"""),"HH2026-006.png")</f>
        <v>HH2026-006.png</v>
      </c>
    </row>
    <row r="8">
      <c r="A8" s="4" t="str">
        <f>IFERROR(__xludf.DUMMYFUNCTION("""COMPUTED_VALUE"""),"HH2026-007")</f>
        <v>HH2026-007</v>
      </c>
      <c r="B8" s="4" t="str">
        <f>IFERROR(__xludf.DUMMYFUNCTION("""COMPUTED_VALUE"""),"Hóa học")</f>
        <v>Hóa học</v>
      </c>
      <c r="C8" s="4" t="str">
        <f>IFERROR(__xludf.DUMMYFUNCTION("""COMPUTED_VALUE"""),"Nghiên cứu tổng hợp 2-hydroxyethyl 2-methylbenzoate từ aldehyde bằng phản ứng oxy hóa trực tiếp theo định hướng quang hóa xanh")</f>
        <v>Nghiên cứu tổng hợp 2-hydroxyethyl 2-methylbenzoate từ aldehyde bằng phản ứng oxy hóa trực tiếp theo định hướng quang hóa xanh</v>
      </c>
      <c r="D8" s="4" t="str">
        <f>IFERROR(__xludf.DUMMYFUNCTION("""COMPUTED_VALUE"""),"Nguyễn Lâm; Hàn Thúy Huyền; Chế Võ Quan Tiến")</f>
        <v>Nguyễn Lâm; Hàn Thúy Huyền; Chế Võ Quan Tiến</v>
      </c>
      <c r="E8" s="4" t="str">
        <f>IFERROR(__xludf.DUMMYFUNCTION("""COMPUTED_VALUE"""),"Trường Đại học Nguyễn Tất Thành")</f>
        <v>Trường Đại học Nguyễn Tất Thành</v>
      </c>
      <c r="F8" s="4" t="str">
        <f>IFERROR(__xludf.DUMMYFUNCTION("""COMPUTED_VALUE"""),"HH2026-007.png")</f>
        <v>HH2026-007.png</v>
      </c>
    </row>
    <row r="9">
      <c r="A9" s="4" t="str">
        <f>IFERROR(__xludf.DUMMYFUNCTION("""COMPUTED_VALUE"""),"HH2026-008")</f>
        <v>HH2026-008</v>
      </c>
      <c r="B9" s="4" t="str">
        <f>IFERROR(__xludf.DUMMYFUNCTION("""COMPUTED_VALUE"""),"Hóa học")</f>
        <v>Hóa học</v>
      </c>
      <c r="C9" s="4" t="str">
        <f>IFERROR(__xludf.DUMMYFUNCTION("""COMPUTED_VALUE"""),"NGHIÊN CỨU TỈ LỆ CÁC THÀNH PHẦN CAO CHIẾT TỪ MỘT SỐ DƯỢC LIỆU NHẰM LÀM TĂNG KHẢ NĂNG ỨC CHẾ ENZYM α – AMYLASE VÀ LIPASE TUYẾN TỤY")</f>
        <v>NGHIÊN CỨU TỈ LỆ CÁC THÀNH PHẦN CAO CHIẾT TỪ MỘT SỐ DƯỢC LIỆU NHẰM LÀM TĂNG KHẢ NĂNG ỨC CHẾ ENZYM α – AMYLASE VÀ LIPASE TUYẾN TỤY</v>
      </c>
      <c r="D9" s="4" t="str">
        <f>IFERROR(__xludf.DUMMYFUNCTION("""COMPUTED_VALUE"""),"Nguyễn Đức Hoài Nam; Đặng Ngọc Thu Giang; Nguyễn Kim Ngân; Lê Mai Hồng Quyên; Vũ Khuất Xuân Phương")</f>
        <v>Nguyễn Đức Hoài Nam; Đặng Ngọc Thu Giang; Nguyễn Kim Ngân; Lê Mai Hồng Quyên; Vũ Khuất Xuân Phương</v>
      </c>
      <c r="E9" s="4" t="str">
        <f>IFERROR(__xludf.DUMMYFUNCTION("""COMPUTED_VALUE"""),"Trường Đại học Nguyễn Tất Thành")</f>
        <v>Trường Đại học Nguyễn Tất Thành</v>
      </c>
      <c r="F9" s="4" t="str">
        <f>IFERROR(__xludf.DUMMYFUNCTION("""COMPUTED_VALUE"""),"HH2026-008.png")</f>
        <v>HH2026-008.png</v>
      </c>
    </row>
    <row r="10">
      <c r="A10" s="4" t="str">
        <f>IFERROR(__xludf.DUMMYFUNCTION("""COMPUTED_VALUE"""),"HH2026-009")</f>
        <v>HH2026-009</v>
      </c>
      <c r="B10" s="4" t="str">
        <f>IFERROR(__xludf.DUMMYFUNCTION("""COMPUTED_VALUE"""),"Hóa học")</f>
        <v>Hóa học</v>
      </c>
      <c r="C10" s="4" t="str">
        <f>IFERROR(__xludf.DUMMYFUNCTION("""COMPUTED_VALUE"""),"NGHIÊN CỨU TỔNG HỢP VÀ ĐÁNH GIÁ HOẠT TÍNH SINH HỌC IN SILICO VÀ IN VITRO CÁC DẪN XUẤT 1,3- THIAZOLE TRÊN NỀN CARBAZOLE ĐỊNH HƯỚNG PHÁT TRIỂN NƯỚC SÚC MIỆNG")</f>
        <v>NGHIÊN CỨU TỔNG HỢP VÀ ĐÁNH GIÁ HOẠT TÍNH SINH HỌC IN SILICO VÀ IN VITRO CÁC DẪN XUẤT 1,3- THIAZOLE TRÊN NỀN CARBAZOLE ĐỊNH HƯỚNG PHÁT TRIỂN NƯỚC SÚC MIỆNG</v>
      </c>
      <c r="D10" s="4" t="str">
        <f>IFERROR(__xludf.DUMMYFUNCTION("""COMPUTED_VALUE"""),"Trương Thị Huỳnh Như; Nguyễn Ngọc Bảo Trân; Nguyễn Thị Thu Hà")</f>
        <v>Trương Thị Huỳnh Như; Nguyễn Ngọc Bảo Trân; Nguyễn Thị Thu Hà</v>
      </c>
      <c r="E10" s="4" t="str">
        <f>IFERROR(__xludf.DUMMYFUNCTION("""COMPUTED_VALUE"""),"Trường Đại học Công nghiệp TP. Hồ Chí Minh")</f>
        <v>Trường Đại học Công nghiệp TP. Hồ Chí Minh</v>
      </c>
      <c r="F10" s="4" t="str">
        <f>IFERROR(__xludf.DUMMYFUNCTION("""COMPUTED_VALUE"""),"HH2026-009.png")</f>
        <v>HH2026-009.png</v>
      </c>
    </row>
    <row r="11">
      <c r="A11" s="4" t="str">
        <f>IFERROR(__xludf.DUMMYFUNCTION("""COMPUTED_VALUE"""),"HH2026-010")</f>
        <v>HH2026-010</v>
      </c>
      <c r="B11" s="4" t="str">
        <f>IFERROR(__xludf.DUMMYFUNCTION("""COMPUTED_VALUE"""),"Hóa học")</f>
        <v>Hóa học</v>
      </c>
      <c r="C11" s="4" t="str">
        <f>IFERROR(__xludf.DUMMYFUNCTION("""COMPUTED_VALUE"""),"Nghiên cứu phối chế sản phẩm gel tẩy tế bào chết từ chiết xuất vỏ quả dứa (Ananas comosus L.)")</f>
        <v>Nghiên cứu phối chế sản phẩm gel tẩy tế bào chết từ chiết xuất vỏ quả dứa (Ananas comosus L.)</v>
      </c>
      <c r="D11" s="4" t="str">
        <f>IFERROR(__xludf.DUMMYFUNCTION("""COMPUTED_VALUE"""),"Dư Đức Minh Thành; Trần Sang Thiên Phú; Nguyễn Ngọc Minh Trang; Trần Dương Thuỷ Trang; Lý Thị Cẩm Tú")</f>
        <v>Dư Đức Minh Thành; Trần Sang Thiên Phú; Nguyễn Ngọc Minh Trang; Trần Dương Thuỷ Trang; Lý Thị Cẩm Tú</v>
      </c>
      <c r="E11" s="4" t="str">
        <f>IFERROR(__xludf.DUMMYFUNCTION("""COMPUTED_VALUE"""),"Trường Đại học Công Thương TP. Hồ Chí Minh")</f>
        <v>Trường Đại học Công Thương TP. Hồ Chí Minh</v>
      </c>
      <c r="F11" s="4" t="str">
        <f>IFERROR(__xludf.DUMMYFUNCTION("""COMPUTED_VALUE"""),"HH2026-010.png")</f>
        <v>HH2026-010.png</v>
      </c>
    </row>
    <row r="12">
      <c r="A12" s="4" t="str">
        <f>IFERROR(__xludf.DUMMYFUNCTION("""COMPUTED_VALUE"""),"HH2026-011")</f>
        <v>HH2026-011</v>
      </c>
      <c r="B12" s="4" t="str">
        <f>IFERROR(__xludf.DUMMYFUNCTION("""COMPUTED_VALUE"""),"Hóa học")</f>
        <v>Hóa học</v>
      </c>
      <c r="C12" s="4" t="str">
        <f>IFERROR(__xludf.DUMMYFUNCTION("""COMPUTED_VALUE"""),"Nghiên cứu trích ly thu nhận hydrosol và tinh dầu hương nhu tía (Ocimum tenuiflorum L.) định hướng ứng dụng trong mỹ phẩm hỗ trợ trị mụn trứng cá")</f>
        <v>Nghiên cứu trích ly thu nhận hydrosol và tinh dầu hương nhu tía (Ocimum tenuiflorum L.) định hướng ứng dụng trong mỹ phẩm hỗ trợ trị mụn trứng cá</v>
      </c>
      <c r="D12" s="4" t="str">
        <f>IFERROR(__xludf.DUMMYFUNCTION("""COMPUTED_VALUE"""),"Đinh Thị Tâm Như; Nguyễn Thị Bích Ngân; Trần Sang Thiên Quý; Nguyễn Trần Kim Hoàng")</f>
        <v>Đinh Thị Tâm Như; Nguyễn Thị Bích Ngân; Trần Sang Thiên Quý; Nguyễn Trần Kim Hoàng</v>
      </c>
      <c r="E12" s="4" t="str">
        <f>IFERROR(__xludf.DUMMYFUNCTION("""COMPUTED_VALUE"""),"Trường Đại học Công Thương TP. Hồ Chí Minh")</f>
        <v>Trường Đại học Công Thương TP. Hồ Chí Minh</v>
      </c>
      <c r="F12" s="4" t="str">
        <f>IFERROR(__xludf.DUMMYFUNCTION("""COMPUTED_VALUE"""),"HH2026-011.png")</f>
        <v>HH2026-011.png</v>
      </c>
    </row>
    <row r="13">
      <c r="A13" s="4" t="str">
        <f>IFERROR(__xludf.DUMMYFUNCTION("""COMPUTED_VALUE"""),"HH2026-012")</f>
        <v>HH2026-012</v>
      </c>
      <c r="B13" s="4" t="str">
        <f>IFERROR(__xludf.DUMMYFUNCTION("""COMPUTED_VALUE"""),"Hóa học")</f>
        <v>Hóa học</v>
      </c>
      <c r="C13" s="4" t="str">
        <f>IFERROR(__xludf.DUMMYFUNCTION("""COMPUTED_VALUE"""),"TỔNG HỢP TRANS-4-(6,8-DIBROMO-1,4- DIHYDROQUINAZOLIN-3(2H)-YL)CYCLOHEXANOL (TẠP B THEO BP 2025) VÀ TẠP CHẤT TRANS-4-(6,8-DIBROMO-3(4H)-QUINAZOLINYL)CYCLOHEXANOL CỦA AMBROXOL HYDROCLORID THEO QUY MÔ PHÒNG THÍ NGHIỆM")</f>
        <v>TỔNG HỢP TRANS-4-(6,8-DIBROMO-1,4- DIHYDROQUINAZOLIN-3(2H)-YL)CYCLOHEXANOL (TẠP B THEO BP 2025) VÀ TẠP CHẤT TRANS-4-(6,8-DIBROMO-3(4H)-QUINAZOLINYL)CYCLOHEXANOL CỦA AMBROXOL HYDROCLORID THEO QUY MÔ PHÒNG THÍ NGHIỆM</v>
      </c>
      <c r="D13" s="4" t="str">
        <f>IFERROR(__xludf.DUMMYFUNCTION("""COMPUTED_VALUE"""),"Vũ Bằng Lăng; Nguyễn Vân Anh; Đinh Quốc Kiệt")</f>
        <v>Vũ Bằng Lăng; Nguyễn Vân Anh; Đinh Quốc Kiệt</v>
      </c>
      <c r="E13" s="4" t="str">
        <f>IFERROR(__xludf.DUMMYFUNCTION("""COMPUTED_VALUE"""),"Đại học Y Dược TP. Hồ Chí Minh")</f>
        <v>Đại học Y Dược TP. Hồ Chí Minh</v>
      </c>
      <c r="F13" s="4" t="str">
        <f>IFERROR(__xludf.DUMMYFUNCTION("""COMPUTED_VALUE"""),"HH2026-012.png")</f>
        <v>HH2026-012.png</v>
      </c>
    </row>
    <row r="14">
      <c r="A14" s="4" t="str">
        <f>IFERROR(__xludf.DUMMYFUNCTION("""COMPUTED_VALUE"""),"HH2026-013")</f>
        <v>HH2026-013</v>
      </c>
      <c r="B14" s="4" t="str">
        <f>IFERROR(__xludf.DUMMYFUNCTION("""COMPUTED_VALUE"""),"Hóa học")</f>
        <v>Hóa học</v>
      </c>
      <c r="C14" s="4" t="str">
        <f>IFERROR(__xludf.DUMMYFUNCTION("""COMPUTED_VALUE"""),"NGHIÊN CỨU KHẢO SÁT THÀNH PHẦN HÓA HỌC THÂN XẠ VÀNG (PREMNA FULVA CRAIB.) VÀ KHẢO SÁT TƯƠNG TÁC VỚI TYROSINASE BẰNG DOCKING PHÂN TỬ")</f>
        <v>NGHIÊN CỨU KHẢO SÁT THÀNH PHẦN HÓA HỌC THÂN XẠ VÀNG (PREMNA FULVA CRAIB.) VÀ KHẢO SÁT TƯƠNG TÁC VỚI TYROSINASE BẰNG DOCKING PHÂN TỬ</v>
      </c>
      <c r="D14" s="4" t="str">
        <f>IFERROR(__xludf.DUMMYFUNCTION("""COMPUTED_VALUE"""),"Nguyễn Thị Anh Phương; Đào Thị Thu Hà; Lê Trần Khánh Linh")</f>
        <v>Nguyễn Thị Anh Phương; Đào Thị Thu Hà; Lê Trần Khánh Linh</v>
      </c>
      <c r="E14" s="4" t="str">
        <f>IFERROR(__xludf.DUMMYFUNCTION("""COMPUTED_VALUE"""),"Đại học Y Dược TP. Hồ Chí Minh")</f>
        <v>Đại học Y Dược TP. Hồ Chí Minh</v>
      </c>
      <c r="F14" s="4" t="str">
        <f>IFERROR(__xludf.DUMMYFUNCTION("""COMPUTED_VALUE"""),"HH2026-013.png")</f>
        <v>HH2026-013.png</v>
      </c>
    </row>
    <row r="15">
      <c r="A15" s="4" t="str">
        <f>IFERROR(__xludf.DUMMYFUNCTION("""COMPUTED_VALUE"""),"HH2026-014")</f>
        <v>HH2026-014</v>
      </c>
      <c r="B15" s="4" t="str">
        <f>IFERROR(__xludf.DUMMYFUNCTION("""COMPUTED_VALUE"""),"Hóa học")</f>
        <v>Hóa học</v>
      </c>
      <c r="C15" s="4" t="str">
        <f>IFERROR(__xludf.DUMMYFUNCTION("""COMPUTED_VALUE"""),"TỔNG HỢP TẠP NITROSAMIN CỦA SITAGLIPTIN (TẠP CHẤT NDSRI CỦA SITAGLIPTIN)")</f>
        <v>TỔNG HỢP TẠP NITROSAMIN CỦA SITAGLIPTIN (TẠP CHẤT NDSRI CỦA SITAGLIPTIN)</v>
      </c>
      <c r="D15" s="4" t="str">
        <f>IFERROR(__xludf.DUMMYFUNCTION("""COMPUTED_VALUE"""),"Phan Hoàng Khải; Huỳnh Minh Trọng; Lê Nhật Tân; Nguyễn Duy Thái")</f>
        <v>Phan Hoàng Khải; Huỳnh Minh Trọng; Lê Nhật Tân; Nguyễn Duy Thái</v>
      </c>
      <c r="E15" s="4" t="str">
        <f>IFERROR(__xludf.DUMMYFUNCTION("""COMPUTED_VALUE"""),"Đại học Y Dược TP. Hồ Chí Minh")</f>
        <v>Đại học Y Dược TP. Hồ Chí Minh</v>
      </c>
      <c r="F15" s="4" t="str">
        <f>IFERROR(__xludf.DUMMYFUNCTION("""COMPUTED_VALUE"""),"HH2026-014.png")</f>
        <v>HH2026-014.png</v>
      </c>
    </row>
    <row r="16">
      <c r="A16" s="4" t="str">
        <f>IFERROR(__xludf.DUMMYFUNCTION("""COMPUTED_VALUE"""),"HH2026-015")</f>
        <v>HH2026-015</v>
      </c>
      <c r="B16" s="4" t="str">
        <f>IFERROR(__xludf.DUMMYFUNCTION("""COMPUTED_VALUE"""),"Hóa học")</f>
        <v>Hóa học</v>
      </c>
      <c r="C16" s="4" t="str">
        <f>IFERROR(__xludf.DUMMYFUNCTION("""COMPUTED_VALUE"""),"TỔNG HỢP TẠP CỦA ALFUZOSIN")</f>
        <v>TỔNG HỢP TẠP CỦA ALFUZOSIN</v>
      </c>
      <c r="D16" s="4" t="str">
        <f>IFERROR(__xludf.DUMMYFUNCTION("""COMPUTED_VALUE"""),"Phan Hoàng Khải; Huỳnh Minh Trọng; Lê Nhật Tân; Nguyễn Duy")</f>
        <v>Phan Hoàng Khải; Huỳnh Minh Trọng; Lê Nhật Tân; Nguyễn Duy</v>
      </c>
      <c r="E16" s="4" t="str">
        <f>IFERROR(__xludf.DUMMYFUNCTION("""COMPUTED_VALUE"""),"Đại học Y Dược TP. Hồ Chí Minh")</f>
        <v>Đại học Y Dược TP. Hồ Chí Minh</v>
      </c>
      <c r="F16" s="4" t="str">
        <f>IFERROR(__xludf.DUMMYFUNCTION("""COMPUTED_VALUE"""),"HH2026-015.png")</f>
        <v>HH2026-015.png</v>
      </c>
    </row>
    <row r="17">
      <c r="A17" s="4" t="str">
        <f>IFERROR(__xludf.DUMMYFUNCTION("""COMPUTED_VALUE"""),"HH2026-016")</f>
        <v>HH2026-016</v>
      </c>
      <c r="B17" s="4" t="str">
        <f>IFERROR(__xludf.DUMMYFUNCTION("""COMPUTED_VALUE"""),"Hóa học")</f>
        <v>Hóa học</v>
      </c>
      <c r="C17" s="4" t="str">
        <f>IFERROR(__xludf.DUMMYFUNCTION("""COMPUTED_VALUE"""),"Nghiên cứu tổng hợp bán enzyme Acacetin-O-glycoside theo định hướng hóa học xanh")</f>
        <v>Nghiên cứu tổng hợp bán enzyme Acacetin-O-glycoside theo định hướng hóa học xanh</v>
      </c>
      <c r="D17" s="4" t="str">
        <f>IFERROR(__xludf.DUMMYFUNCTION("""COMPUTED_VALUE"""),"Dương Minh Thiên; Lê Ngọc Thắng; Lê Minh Tuấn")</f>
        <v>Dương Minh Thiên; Lê Ngọc Thắng; Lê Minh Tuấn</v>
      </c>
      <c r="E17" s="4" t="str">
        <f>IFERROR(__xludf.DUMMYFUNCTION("""COMPUTED_VALUE"""),"Đại học Y Dược TP. Hồ Chí Minh")</f>
        <v>Đại học Y Dược TP. Hồ Chí Minh</v>
      </c>
      <c r="F17" s="4" t="str">
        <f>IFERROR(__xludf.DUMMYFUNCTION("""COMPUTED_VALUE"""),"HH2026-016.png")</f>
        <v>HH2026-016.png</v>
      </c>
    </row>
    <row r="18">
      <c r="A18" s="4" t="str">
        <f>IFERROR(__xludf.DUMMYFUNCTION("""COMPUTED_VALUE"""),"HH2026-017")</f>
        <v>HH2026-017</v>
      </c>
      <c r="B18" s="4" t="str">
        <f>IFERROR(__xludf.DUMMYFUNCTION("""COMPUTED_VALUE"""),"Hóa học")</f>
        <v>Hóa học</v>
      </c>
      <c r="C18" s="4" t="str">
        <f>IFERROR(__xludf.DUMMYFUNCTION("""COMPUTED_VALUE"""),"Xây dựng phương pháp tổng hợp xanh cho các dẫn xuất benzofuropyridine định hướng độc tế bào ung thư")</f>
        <v>Xây dựng phương pháp tổng hợp xanh cho các dẫn xuất benzofuropyridine định hướng độc tế bào ung thư</v>
      </c>
      <c r="D18" s="4" t="str">
        <f>IFERROR(__xludf.DUMMYFUNCTION("""COMPUTED_VALUE"""),"Phạm Mai Trâm Anh; Huỳnh Ngọc Thanh Trúc")</f>
        <v>Phạm Mai Trâm Anh; Huỳnh Ngọc Thanh Trúc</v>
      </c>
      <c r="E18" s="4" t="str">
        <f>IFERROR(__xludf.DUMMYFUNCTION("""COMPUTED_VALUE"""),"Đại học Y Dược TP. Hồ Chí Minh")</f>
        <v>Đại học Y Dược TP. Hồ Chí Minh</v>
      </c>
      <c r="F18" s="4" t="str">
        <f>IFERROR(__xludf.DUMMYFUNCTION("""COMPUTED_VALUE"""),"HH2026-017.png")</f>
        <v>HH2026-017.png</v>
      </c>
    </row>
    <row r="19">
      <c r="A19" s="4" t="str">
        <f>IFERROR(__xludf.DUMMYFUNCTION("""COMPUTED_VALUE"""),"HH2026-018")</f>
        <v>HH2026-018</v>
      </c>
      <c r="B19" s="4" t="str">
        <f>IFERROR(__xludf.DUMMYFUNCTION("""COMPUTED_VALUE"""),"Hóa học")</f>
        <v>Hóa học</v>
      </c>
      <c r="C19" s="4" t="str">
        <f>IFERROR(__xludf.DUMMYFUNCTION("""COMPUTED_VALUE"""),"TỔNG HỢP VÀ ĐÁNH GIÁ HOẠT TÍNH SINH HỌC CÁC DẪN CHẤT LAI HÓA GIỮA CHALCON VÀ L-PROLIN")</f>
        <v>TỔNG HỢP VÀ ĐÁNH GIÁ HOẠT TÍNH SINH HỌC CÁC DẪN CHẤT LAI HÓA GIỮA CHALCON VÀ L-PROLIN</v>
      </c>
      <c r="D19" s="4" t="str">
        <f>IFERROR(__xludf.DUMMYFUNCTION("""COMPUTED_VALUE"""),"Phạm Tuấn Anh; Trương Thy Hương; Diệp Khả; Võ Hàn Trân Chân; Lê Viết Tài")</f>
        <v>Phạm Tuấn Anh; Trương Thy Hương; Diệp Khả; Võ Hàn Trân Chân; Lê Viết Tài</v>
      </c>
      <c r="E19" s="4" t="str">
        <f>IFERROR(__xludf.DUMMYFUNCTION("""COMPUTED_VALUE"""),"Đại học Y Dược TP. Hồ Chí Minh")</f>
        <v>Đại học Y Dược TP. Hồ Chí Minh</v>
      </c>
      <c r="F19" s="4" t="str">
        <f>IFERROR(__xludf.DUMMYFUNCTION("""COMPUTED_VALUE"""),"HH2026-018.png")</f>
        <v>HH2026-018.png</v>
      </c>
    </row>
    <row r="20">
      <c r="A20" s="4" t="str">
        <f>IFERROR(__xludf.DUMMYFUNCTION("""COMPUTED_VALUE"""),"HH2026-019")</f>
        <v>HH2026-019</v>
      </c>
      <c r="B20" s="4" t="str">
        <f>IFERROR(__xludf.DUMMYFUNCTION("""COMPUTED_VALUE"""),"Hóa học")</f>
        <v>Hóa học</v>
      </c>
      <c r="C20" s="4" t="str">
        <f>IFERROR(__xludf.DUMMYFUNCTION("""COMPUTED_VALUE"""),"PHÁT TRIỂN PHƯƠNG PHÁP TỔNG HỢP NHÓM DẪN CHẤT BENZOFURO[3,2-b]PYRIDIN THEO ĐỊNH HƯỚNG KHÁNG UNG THƯ")</f>
        <v>PHÁT TRIỂN PHƯƠNG PHÁP TỔNG HỢP NHÓM DẪN CHẤT BENZOFURO[3,2-b]PYRIDIN THEO ĐỊNH HƯỚNG KHÁNG UNG THƯ</v>
      </c>
      <c r="D20" s="4" t="str">
        <f>IFERROR(__xludf.DUMMYFUNCTION("""COMPUTED_VALUE"""),"Trần Đình Vân Khánh; Trịnh Thị Minh Thư; Nguyễn Tấn Minh; Nguyễn Thái Kiệt")</f>
        <v>Trần Đình Vân Khánh; Trịnh Thị Minh Thư; Nguyễn Tấn Minh; Nguyễn Thái Kiệt</v>
      </c>
      <c r="E20" s="4" t="str">
        <f>IFERROR(__xludf.DUMMYFUNCTION("""COMPUTED_VALUE"""),"Đại học Y Dược TP. Hồ Chí Minh")</f>
        <v>Đại học Y Dược TP. Hồ Chí Minh</v>
      </c>
      <c r="F20" s="4" t="str">
        <f>IFERROR(__xludf.DUMMYFUNCTION("""COMPUTED_VALUE"""),"HH2026-019.png")</f>
        <v>HH2026-019.png</v>
      </c>
    </row>
    <row r="21">
      <c r="A21" s="4" t="str">
        <f>IFERROR(__xludf.DUMMYFUNCTION("""COMPUTED_VALUE"""),"HH2026-020")</f>
        <v>HH2026-020</v>
      </c>
      <c r="B21" s="4" t="str">
        <f>IFERROR(__xludf.DUMMYFUNCTION("""COMPUTED_VALUE"""),"Hóa học")</f>
        <v>Hóa học</v>
      </c>
      <c r="C21" s="4" t="str">
        <f>IFERROR(__xludf.DUMMYFUNCTION("""COMPUTED_VALUE"""),"Kết hợp quang hoá học và Iodobenzen diclorid trong nghiên cứu các phương pháp tổng hợp mới cho phát triển thuốc")</f>
        <v>Kết hợp quang hoá học và Iodobenzen diclorid trong nghiên cứu các phương pháp tổng hợp mới cho phát triển thuốc</v>
      </c>
      <c r="D21" s="4" t="str">
        <f>IFERROR(__xludf.DUMMYFUNCTION("""COMPUTED_VALUE"""),"Đinh Viết Tuấn Anh; Đinh Diệu Linh; Trần Thị Lộc; Trần Hữu Tú; Nguyễn Thuận Thành")</f>
        <v>Đinh Viết Tuấn Anh; Đinh Diệu Linh; Trần Thị Lộc; Trần Hữu Tú; Nguyễn Thuận Thành</v>
      </c>
      <c r="E21" s="4" t="str">
        <f>IFERROR(__xludf.DUMMYFUNCTION("""COMPUTED_VALUE"""),"Đại học Y Dược TP. Hồ Chí Minh")</f>
        <v>Đại học Y Dược TP. Hồ Chí Minh</v>
      </c>
      <c r="F21" s="4" t="str">
        <f>IFERROR(__xludf.DUMMYFUNCTION("""COMPUTED_VALUE"""),"HH2026-020.png")</f>
        <v>HH2026-020.png</v>
      </c>
    </row>
    <row r="22">
      <c r="A22" s="4" t="str">
        <f>IFERROR(__xludf.DUMMYFUNCTION("""COMPUTED_VALUE"""),"HH2026-021")</f>
        <v>HH2026-021</v>
      </c>
      <c r="B22" s="4" t="str">
        <f>IFERROR(__xludf.DUMMYFUNCTION("""COMPUTED_VALUE"""),"Hóa học")</f>
        <v>Hóa học</v>
      </c>
      <c r="C22" s="4" t="str">
        <f>IFERROR(__xludf.DUMMYFUNCTION("""COMPUTED_VALUE"""),"Nghiên cứu thành phần hóa học và một số hoạt tính sinh học của loài Beilschmiedia bidoupensis phân bố ở Việt Nam")</f>
        <v>Nghiên cứu thành phần hóa học và một số hoạt tính sinh học của loài Beilschmiedia bidoupensis phân bố ở Việt Nam</v>
      </c>
      <c r="D22" s="4" t="str">
        <f>IFERROR(__xludf.DUMMYFUNCTION("""COMPUTED_VALUE"""),"Lê Trạc Năm Duy; Đặng Sử Uyên; Phạm Châu Anh; Nguyễn Thị Thanh Huyền; Phan Thị Hoài Nam")</f>
        <v>Lê Trạc Năm Duy; Đặng Sử Uyên; Phạm Châu Anh; Nguyễn Thị Thanh Huyền; Phan Thị Hoài Nam</v>
      </c>
      <c r="E22" s="4" t="str">
        <f>IFERROR(__xludf.DUMMYFUNCTION("""COMPUTED_VALUE"""),"Trường Đại học Vinh")</f>
        <v>Trường Đại học Vinh</v>
      </c>
      <c r="F22" s="4" t="str">
        <f>IFERROR(__xludf.DUMMYFUNCTION("""COMPUTED_VALUE"""),"HH2026-021.png")</f>
        <v>HH2026-021.png</v>
      </c>
    </row>
    <row r="23">
      <c r="A23" s="4" t="str">
        <f>IFERROR(__xludf.DUMMYFUNCTION("""COMPUTED_VALUE"""),"HH2026-022")</f>
        <v>HH2026-022</v>
      </c>
      <c r="B23" s="4" t="str">
        <f>IFERROR(__xludf.DUMMYFUNCTION("""COMPUTED_VALUE"""),"Hóa học")</f>
        <v>Hóa học</v>
      </c>
      <c r="C23" s="4" t="str">
        <f>IFERROR(__xludf.DUMMYFUNCTION("""COMPUTED_VALUE"""),"Nghiên cứu điều chế dung môi cộng tinh sâu dị thể và ứng dụng tổng hợp dẫn xuất pyrimidine")</f>
        <v>Nghiên cứu điều chế dung môi cộng tinh sâu dị thể và ứng dụng tổng hợp dẫn xuất pyrimidine</v>
      </c>
      <c r="D23" s="4" t="str">
        <f>IFERROR(__xludf.DUMMYFUNCTION("""COMPUTED_VALUE"""),"Nguyễn Thành Công; Đắc Phiên Nguyên; Cao Đức Phú")</f>
        <v>Nguyễn Thành Công; Đắc Phiên Nguyên; Cao Đức Phú</v>
      </c>
      <c r="E23" s="4" t="str">
        <f>IFERROR(__xludf.DUMMYFUNCTION("""COMPUTED_VALUE"""),"Trường Đại học Sư phạm TP. Hồ Chí Minh")</f>
        <v>Trường Đại học Sư phạm TP. Hồ Chí Minh</v>
      </c>
      <c r="F23" s="4" t="str">
        <f>IFERROR(__xludf.DUMMYFUNCTION("""COMPUTED_VALUE"""),"HH2026-022.png")</f>
        <v>HH2026-022.png</v>
      </c>
    </row>
    <row r="24">
      <c r="A24" s="4" t="str">
        <f>IFERROR(__xludf.DUMMYFUNCTION("""COMPUTED_VALUE"""),"HH2026-023")</f>
        <v>HH2026-023</v>
      </c>
      <c r="B24" s="4" t="str">
        <f>IFERROR(__xludf.DUMMYFUNCTION("""COMPUTED_VALUE"""),"Hóa học")</f>
        <v>Hóa học</v>
      </c>
      <c r="C24" s="4" t="str">
        <f>IFERROR(__xludf.DUMMYFUNCTION("""COMPUTED_VALUE"""),"Develop of coupling biaryl reaction via dual Nickel(II) &amp; photoredoxcatalysis catalyzed direct carbon – hydrogen ortho arylation bond activated, assited by 8‑aminoquinoline moiety as a directing group")</f>
        <v>Develop of coupling biaryl reaction via dual Nickel(II) &amp; photoredoxcatalysis catalyzed direct carbon – hydrogen ortho arylation bond activated, assited by 8‑aminoquinoline moiety as a directing group</v>
      </c>
      <c r="D24" s="4" t="str">
        <f>IFERROR(__xludf.DUMMYFUNCTION("""COMPUTED_VALUE"""),"Châu Kiến Thành")</f>
        <v>Châu Kiến Thành</v>
      </c>
      <c r="E24" s="4" t="str">
        <f>IFERROR(__xludf.DUMMYFUNCTION("""COMPUTED_VALUE"""),"Trường Đại học Quốc Tế, ĐHQG-HCM")</f>
        <v>Trường Đại học Quốc Tế, ĐHQG-HCM</v>
      </c>
      <c r="F24" s="4" t="str">
        <f>IFERROR(__xludf.DUMMYFUNCTION("""COMPUTED_VALUE"""),"HH2026-023.png")</f>
        <v>HH2026-023.png</v>
      </c>
    </row>
    <row r="25">
      <c r="A25" s="4" t="str">
        <f>IFERROR(__xludf.DUMMYFUNCTION("""COMPUTED_VALUE"""),"HH2026-024")</f>
        <v>HH2026-024</v>
      </c>
      <c r="B25" s="4" t="str">
        <f>IFERROR(__xludf.DUMMYFUNCTION("""COMPUTED_VALUE"""),"Hóa học")</f>
        <v>Hóa học</v>
      </c>
      <c r="C25" s="4" t="str">
        <f>IFERROR(__xludf.DUMMYFUNCTION("""COMPUTED_VALUE"""),"KHẢO SÁT QUY TRÌNH THU NHẬN TINH DẦU, ĐIỀU CHẾ CAO CHIẾT TIÊU CHUẨN HÓA VÀ ĐÁNH GIÁ HOẠT TÍNH SINH HỌC CỦA LÁ VỐI (SYZYGIUM NERVOSUM DC.) HỌ SIM (MYRTACEAE)")</f>
        <v>KHẢO SÁT QUY TRÌNH THU NHẬN TINH DẦU, ĐIỀU CHẾ CAO CHIẾT TIÊU CHUẨN HÓA VÀ ĐÁNH GIÁ HOẠT TÍNH SINH HỌC CỦA LÁ VỐI (SYZYGIUM NERVOSUM DC.) HỌ SIM (MYRTACEAE)</v>
      </c>
      <c r="D25" s="4" t="str">
        <f>IFERROR(__xludf.DUMMYFUNCTION("""COMPUTED_VALUE"""),"Nguyễn Trần Huyền Trân; TRẦN MINH TRANG")</f>
        <v>Nguyễn Trần Huyền Trân; TRẦN MINH TRANG</v>
      </c>
      <c r="E25" s="4" t="str">
        <f>IFERROR(__xludf.DUMMYFUNCTION("""COMPUTED_VALUE"""),"Trường Đại học Khoa học Tự nhiên, ĐHQG-HCM")</f>
        <v>Trường Đại học Khoa học Tự nhiên, ĐHQG-HCM</v>
      </c>
      <c r="F25" s="4" t="str">
        <f>IFERROR(__xludf.DUMMYFUNCTION("""COMPUTED_VALUE"""),"HH2026-024.png")</f>
        <v>HH2026-024.png</v>
      </c>
    </row>
    <row r="26">
      <c r="A26" s="4" t="str">
        <f>IFERROR(__xludf.DUMMYFUNCTION("""COMPUTED_VALUE"""),"HH2026-025")</f>
        <v>HH2026-025</v>
      </c>
      <c r="B26" s="4" t="str">
        <f>IFERROR(__xludf.DUMMYFUNCTION("""COMPUTED_VALUE"""),"Hóa học")</f>
        <v>Hóa học</v>
      </c>
      <c r="C26" s="4" t="str">
        <f>IFERROR(__xludf.DUMMYFUNCTION("""COMPUTED_VALUE"""),"FROM FRUIT TO FILTER: INVESTIGATION OF THE PHOTOPROTECTIVE CONSTITUENTS FROM GARDENIA FRUIT (GARDENIA JASMINOIDES ELLIS) FOR SUNSCREEN DEVELOPMENT")</f>
        <v>FROM FRUIT TO FILTER: INVESTIGATION OF THE PHOTOPROTECTIVE CONSTITUENTS FROM GARDENIA FRUIT (GARDENIA JASMINOIDES ELLIS) FOR SUNSCREEN DEVELOPMENT</v>
      </c>
      <c r="D26" s="4" t="str">
        <f>IFERROR(__xludf.DUMMYFUNCTION("""COMPUTED_VALUE"""),"Nguyễn Ái Minh Châu")</f>
        <v>Nguyễn Ái Minh Châu</v>
      </c>
      <c r="E26" s="4" t="str">
        <f>IFERROR(__xludf.DUMMYFUNCTION("""COMPUTED_VALUE"""),"Trường Đại học Bách Khoa, ĐHQG-HCM")</f>
        <v>Trường Đại học Bách Khoa, ĐHQG-HCM</v>
      </c>
      <c r="F26" s="4" t="str">
        <f>IFERROR(__xludf.DUMMYFUNCTION("""COMPUTED_VALUE"""),"HH2026-025.png")</f>
        <v>HH2026-025.png</v>
      </c>
    </row>
    <row r="27">
      <c r="A27" s="4" t="str">
        <f>IFERROR(__xludf.DUMMYFUNCTION("""COMPUTED_VALUE"""),"HH2026-026")</f>
        <v>HH2026-026</v>
      </c>
      <c r="B27" s="4" t="str">
        <f>IFERROR(__xludf.DUMMYFUNCTION("""COMPUTED_VALUE"""),"Hóa học")</f>
        <v>Hóa học</v>
      </c>
      <c r="C27" s="4" t="str">
        <f>IFERROR(__xludf.DUMMYFUNCTION("""COMPUTED_VALUE"""),"Nghiên cứu công thức mặt nạ lột chứa cao chiết nước lá Trầu không (Piper betle L. Piperaceae)")</f>
        <v>Nghiên cứu công thức mặt nạ lột chứa cao chiết nước lá Trầu không (Piper betle L. Piperaceae)</v>
      </c>
      <c r="D27" s="4" t="str">
        <f>IFERROR(__xludf.DUMMYFUNCTION("""COMPUTED_VALUE"""),"Đoàn Ngọc Khánh Hân; Trần Thị Nhã Quyên; Quách Minh Tú; Đào Thảo Quyên; Trần Hoàng Việt")</f>
        <v>Đoàn Ngọc Khánh Hân; Trần Thị Nhã Quyên; Quách Minh Tú; Đào Thảo Quyên; Trần Hoàng Việt</v>
      </c>
      <c r="E27" s="4" t="str">
        <f>IFERROR(__xludf.DUMMYFUNCTION("""COMPUTED_VALUE"""),"Trường Đại học Nguyễn Tất Thành")</f>
        <v>Trường Đại học Nguyễn Tất Thành</v>
      </c>
      <c r="F27" s="4" t="str">
        <f>IFERROR(__xludf.DUMMYFUNCTION("""COMPUTED_VALUE"""),"HH2026-026.png")</f>
        <v>HH2026-026.png</v>
      </c>
    </row>
    <row r="28">
      <c r="A28" s="4" t="str">
        <f>IFERROR(__xludf.DUMMYFUNCTION("""COMPUTED_VALUE"""),"HH2026-027")</f>
        <v>HH2026-027</v>
      </c>
      <c r="B28" s="4" t="str">
        <f>IFERROR(__xludf.DUMMYFUNCTION("""COMPUTED_VALUE"""),"Hóa học")</f>
        <v>Hóa học</v>
      </c>
      <c r="C28" s="4" t="str">
        <f>IFERROR(__xludf.DUMMYFUNCTION("""COMPUTED_VALUE"""),"NGHIÊN CỨU HIỆU QUẢ THU HOẠCH VI TẢO BẰNG CÁC CHẤT KEO TỤ POLYMER SINH HỌC")</f>
        <v>NGHIÊN CỨU HIỆU QUẢ THU HOẠCH VI TẢO BẰNG CÁC CHẤT KEO TỤ POLYMER SINH HỌC</v>
      </c>
      <c r="D28" s="4" t="str">
        <f>IFERROR(__xludf.DUMMYFUNCTION("""COMPUTED_VALUE"""),"Nguyễn Thị Ánh Ngọc; Lợi Tấn Lộc")</f>
        <v>Nguyễn Thị Ánh Ngọc; Lợi Tấn Lộc</v>
      </c>
      <c r="E28" s="4" t="str">
        <f>IFERROR(__xludf.DUMMYFUNCTION("""COMPUTED_VALUE"""),"Trường Đại học Nguyễn Tất Thành")</f>
        <v>Trường Đại học Nguyễn Tất Thành</v>
      </c>
      <c r="F28" s="4" t="str">
        <f>IFERROR(__xludf.DUMMYFUNCTION("""COMPUTED_VALUE"""),"HH2026-027.png")</f>
        <v>HH2026-027.png</v>
      </c>
    </row>
    <row r="29">
      <c r="A29" s="4" t="str">
        <f>IFERROR(__xludf.DUMMYFUNCTION("""COMPUTED_VALUE"""),"HH2026-028")</f>
        <v>HH2026-028</v>
      </c>
      <c r="B29" s="4" t="str">
        <f>IFERROR(__xludf.DUMMYFUNCTION("""COMPUTED_VALUE"""),"Hóa học")</f>
        <v>Hóa học</v>
      </c>
      <c r="C29" s="4" t="str">
        <f>IFERROR(__xludf.DUMMYFUNCTION("""COMPUTED_VALUE"""),"TỐI ƯU HOÁ QUY TRÌNH TÁCH CHIẾT CÁC HOẠT CHẤT SINH HỌC TỪ VI TẢO DUNALIELLA SALINA")</f>
        <v>TỐI ƯU HOÁ QUY TRÌNH TÁCH CHIẾT CÁC HOẠT CHẤT SINH HỌC TỪ VI TẢO DUNALIELLA SALINA</v>
      </c>
      <c r="D29" s="4" t="str">
        <f>IFERROR(__xludf.DUMMYFUNCTION("""COMPUTED_VALUE"""),"Nguyễn Thị Ánh Ngọc; Nguyễn Hoàng Thịnh")</f>
        <v>Nguyễn Thị Ánh Ngọc; Nguyễn Hoàng Thịnh</v>
      </c>
      <c r="E29" s="4" t="str">
        <f>IFERROR(__xludf.DUMMYFUNCTION("""COMPUTED_VALUE"""),"Trường Đại học Nguyễn Tất Thành")</f>
        <v>Trường Đại học Nguyễn Tất Thành</v>
      </c>
      <c r="F29" s="4" t="str">
        <f>IFERROR(__xludf.DUMMYFUNCTION("""COMPUTED_VALUE"""),"HH2026-028.png")</f>
        <v>HH2026-028.png</v>
      </c>
    </row>
    <row r="30">
      <c r="A30" s="4" t="str">
        <f>IFERROR(__xludf.DUMMYFUNCTION("""COMPUTED_VALUE"""),"HH2026-029")</f>
        <v>HH2026-029</v>
      </c>
      <c r="B30" s="4" t="str">
        <f>IFERROR(__xludf.DUMMYFUNCTION("""COMPUTED_VALUE"""),"Hóa học")</f>
        <v>Hóa học</v>
      </c>
      <c r="C30" s="4" t="str">
        <f>IFERROR(__xludf.DUMMYFUNCTION("""COMPUTED_VALUE"""),"Nghiên cứu chế tạo màng cách ly từ bã mía ứng dụng trong pin Lithium-ion")</f>
        <v>Nghiên cứu chế tạo màng cách ly từ bã mía ứng dụng trong pin Lithium-ion</v>
      </c>
      <c r="D30" s="4" t="str">
        <f>IFERROR(__xludf.DUMMYFUNCTION("""COMPUTED_VALUE"""),"Phạm Ngọc Nhi; Nguyễn Trần Minh Vũ; Nguyễn Quỳnh Ngọc Tú; Nguyễn Thị Huỳnh Mai")</f>
        <v>Phạm Ngọc Nhi; Nguyễn Trần Minh Vũ; Nguyễn Quỳnh Ngọc Tú; Nguyễn Thị Huỳnh Mai</v>
      </c>
      <c r="E30" s="4" t="str">
        <f>IFERROR(__xludf.DUMMYFUNCTION("""COMPUTED_VALUE"""),"Trường Đại học Tôn Đức Thắng")</f>
        <v>Trường Đại học Tôn Đức Thắng</v>
      </c>
      <c r="F30" s="4" t="str">
        <f>IFERROR(__xludf.DUMMYFUNCTION("""COMPUTED_VALUE"""),"HH2026-029.png")</f>
        <v>HH2026-029.png</v>
      </c>
    </row>
    <row r="31">
      <c r="A31" s="4" t="str">
        <f>IFERROR(__xludf.DUMMYFUNCTION("""COMPUTED_VALUE"""),"HH2026-030")</f>
        <v>HH2026-030</v>
      </c>
      <c r="B31" s="4" t="str">
        <f>IFERROR(__xludf.DUMMYFUNCTION("""COMPUTED_VALUE"""),"Hóa học")</f>
        <v>Hóa học</v>
      </c>
      <c r="C31" s="4" t="str">
        <f>IFERROR(__xludf.DUMMYFUNCTION("""COMPUTED_VALUE"""),"Formulation of herbal mouthwash using flavonoids extracts from Talinum fruticosum L. to control the predominant oral pathogens")</f>
        <v>Formulation of herbal mouthwash using flavonoids extracts from Talinum fruticosum L. to control the predominant oral pathogens</v>
      </c>
      <c r="D31" s="4" t="str">
        <f>IFERROR(__xludf.DUMMYFUNCTION("""COMPUTED_VALUE"""),"Trần Vũ Hoài Linh; Trương Minh Nhật; Nguyễn Kim Tường Vi")</f>
        <v>Trần Vũ Hoài Linh; Trương Minh Nhật; Nguyễn Kim Tường Vi</v>
      </c>
      <c r="E31" s="4" t="str">
        <f>IFERROR(__xludf.DUMMYFUNCTION("""COMPUTED_VALUE"""),"Trường Đại học Tôn Đức Thắng")</f>
        <v>Trường Đại học Tôn Đức Thắng</v>
      </c>
      <c r="F31" s="4" t="str">
        <f>IFERROR(__xludf.DUMMYFUNCTION("""COMPUTED_VALUE"""),"HH2026-030.png")</f>
        <v>HH2026-030.png</v>
      </c>
    </row>
    <row r="32">
      <c r="A32" s="4" t="str">
        <f>IFERROR(__xludf.DUMMYFUNCTION("""COMPUTED_VALUE"""),"HH2026-031")</f>
        <v>HH2026-031</v>
      </c>
      <c r="B32" s="4" t="str">
        <f>IFERROR(__xludf.DUMMYFUNCTION("""COMPUTED_VALUE"""),"Hóa học")</f>
        <v>Hóa học</v>
      </c>
      <c r="C32" s="4" t="str">
        <f>IFERROR(__xludf.DUMMYFUNCTION("""COMPUTED_VALUE"""),"Nghiên cứu phát triển hệ hydrogel có khả năng thay đổi tính chất quang học và màu sắc theo nhiệt độ môi trường và bức xạ UV, ứng dụng trong chế tạo cửa sổ thông minh và vật liệu mã hóa thông tin")</f>
        <v>Nghiên cứu phát triển hệ hydrogel có khả năng thay đổi tính chất quang học và màu sắc theo nhiệt độ môi trường và bức xạ UV, ứng dụng trong chế tạo cửa sổ thông minh và vật liệu mã hóa thông tin</v>
      </c>
      <c r="D32" s="4" t="str">
        <f>IFERROR(__xludf.DUMMYFUNCTION("""COMPUTED_VALUE"""),"Lý Đỗ Thanh Nghi; Lâm Kim Hoàng; Đỗ Quang Tuấn; Trần Ngọc Yến Linh; Võ Lê Khánh Vy")</f>
        <v>Lý Đỗ Thanh Nghi; Lâm Kim Hoàng; Đỗ Quang Tuấn; Trần Ngọc Yến Linh; Võ Lê Khánh Vy</v>
      </c>
      <c r="E32" s="4" t="str">
        <f>IFERROR(__xludf.DUMMYFUNCTION("""COMPUTED_VALUE"""),"Trường Đại học Tôn Đức Thắng")</f>
        <v>Trường Đại học Tôn Đức Thắng</v>
      </c>
      <c r="F32" s="4" t="str">
        <f>IFERROR(__xludf.DUMMYFUNCTION("""COMPUTED_VALUE"""),"HH2026-031.png")</f>
        <v>HH2026-031.png</v>
      </c>
    </row>
    <row r="33">
      <c r="A33" s="4" t="str">
        <f>IFERROR(__xludf.DUMMYFUNCTION("""COMPUTED_VALUE"""),"HH2026-032")</f>
        <v>HH2026-032</v>
      </c>
      <c r="B33" s="4" t="str">
        <f>IFERROR(__xludf.DUMMYFUNCTION("""COMPUTED_VALUE"""),"Hóa học")</f>
        <v>Hóa học</v>
      </c>
      <c r="C33" s="4" t="str">
        <f>IFERROR(__xludf.DUMMYFUNCTION("""COMPUTED_VALUE"""),"Nghiên cứu phát triển hydrogel dạng tiêm từ oxidized pectin/gelatin mang thuốc kháng viêm, ứng dụng trong điều trị thoái hóa sụn khớp")</f>
        <v>Nghiên cứu phát triển hydrogel dạng tiêm từ oxidized pectin/gelatin mang thuốc kháng viêm, ứng dụng trong điều trị thoái hóa sụn khớp</v>
      </c>
      <c r="D33" s="4" t="str">
        <f>IFERROR(__xludf.DUMMYFUNCTION("""COMPUTED_VALUE"""),"Nguyễn Trọng Phúc; Phạm Đức Trung; Phan Tử Khôi")</f>
        <v>Nguyễn Trọng Phúc; Phạm Đức Trung; Phan Tử Khôi</v>
      </c>
      <c r="E33" s="4" t="str">
        <f>IFERROR(__xludf.DUMMYFUNCTION("""COMPUTED_VALUE"""),"Trường Đại học Tôn Đức Thắng")</f>
        <v>Trường Đại học Tôn Đức Thắng</v>
      </c>
      <c r="F33" s="4" t="str">
        <f>IFERROR(__xludf.DUMMYFUNCTION("""COMPUTED_VALUE"""),"HH2026-032.png")</f>
        <v>HH2026-032.png</v>
      </c>
    </row>
    <row r="34">
      <c r="A34" s="4" t="str">
        <f>IFERROR(__xludf.DUMMYFUNCTION("""COMPUTED_VALUE"""),"HH2026-033")</f>
        <v>HH2026-033</v>
      </c>
      <c r="B34" s="4" t="str">
        <f>IFERROR(__xludf.DUMMYFUNCTION("""COMPUTED_VALUE"""),"Hóa học")</f>
        <v>Hóa học</v>
      </c>
      <c r="C34" s="4" t="str">
        <f>IFERROR(__xludf.DUMMYFUNCTION("""COMPUTED_VALUE"""),"Nghiên cứu phân giải nhựa poly(ethylene terephthalate) (PET) theo quy trình hai bước thân thiện môi trường sử dụng dung môi eutectic sâu (DES) và thủy phân kiềm nhẹ")</f>
        <v>Nghiên cứu phân giải nhựa poly(ethylene terephthalate) (PET) theo quy trình hai bước thân thiện môi trường sử dụng dung môi eutectic sâu (DES) và thủy phân kiềm nhẹ</v>
      </c>
      <c r="D34" s="4" t="str">
        <f>IFERROR(__xludf.DUMMYFUNCTION("""COMPUTED_VALUE"""),"Lý Huyền Quỳnh Đoan; Nguyễn Thu Thảo; Lê Ngọc Bảo Trâm")</f>
        <v>Lý Huyền Quỳnh Đoan; Nguyễn Thu Thảo; Lê Ngọc Bảo Trâm</v>
      </c>
      <c r="E34" s="4" t="str">
        <f>IFERROR(__xludf.DUMMYFUNCTION("""COMPUTED_VALUE"""),"Trường Đại học Đà Lạt")</f>
        <v>Trường Đại học Đà Lạt</v>
      </c>
      <c r="F34" s="4" t="str">
        <f>IFERROR(__xludf.DUMMYFUNCTION("""COMPUTED_VALUE"""),"HH2026-033.png")</f>
        <v>HH2026-033.png</v>
      </c>
    </row>
    <row r="35">
      <c r="A35" s="4" t="str">
        <f>IFERROR(__xludf.DUMMYFUNCTION("""COMPUTED_VALUE"""),"HH2026-034")</f>
        <v>HH2026-034</v>
      </c>
      <c r="B35" s="4" t="str">
        <f>IFERROR(__xludf.DUMMYFUNCTION("""COMPUTED_VALUE"""),"Hóa học")</f>
        <v>Hóa học</v>
      </c>
      <c r="C35" s="4" t="str">
        <f>IFERROR(__xludf.DUMMYFUNCTION("""COMPUTED_VALUE"""),"NÂNG CAO NĂNG LỰC SỐ CHO GIÁO VIÊN THÔNG QUA DẠY HỌC PHẦN CHẤT VÀ SỰ BIẾN ĐỔI CỦA CHẤT MÔN KHOA HỌC TỰ NHIÊN LỚP 9")</f>
        <v>NÂNG CAO NĂNG LỰC SỐ CHO GIÁO VIÊN THÔNG QUA DẠY HỌC PHẦN CHẤT VÀ SỰ BIẾN ĐỔI CỦA CHẤT MÔN KHOA HỌC TỰ NHIÊN LỚP 9</v>
      </c>
      <c r="D35" s="4" t="str">
        <f>IFERROR(__xludf.DUMMYFUNCTION("""COMPUTED_VALUE"""),"Nguyễn Nhật Linh; Nguyễn Thị Anh Thư")</f>
        <v>Nguyễn Nhật Linh; Nguyễn Thị Anh Thư</v>
      </c>
      <c r="E35" s="4" t="str">
        <f>IFERROR(__xludf.DUMMYFUNCTION("""COMPUTED_VALUE"""),"Trường Đại học Sư phạm Hà Nội")</f>
        <v>Trường Đại học Sư phạm Hà Nội</v>
      </c>
      <c r="F35" s="4" t="str">
        <f>IFERROR(__xludf.DUMMYFUNCTION("""COMPUTED_VALUE"""),"HH2026-034.png")</f>
        <v>HH2026-034.png</v>
      </c>
    </row>
    <row r="36">
      <c r="A36" s="4" t="str">
        <f>IFERROR(__xludf.DUMMYFUNCTION("""COMPUTED_VALUE"""),"HH2026-035")</f>
        <v>HH2026-035</v>
      </c>
      <c r="B36" s="4" t="str">
        <f>IFERROR(__xludf.DUMMYFUNCTION("""COMPUTED_VALUE"""),"Hóa học")</f>
        <v>Hóa học</v>
      </c>
      <c r="C36" s="4" t="str">
        <f>IFERROR(__xludf.DUMMYFUNCTION("""COMPUTED_VALUE"""),"Nghiên cứu quy trình tách lignin từ xơ dừa (Cocos nucifera L.) bằng dung môi eutectic sâu (DES) ứng dụng trong gạc kháng khuẩn")</f>
        <v>Nghiên cứu quy trình tách lignin từ xơ dừa (Cocos nucifera L.) bằng dung môi eutectic sâu (DES) ứng dụng trong gạc kháng khuẩn</v>
      </c>
      <c r="D36" s="4" t="str">
        <f>IFERROR(__xludf.DUMMYFUNCTION("""COMPUTED_VALUE"""),"Trương Đạt Khang; Đỗ Ái Phương Ngọc; Nguyễn Thành Nhân")</f>
        <v>Trương Đạt Khang; Đỗ Ái Phương Ngọc; Nguyễn Thành Nhân</v>
      </c>
      <c r="E36" s="4" t="str">
        <f>IFERROR(__xludf.DUMMYFUNCTION("""COMPUTED_VALUE"""),"Trường Đại học Công Thương TP. Hồ Chí Minh")</f>
        <v>Trường Đại học Công Thương TP. Hồ Chí Minh</v>
      </c>
      <c r="F36" s="4" t="str">
        <f>IFERROR(__xludf.DUMMYFUNCTION("""COMPUTED_VALUE"""),"HH2026-035.png")</f>
        <v>HH2026-035.png</v>
      </c>
    </row>
    <row r="37">
      <c r="A37" s="4" t="str">
        <f>IFERROR(__xludf.DUMMYFUNCTION("""COMPUTED_VALUE"""),"HH2026-036")</f>
        <v>HH2026-036</v>
      </c>
      <c r="B37" s="4" t="str">
        <f>IFERROR(__xludf.DUMMYFUNCTION("""COMPUTED_VALUE"""),"Hóa học")</f>
        <v>Hóa học</v>
      </c>
      <c r="C37" s="4" t="str">
        <f>IFERROR(__xludf.DUMMYFUNCTION("""COMPUTED_VALUE"""),"Tối ưu quy trình chiết cao giàu chlorogenic acid từ lá dương xỉ (Polypodium Leucotomos) ứng dụng phối trộn kem chống nắng")</f>
        <v>Tối ưu quy trình chiết cao giàu chlorogenic acid từ lá dương xỉ (Polypodium Leucotomos) ứng dụng phối trộn kem chống nắng</v>
      </c>
      <c r="D37" s="4" t="str">
        <f>IFERROR(__xludf.DUMMYFUNCTION("""COMPUTED_VALUE"""),"Phạm Thị Phương Trang; Nguyễn Thị Tình; Hồng Minh Anh; Đỗ Ngọc Nhân; Nguyễn Thị Kim Hạnh")</f>
        <v>Phạm Thị Phương Trang; Nguyễn Thị Tình; Hồng Minh Anh; Đỗ Ngọc Nhân; Nguyễn Thị Kim Hạnh</v>
      </c>
      <c r="E37" s="4" t="str">
        <f>IFERROR(__xludf.DUMMYFUNCTION("""COMPUTED_VALUE"""),"Trường Đại học Công Thương TP. Hồ Chí Minh")</f>
        <v>Trường Đại học Công Thương TP. Hồ Chí Minh</v>
      </c>
      <c r="F37" s="4" t="str">
        <f>IFERROR(__xludf.DUMMYFUNCTION("""COMPUTED_VALUE"""),"HH2026-036.png")</f>
        <v>HH2026-036.png</v>
      </c>
    </row>
    <row r="38">
      <c r="A38" s="4" t="str">
        <f>IFERROR(__xludf.DUMMYFUNCTION("""COMPUTED_VALUE"""),"HH2026-037")</f>
        <v>HH2026-037</v>
      </c>
      <c r="B38" s="4" t="str">
        <f>IFERROR(__xludf.DUMMYFUNCTION("""COMPUTED_VALUE"""),"Hóa học")</f>
        <v>Hóa học</v>
      </c>
      <c r="C38" s="4" t="str">
        <f>IFERROR(__xludf.DUMMYFUNCTION("""COMPUTED_VALUE"""),"Nghiên cứu thành phần hóa học của cao chiết cây chổi sể Baeckea frutescens L. bằng sắc ký khối phổ GC-MS và molecular docking")</f>
        <v>Nghiên cứu thành phần hóa học của cao chiết cây chổi sể Baeckea frutescens L. bằng sắc ký khối phổ GC-MS và molecular docking</v>
      </c>
      <c r="D38" s="4" t="str">
        <f>IFERROR(__xludf.DUMMYFUNCTION("""COMPUTED_VALUE"""),"Phan Thị Kiều Diễm; Nguyễn Hoàng Khang; Mai Mỹ Đình")</f>
        <v>Phan Thị Kiều Diễm; Nguyễn Hoàng Khang; Mai Mỹ Đình</v>
      </c>
      <c r="E38" s="4" t="str">
        <f>IFERROR(__xludf.DUMMYFUNCTION("""COMPUTED_VALUE"""),"Trường Đại học Công Thương TP. Hồ Chí Minh")</f>
        <v>Trường Đại học Công Thương TP. Hồ Chí Minh</v>
      </c>
      <c r="F38" s="4" t="str">
        <f>IFERROR(__xludf.DUMMYFUNCTION("""COMPUTED_VALUE"""),"HH2026-037.png")</f>
        <v>HH2026-037.png</v>
      </c>
    </row>
    <row r="39">
      <c r="A39" s="4" t="str">
        <f>IFERROR(__xludf.DUMMYFUNCTION("""COMPUTED_VALUE"""),"HH2026-038")</f>
        <v>HH2026-038</v>
      </c>
      <c r="B39" s="4" t="str">
        <f>IFERROR(__xludf.DUMMYFUNCTION("""COMPUTED_VALUE"""),"Hóa học")</f>
        <v>Hóa học</v>
      </c>
      <c r="C39" s="4" t="str">
        <f>IFERROR(__xludf.DUMMYFUNCTION("""COMPUTED_VALUE"""),"TỔNG HỢP VÀ KHẢO SÁT HOẠT TÍNH KHÁNG KHUẨN, KHÁNG NẤM CỦA CÁC DẪN CHẤT IMIDAZO[4,5-f]QUINOLIN")</f>
        <v>TỔNG HỢP VÀ KHẢO SÁT HOẠT TÍNH KHÁNG KHUẨN, KHÁNG NẤM CỦA CÁC DẪN CHẤT IMIDAZO[4,5-f]QUINOLIN</v>
      </c>
      <c r="D39" s="4" t="str">
        <f>IFERROR(__xludf.DUMMYFUNCTION("""COMPUTED_VALUE"""),"Trần Nguyễn Như Ý; Nguyễn Nhật Minh; Nguyễn Quý Huy")</f>
        <v>Trần Nguyễn Như Ý; Nguyễn Nhật Minh; Nguyễn Quý Huy</v>
      </c>
      <c r="E39" s="4" t="str">
        <f>IFERROR(__xludf.DUMMYFUNCTION("""COMPUTED_VALUE"""),"Đại học Y Dược TP. Hồ Chí Minh")</f>
        <v>Đại học Y Dược TP. Hồ Chí Minh</v>
      </c>
      <c r="F39" s="4" t="str">
        <f>IFERROR(__xludf.DUMMYFUNCTION("""COMPUTED_VALUE"""),"HH2026-038.png")</f>
        <v>HH2026-038.png</v>
      </c>
    </row>
    <row r="40">
      <c r="A40" s="4" t="str">
        <f>IFERROR(__xludf.DUMMYFUNCTION("""COMPUTED_VALUE"""),"HH2026-039")</f>
        <v>HH2026-039</v>
      </c>
      <c r="B40" s="4" t="str">
        <f>IFERROR(__xludf.DUMMYFUNCTION("""COMPUTED_VALUE"""),"Hóa học")</f>
        <v>Hóa học</v>
      </c>
      <c r="C40" s="4" t="str">
        <f>IFERROR(__xludf.DUMMYFUNCTION("""COMPUTED_VALUE"""),"Chế tạo sợi nhựa in 3D sinh học từ Polylactic (acid) tái chế và cellulose từ thân cây bắp")</f>
        <v>Chế tạo sợi nhựa in 3D sinh học từ Polylactic (acid) tái chế và cellulose từ thân cây bắp</v>
      </c>
      <c r="D40" s="4" t="str">
        <f>IFERROR(__xludf.DUMMYFUNCTION("""COMPUTED_VALUE"""),"Nguyễn Gia Khánh; Vũ Đức Lộc; Võ Hữu Nghĩa")</f>
        <v>Nguyễn Gia Khánh; Vũ Đức Lộc; Võ Hữu Nghĩa</v>
      </c>
      <c r="E40" s="4" t="str">
        <f>IFERROR(__xludf.DUMMYFUNCTION("""COMPUTED_VALUE"""),"Trường Đại học Công nghệ Kỹ thuật TP. Hồ Chí Minh")</f>
        <v>Trường Đại học Công nghệ Kỹ thuật TP. Hồ Chí Minh</v>
      </c>
      <c r="F40" s="4" t="str">
        <f>IFERROR(__xludf.DUMMYFUNCTION("""COMPUTED_VALUE"""),"HH2026-039.png")</f>
        <v>HH2026-039.png</v>
      </c>
    </row>
    <row r="41">
      <c r="A41" s="4" t="str">
        <f>IFERROR(__xludf.DUMMYFUNCTION("""COMPUTED_VALUE"""),"HH2026-040")</f>
        <v>HH2026-040</v>
      </c>
      <c r="B41" s="4" t="str">
        <f>IFERROR(__xludf.DUMMYFUNCTION("""COMPUTED_VALUE"""),"Hóa học")</f>
        <v>Hóa học</v>
      </c>
      <c r="C41" s="4" t="str">
        <f>IFERROR(__xludf.DUMMYFUNCTION("""COMPUTED_VALUE"""),"THU NHẬN CÁC HỢP CHẤT SINH HỌC TỪ QUẢ SUNG (FICUS RACEMOSA L.) BẰNG HỆ LƯỠNG PHA, ĐÁNH GIÁ HOẠT TÍNH VÀ TIỀM NĂNG ỨC CHẾ ENZYME CHUYỂN HÓA CARBOHYDRATE")</f>
        <v>THU NHẬN CÁC HỢP CHẤT SINH HỌC TỪ QUẢ SUNG (FICUS RACEMOSA L.) BẰNG HỆ LƯỠNG PHA, ĐÁNH GIÁ HOẠT TÍNH VÀ TIỀM NĂNG ỨC CHẾ ENZYME CHUYỂN HÓA CARBOHYDRATE</v>
      </c>
      <c r="D41" s="4" t="str">
        <f>IFERROR(__xludf.DUMMYFUNCTION("""COMPUTED_VALUE"""),"Phan Thị Yến Quỳnh; Nguyễn Hồ Tá; Đào Minh Kha; Lê Quốc Anh")</f>
        <v>Phan Thị Yến Quỳnh; Nguyễn Hồ Tá; Đào Minh Kha; Lê Quốc Anh</v>
      </c>
      <c r="E41" s="4" t="str">
        <f>IFERROR(__xludf.DUMMYFUNCTION("""COMPUTED_VALUE"""),"Trường Đại học Nông Lâm TP. Hồ Chí Minh")</f>
        <v>Trường Đại học Nông Lâm TP. Hồ Chí Minh</v>
      </c>
      <c r="F41" s="4" t="str">
        <f>IFERROR(__xludf.DUMMYFUNCTION("""COMPUTED_VALUE"""),"HH2026-040.png")</f>
        <v>HH2026-040.png</v>
      </c>
    </row>
    <row r="42">
      <c r="A42" s="4" t="str">
        <f>IFERROR(__xludf.DUMMYFUNCTION("""COMPUTED_VALUE"""),"HH2026-041")</f>
        <v>HH2026-041</v>
      </c>
      <c r="B42" s="4" t="str">
        <f>IFERROR(__xludf.DUMMYFUNCTION("""COMPUTED_VALUE"""),"Hóa học")</f>
        <v>Hóa học</v>
      </c>
      <c r="C42" s="4" t="str">
        <f>IFERROR(__xludf.DUMMYFUNCTION("""COMPUTED_VALUE"""),"Biodegradation of thiamethoxam by bacteria isolated from agricultural soil")</f>
        <v>Biodegradation of thiamethoxam by bacteria isolated from agricultural soil</v>
      </c>
      <c r="D42" s="4" t="str">
        <f>IFERROR(__xludf.DUMMYFUNCTION("""COMPUTED_VALUE"""),"Ngô Nguyễn Phúc Trí; Nguyễn Viễn Chí; Nguyễn Văn Hiếu")</f>
        <v>Ngô Nguyễn Phúc Trí; Nguyễn Viễn Chí; Nguyễn Văn Hiếu</v>
      </c>
      <c r="E42" s="4" t="str">
        <f>IFERROR(__xludf.DUMMYFUNCTION("""COMPUTED_VALUE"""),"Trường Đại học Nông Lâm TP. Hồ Chí Minh")</f>
        <v>Trường Đại học Nông Lâm TP. Hồ Chí Minh</v>
      </c>
      <c r="F42" s="4" t="str">
        <f>IFERROR(__xludf.DUMMYFUNCTION("""COMPUTED_VALUE"""),"HH2026-041.png")</f>
        <v>HH2026-041.png</v>
      </c>
    </row>
    <row r="43">
      <c r="A43" s="4" t="str">
        <f>IFERROR(__xludf.DUMMYFUNCTION("""COMPUTED_VALUE"""),"HH2026-042")</f>
        <v>HH2026-042</v>
      </c>
      <c r="B43" s="4" t="str">
        <f>IFERROR(__xludf.DUMMYFUNCTION("""COMPUTED_VALUE"""),"Hóa học")</f>
        <v>Hóa học</v>
      </c>
      <c r="C43" s="4" t="str">
        <f>IFERROR(__xludf.DUMMYFUNCTION("""COMPUTED_VALUE"""),"CÔNG NGHỆ CHUYỂN HÓA CELLULOSE VI KHUẨN THÀNH VẬT LIỆU BIOCHAR ỨNG DỤNG HẤP PHỤ HIỆU QUẢ MÀU VÀNG O TRONG NƯỚC")</f>
        <v>CÔNG NGHỆ CHUYỂN HÓA CELLULOSE VI KHUẨN THÀNH VẬT LIỆU BIOCHAR ỨNG DỤNG HẤP PHỤ HIỆU QUẢ MÀU VÀNG O TRONG NƯỚC</v>
      </c>
      <c r="D43" s="4" t="str">
        <f>IFERROR(__xludf.DUMMYFUNCTION("""COMPUTED_VALUE"""),"Nguyễn Huy Hiệp; Phạm Nam Anh; Trần Huỳnh Mai Khanh; Trần Gia Mẫn; Trần Anh Khôi")</f>
        <v>Nguyễn Huy Hiệp; Phạm Nam Anh; Trần Huỳnh Mai Khanh; Trần Gia Mẫn; Trần Anh Khôi</v>
      </c>
      <c r="E43" s="4" t="str">
        <f>IFERROR(__xludf.DUMMYFUNCTION("""COMPUTED_VALUE"""),"Trường Đại học Bách Khoa, ĐHQG-HCM")</f>
        <v>Trường Đại học Bách Khoa, ĐHQG-HCM</v>
      </c>
      <c r="F43" s="4" t="str">
        <f>IFERROR(__xludf.DUMMYFUNCTION("""COMPUTED_VALUE"""),"HH2026-042.png")</f>
        <v>HH2026-042.png</v>
      </c>
    </row>
    <row r="44">
      <c r="A44" s="4" t="str">
        <f>IFERROR(__xludf.DUMMYFUNCTION("""COMPUTED_VALUE"""),"HH2026-043")</f>
        <v>HH2026-043</v>
      </c>
      <c r="B44" s="4" t="str">
        <f>IFERROR(__xludf.DUMMYFUNCTION("""COMPUTED_VALUE"""),"Hóa học")</f>
        <v>Hóa học</v>
      </c>
      <c r="C44" s="4" t="str">
        <f>IFERROR(__xludf.DUMMYFUNCTION("""COMPUTED_VALUE"""),"Nghiên cứu trích ly tinh dầu, cao chiết giàu polyphenol từ củ xá kén (Kaempferia galanga L.) và định hướng ứng dụng vào sản phẩm gel dưỡng da")</f>
        <v>Nghiên cứu trích ly tinh dầu, cao chiết giàu polyphenol từ củ xá kén (Kaempferia galanga L.) và định hướng ứng dụng vào sản phẩm gel dưỡng da</v>
      </c>
      <c r="D44" s="4" t="str">
        <f>IFERROR(__xludf.DUMMYFUNCTION("""COMPUTED_VALUE"""),"Mai Như Ngọc; Phạm Phan Hồng Mỹ; Cao Thị Anh Thư; Nguyễn Quốc Đại")</f>
        <v>Mai Như Ngọc; Phạm Phan Hồng Mỹ; Cao Thị Anh Thư; Nguyễn Quốc Đại</v>
      </c>
      <c r="E44" s="4" t="str">
        <f>IFERROR(__xludf.DUMMYFUNCTION("""COMPUTED_VALUE"""),"Trường Đại học Công Thương TP. Hồ Chí Minh")</f>
        <v>Trường Đại học Công Thương TP. Hồ Chí Minh</v>
      </c>
      <c r="F44" s="4" t="str">
        <f>IFERROR(__xludf.DUMMYFUNCTION("""COMPUTED_VALUE"""),"HH2026-043.png")</f>
        <v>HH2026-043.png</v>
      </c>
    </row>
    <row r="45">
      <c r="A45" s="4" t="str">
        <f>IFERROR(__xludf.DUMMYFUNCTION("""COMPUTED_VALUE"""),"HH2026-044")</f>
        <v>HH2026-044</v>
      </c>
      <c r="B45" s="4" t="str">
        <f>IFERROR(__xludf.DUMMYFUNCTION("""COMPUTED_VALUE"""),"Hóa học")</f>
        <v>Hóa học</v>
      </c>
      <c r="C45" s="4" t="str">
        <f>IFERROR(__xludf.DUMMYFUNCTION("""COMPUTED_VALUE"""),"Tăng cường khả năng tạo xương của gốm sinh học canxi phosphat hai pha thông qua phương pháp pha tạp ion kim loại")</f>
        <v>Tăng cường khả năng tạo xương của gốm sinh học canxi phosphat hai pha thông qua phương pháp pha tạp ion kim loại</v>
      </c>
      <c r="D45" s="4" t="str">
        <f>IFERROR(__xludf.DUMMYFUNCTION("""COMPUTED_VALUE"""),"Nguyễn Trần Trâm Anh; Nguyễn Vân Anh")</f>
        <v>Nguyễn Trần Trâm Anh; Nguyễn Vân Anh</v>
      </c>
      <c r="E45" s="4" t="str">
        <f>IFERROR(__xludf.DUMMYFUNCTION("""COMPUTED_VALUE"""),"Trường Đại học Khoa học Tự nhiên, ĐHQG-HCM")</f>
        <v>Trường Đại học Khoa học Tự nhiên, ĐHQG-HCM</v>
      </c>
      <c r="F45" s="4" t="str">
        <f>IFERROR(__xludf.DUMMYFUNCTION("""COMPUTED_VALUE"""),"HH2026-044.png")</f>
        <v>HH2026-044.png</v>
      </c>
    </row>
    <row r="46">
      <c r="A46" s="4" t="str">
        <f>IFERROR(__xludf.DUMMYFUNCTION("""COMPUTED_VALUE"""),"HH2026-045")</f>
        <v>HH2026-045</v>
      </c>
      <c r="B46" s="4" t="str">
        <f>IFERROR(__xludf.DUMMYFUNCTION("""COMPUTED_VALUE"""),"Hóa học")</f>
        <v>Hóa học</v>
      </c>
      <c r="C46" s="4" t="str">
        <f>IFERROR(__xludf.DUMMYFUNCTION("""COMPUTED_VALUE"""),"NGHIÊN CỨU CHẾ TẠO HỆ PHÂN TÁN TINH THỂ LỎNG LYOTROPIC VI BAO DỊCH CHIẾT CỎ MỰC GIÀU WEDELOLACTONE ĐỊNH HƯỚNG ỨNG DỤNG TRONG CHẾ PHẨM ĐƯỜNG UỐNG")</f>
        <v>NGHIÊN CỨU CHẾ TẠO HỆ PHÂN TÁN TINH THỂ LỎNG LYOTROPIC VI BAO DỊCH CHIẾT CỎ MỰC GIÀU WEDELOLACTONE ĐỊNH HƯỚNG ỨNG DỤNG TRONG CHẾ PHẨM ĐƯỜNG UỐNG</v>
      </c>
      <c r="D46" s="4" t="str">
        <f>IFERROR(__xludf.DUMMYFUNCTION("""COMPUTED_VALUE"""),"Nguyễn Võ Phương Khoa")</f>
        <v>Nguyễn Võ Phương Khoa</v>
      </c>
      <c r="E46" s="4" t="str">
        <f>IFERROR(__xludf.DUMMYFUNCTION("""COMPUTED_VALUE"""),"Trường Đại học Nông Lâm TP. Hồ Chí Minh")</f>
        <v>Trường Đại học Nông Lâm TP. Hồ Chí Minh</v>
      </c>
      <c r="F46" s="4" t="str">
        <f>IFERROR(__xludf.DUMMYFUNCTION("""COMPUTED_VALUE"""),"HH2026-045.png")</f>
        <v>HH2026-045.png</v>
      </c>
    </row>
    <row r="47">
      <c r="A47" s="4" t="str">
        <f>IFERROR(__xludf.DUMMYFUNCTION("""COMPUTED_VALUE"""),"HH2026-046")</f>
        <v>HH2026-046</v>
      </c>
      <c r="B47" s="4" t="str">
        <f>IFERROR(__xludf.DUMMYFUNCTION("""COMPUTED_VALUE"""),"Hóa học")</f>
        <v>Hóa học</v>
      </c>
      <c r="C47" s="4" t="str">
        <f>IFERROR(__xludf.DUMMYFUNCTION("""COMPUTED_VALUE"""),"Tận dụng xương cá chế tạo chất mang cho xúc tác Nickel để xử lý chất ô nhiễm và chuyển hoá khí nhà kính carbon dioxide thành khí nhiên liệu")</f>
        <v>Tận dụng xương cá chế tạo chất mang cho xúc tác Nickel để xử lý chất ô nhiễm và chuyển hoá khí nhà kính carbon dioxide thành khí nhiên liệu</v>
      </c>
      <c r="D47" s="4" t="str">
        <f>IFERROR(__xludf.DUMMYFUNCTION("""COMPUTED_VALUE"""),"Lử Ngọc Hân; Vũ Trần Nguyên Khang; Lê Quang Trí")</f>
        <v>Lử Ngọc Hân; Vũ Trần Nguyên Khang; Lê Quang Trí</v>
      </c>
      <c r="E47" s="4" t="str">
        <f>IFERROR(__xludf.DUMMYFUNCTION("""COMPUTED_VALUE"""),"Trường Đại học Tôn Đức Thắng")</f>
        <v>Trường Đại học Tôn Đức Thắng</v>
      </c>
      <c r="F47" s="4" t="str">
        <f>IFERROR(__xludf.DUMMYFUNCTION("""COMPUTED_VALUE"""),"HH2026-046.png")</f>
        <v>HH2026-046.png</v>
      </c>
    </row>
    <row r="48">
      <c r="A48" s="4" t="str">
        <f>IFERROR(__xludf.DUMMYFUNCTION("""COMPUTED_VALUE"""),"HH2026-047")</f>
        <v>HH2026-047</v>
      </c>
      <c r="B48" s="4" t="str">
        <f>IFERROR(__xludf.DUMMYFUNCTION("""COMPUTED_VALUE"""),"Hóa học")</f>
        <v>Hóa học</v>
      </c>
      <c r="C48" s="4" t="str">
        <f>IFERROR(__xludf.DUMMYFUNCTION("""COMPUTED_VALUE"""),"Thiết kế hệ đồng xúc tác acid Lewis – phức kim loại chuyển tiếp phosphine cho quá trình hoạt hóa CO₂ bằng phương pháp hóa học tính toán.")</f>
        <v>Thiết kế hệ đồng xúc tác acid Lewis – phức kim loại chuyển tiếp phosphine cho quá trình hoạt hóa CO₂ bằng phương pháp hóa học tính toán.</v>
      </c>
      <c r="D48" s="4" t="str">
        <f>IFERROR(__xludf.DUMMYFUNCTION("""COMPUTED_VALUE"""),"Phan Huỳnh Ngọc Anh; Đặng Bảo Ngọc; Nguyễn Thị Hồng Nhung")</f>
        <v>Phan Huỳnh Ngọc Anh; Đặng Bảo Ngọc; Nguyễn Thị Hồng Nhung</v>
      </c>
      <c r="E48" s="4" t="str">
        <f>IFERROR(__xludf.DUMMYFUNCTION("""COMPUTED_VALUE"""),"Trường Đại học Sư phạm, Đại học Đà Nẵng")</f>
        <v>Trường Đại học Sư phạm, Đại học Đà Nẵng</v>
      </c>
      <c r="F48" s="4" t="str">
        <f>IFERROR(__xludf.DUMMYFUNCTION("""COMPUTED_VALUE"""),"HH2026-047.png")</f>
        <v>HH2026-047.png</v>
      </c>
    </row>
    <row r="49">
      <c r="A49" s="4" t="str">
        <f>IFERROR(__xludf.DUMMYFUNCTION("""COMPUTED_VALUE"""),"HH2026-048")</f>
        <v>HH2026-048</v>
      </c>
      <c r="B49" s="4" t="str">
        <f>IFERROR(__xludf.DUMMYFUNCTION("""COMPUTED_VALUE"""),"Hóa học")</f>
        <v>Hóa học</v>
      </c>
      <c r="C49" s="4" t="str">
        <f>IFERROR(__xludf.DUMMYFUNCTION("""COMPUTED_VALUE"""),"Tổng hợp vật liệu khung hữu cơ kim loại ZIF–68 định hướng làm hệ mang thuốc curcumin hiệu quả hỗ trợ điều trị ung thư trong điều kiện In Vitro")</f>
        <v>Tổng hợp vật liệu khung hữu cơ kim loại ZIF–68 định hướng làm hệ mang thuốc curcumin hiệu quả hỗ trợ điều trị ung thư trong điều kiện In Vitro</v>
      </c>
      <c r="D49" s="4" t="str">
        <f>IFERROR(__xludf.DUMMYFUNCTION("""COMPUTED_VALUE"""),"Nguyễn Bá Duy; Trần Bích Phương; Lương Thị Ngọc Quỳnh; Huỳnh Ngọc Việt")</f>
        <v>Nguyễn Bá Duy; Trần Bích Phương; Lương Thị Ngọc Quỳnh; Huỳnh Ngọc Việt</v>
      </c>
      <c r="E49" s="4" t="str">
        <f>IFERROR(__xludf.DUMMYFUNCTION("""COMPUTED_VALUE"""),"Trường Đại học Sư phạm TP. Hồ Chí Minh")</f>
        <v>Trường Đại học Sư phạm TP. Hồ Chí Minh</v>
      </c>
      <c r="F49" s="4" t="str">
        <f>IFERROR(__xludf.DUMMYFUNCTION("""COMPUTED_VALUE"""),"HH2026-048.png")</f>
        <v>HH2026-048.png</v>
      </c>
    </row>
    <row r="50">
      <c r="A50" s="4" t="str">
        <f>IFERROR(__xludf.DUMMYFUNCTION("""COMPUTED_VALUE"""),"HH2026-049")</f>
        <v>HH2026-049</v>
      </c>
      <c r="B50" s="4" t="str">
        <f>IFERROR(__xludf.DUMMYFUNCTION("""COMPUTED_VALUE"""),"Hóa học")</f>
        <v>Hóa học</v>
      </c>
      <c r="C50" s="4" t="str">
        <f>IFERROR(__xludf.DUMMYFUNCTION("""COMPUTED_VALUE"""),"TỔNG HỢP VẬT LIỆU Ag/ZIF-8 HIỆU NĂNG CAO ỨNG DỤNG TRONG PHÂN TÍCH LƯỢNG VẾT THIABENDAZOLE VÀ RHODAMINE 6G KHÓ PHÂN HỦY TRONG MÔI TRƯỜNG BẰNG PHƯƠNG PHÁP TĂNG CƯỜNG TÁN XẠ RAMAN (SERS)")</f>
        <v>TỔNG HỢP VẬT LIỆU Ag/ZIF-8 HIỆU NĂNG CAO ỨNG DỤNG TRONG PHÂN TÍCH LƯỢNG VẾT THIABENDAZOLE VÀ RHODAMINE 6G KHÓ PHÂN HỦY TRONG MÔI TRƯỜNG BẰNG PHƯƠNG PHÁP TĂNG CƯỜNG TÁN XẠ RAMAN (SERS)</v>
      </c>
      <c r="D50" s="4" t="str">
        <f>IFERROR(__xludf.DUMMYFUNCTION("""COMPUTED_VALUE"""),"Phan Nguyễn Khang Duy; Trịnh Như Bảo; Trần Thị Nhi")</f>
        <v>Phan Nguyễn Khang Duy; Trịnh Như Bảo; Trần Thị Nhi</v>
      </c>
      <c r="E50" s="4" t="str">
        <f>IFERROR(__xludf.DUMMYFUNCTION("""COMPUTED_VALUE"""),"Trường Đại học Khoa học Tự nhiên, ĐHQG-HCM")</f>
        <v>Trường Đại học Khoa học Tự nhiên, ĐHQG-HCM</v>
      </c>
      <c r="F50" s="4" t="str">
        <f>IFERROR(__xludf.DUMMYFUNCTION("""COMPUTED_VALUE"""),"HH2026-049.png")</f>
        <v>HH2026-049.png</v>
      </c>
    </row>
    <row r="51">
      <c r="A51" s="4" t="str">
        <f>IFERROR(__xludf.DUMMYFUNCTION("""COMPUTED_VALUE"""),"HH2026-050")</f>
        <v>HH2026-050</v>
      </c>
      <c r="B51" s="4" t="str">
        <f>IFERROR(__xludf.DUMMYFUNCTION("""COMPUTED_VALUE"""),"Hóa học")</f>
        <v>Hóa học</v>
      </c>
      <c r="C51" s="4" t="str">
        <f>IFERROR(__xludf.DUMMYFUNCTION("""COMPUTED_VALUE"""),"NGHIÊN CỨU KỸ THUẬT THAY ĐỔI ĐIỆN TÍCH BỀ MẶT VẬT LIỆU SILICA MAO QUẢN TRUNG BÌNH KIT-6 ĐỂ CẢI THIỆN QUÁ TRÌNH HẤP PHỤ CHROMIUM(VI) TRONG NƯỚC")</f>
        <v>NGHIÊN CỨU KỸ THUẬT THAY ĐỔI ĐIỆN TÍCH BỀ MẶT VẬT LIỆU SILICA MAO QUẢN TRUNG BÌNH KIT-6 ĐỂ CẢI THIỆN QUÁ TRÌNH HẤP PHỤ CHROMIUM(VI) TRONG NƯỚC</v>
      </c>
      <c r="D51" s="4" t="str">
        <f>IFERROR(__xludf.DUMMYFUNCTION("""COMPUTED_VALUE"""),"Lưu Nguyễn Việt Hoàng; Hoàng Thị Diệp Sương; Trần Văn Khôi Nguyên; Nguyễn Đăng Khoa; Đinh Thị Ngọc Ninh")</f>
        <v>Lưu Nguyễn Việt Hoàng; Hoàng Thị Diệp Sương; Trần Văn Khôi Nguyên; Nguyễn Đăng Khoa; Đinh Thị Ngọc Ninh</v>
      </c>
      <c r="E51" s="4" t="str">
        <f>IFERROR(__xludf.DUMMYFUNCTION("""COMPUTED_VALUE"""),"Trường Đại học Bách Khoa, ĐHQG-HCM")</f>
        <v>Trường Đại học Bách Khoa, ĐHQG-HCM</v>
      </c>
      <c r="F51" s="4" t="str">
        <f>IFERROR(__xludf.DUMMYFUNCTION("""COMPUTED_VALUE"""),"HH2026-050.png")</f>
        <v>HH2026-050.png</v>
      </c>
    </row>
    <row r="52">
      <c r="A52" s="4" t="str">
        <f>IFERROR(__xludf.DUMMYFUNCTION("""COMPUTED_VALUE"""),"HH2026-051")</f>
        <v>HH2026-051</v>
      </c>
      <c r="B52" s="4" t="str">
        <f>IFERROR(__xludf.DUMMYFUNCTION("""COMPUTED_VALUE"""),"Hóa học")</f>
        <v>Hóa học</v>
      </c>
      <c r="C52" s="4" t="str">
        <f>IFERROR(__xludf.DUMMYFUNCTION("""COMPUTED_VALUE"""),"TỔNG HỢP VẬT LIỆU COMPOSITE CoWO4/CDs/NF TỪ VỎ KHOAI MÌ ỨNG DỤNG CHO PHẢN ỨNG ĐIỆN HÓA TÁCH HYDROGEN")</f>
        <v>TỔNG HỢP VẬT LIỆU COMPOSITE CoWO4/CDs/NF TỪ VỎ KHOAI MÌ ỨNG DỤNG CHO PHẢN ỨNG ĐIỆN HÓA TÁCH HYDROGEN</v>
      </c>
      <c r="D52" s="4" t="str">
        <f>IFERROR(__xludf.DUMMYFUNCTION("""COMPUTED_VALUE"""),"Chu Văn Long Vũ; Nguyễn Tô Thanh Duyên; Nguyễn Thục An; Trần Nguyên Vũ")</f>
        <v>Chu Văn Long Vũ; Nguyễn Tô Thanh Duyên; Nguyễn Thục An; Trần Nguyên Vũ</v>
      </c>
      <c r="E52" s="4" t="str">
        <f>IFERROR(__xludf.DUMMYFUNCTION("""COMPUTED_VALUE"""),"Trường Đại học Bách Khoa, ĐHQG-HCM")</f>
        <v>Trường Đại học Bách Khoa, ĐHQG-HCM</v>
      </c>
      <c r="F52" s="4" t="str">
        <f>IFERROR(__xludf.DUMMYFUNCTION("""COMPUTED_VALUE"""),"HH2026-051.png")</f>
        <v>HH2026-051.png</v>
      </c>
    </row>
    <row r="53">
      <c r="A53" s="4" t="str">
        <f>IFERROR(__xludf.DUMMYFUNCTION("""COMPUTED_VALUE"""),"HH2026-052")</f>
        <v>HH2026-052</v>
      </c>
      <c r="B53" s="4" t="str">
        <f>IFERROR(__xludf.DUMMYFUNCTION("""COMPUTED_VALUE"""),"Hóa học")</f>
        <v>Hóa học</v>
      </c>
      <c r="C53" s="4" t="str">
        <f>IFERROR(__xludf.DUMMYFUNCTION("""COMPUTED_VALUE"""),"NGHIÊN CỨU TỔNG HỢP VÀ ỨNG DỤNG VẬT LIỆU KHUNG HỮU CƠ KIM LOẠI TÂM CERIUM (Ce-MOF-808) CHO QUÁ TRÌNH HẤP PHỤ ĐA DẠNG VÀ HIỆU QUẢ CÁC CHẤT MÀU HỮU CƠ TRONG NƯỚC")</f>
        <v>NGHIÊN CỨU TỔNG HỢP VÀ ỨNG DỤNG VẬT LIỆU KHUNG HỮU CƠ KIM LOẠI TÂM CERIUM (Ce-MOF-808) CHO QUÁ TRÌNH HẤP PHỤ ĐA DẠNG VÀ HIỆU QUẢ CÁC CHẤT MÀU HỮU CƠ TRONG NƯỚC</v>
      </c>
      <c r="D53" s="4" t="str">
        <f>IFERROR(__xludf.DUMMYFUNCTION("""COMPUTED_VALUE"""),"Đào Gia Bảo; Ngô Thành Đạt; Nguyễn Tấn Hưng; Phan Duy Trí; Nguyễn Đình Đại Phước")</f>
        <v>Đào Gia Bảo; Ngô Thành Đạt; Nguyễn Tấn Hưng; Phan Duy Trí; Nguyễn Đình Đại Phước</v>
      </c>
      <c r="E53" s="4" t="str">
        <f>IFERROR(__xludf.DUMMYFUNCTION("""COMPUTED_VALUE"""),"Trường Đại học Bách Khoa, ĐHQG-HCM")</f>
        <v>Trường Đại học Bách Khoa, ĐHQG-HCM</v>
      </c>
      <c r="F53" s="4" t="str">
        <f>IFERROR(__xludf.DUMMYFUNCTION("""COMPUTED_VALUE"""),"HH2026-052.png")</f>
        <v>HH2026-052.png</v>
      </c>
    </row>
    <row r="54">
      <c r="A54" s="4" t="str">
        <f>IFERROR(__xludf.DUMMYFUNCTION("""COMPUTED_VALUE"""),"HH2026-053")</f>
        <v>HH2026-053</v>
      </c>
      <c r="B54" s="4" t="str">
        <f>IFERROR(__xludf.DUMMYFUNCTION("""COMPUTED_VALUE"""),"Hóa học")</f>
        <v>Hóa học</v>
      </c>
      <c r="C54" s="4" t="str">
        <f>IFERROR(__xludf.DUMMYFUNCTION("""COMPUTED_VALUE"""),"Tổng hợp vật liệu UiO-68 và ứng dụng hấp phụ Cr(VI) trong nước")</f>
        <v>Tổng hợp vật liệu UiO-68 và ứng dụng hấp phụ Cr(VI) trong nước</v>
      </c>
      <c r="D54" s="4" t="str">
        <f>IFERROR(__xludf.DUMMYFUNCTION("""COMPUTED_VALUE"""),"Nguyễn Minh Thông")</f>
        <v>Nguyễn Minh Thông</v>
      </c>
      <c r="E54" s="4" t="str">
        <f>IFERROR(__xludf.DUMMYFUNCTION("""COMPUTED_VALUE"""),"Trường Đại học Sư phạm TP. Hồ Chí Minh")</f>
        <v>Trường Đại học Sư phạm TP. Hồ Chí Minh</v>
      </c>
      <c r="F54" s="4" t="str">
        <f>IFERROR(__xludf.DUMMYFUNCTION("""COMPUTED_VALUE"""),"HH2026-053.png")</f>
        <v>HH2026-053.png</v>
      </c>
    </row>
    <row r="55">
      <c r="A55" s="4" t="str">
        <f>IFERROR(__xludf.DUMMYFUNCTION("""COMPUTED_VALUE"""),"HH2026-054")</f>
        <v>HH2026-054</v>
      </c>
      <c r="B55" s="4" t="str">
        <f>IFERROR(__xludf.DUMMYFUNCTION("""COMPUTED_VALUE"""),"Hóa học")</f>
        <v>Hóa học</v>
      </c>
      <c r="C55" s="4" t="str">
        <f>IFERROR(__xludf.DUMMYFUNCTION("""COMPUTED_VALUE"""),"Nghiên cứu quy trình sản xuất dịch chiết từ trái vả (Ficus auriculata)")</f>
        <v>Nghiên cứu quy trình sản xuất dịch chiết từ trái vả (Ficus auriculata)</v>
      </c>
      <c r="D55" s="4" t="str">
        <f>IFERROR(__xludf.DUMMYFUNCTION("""COMPUTED_VALUE"""),"Phạm Thị Phương Linh; Lê Ngọc Như; Dương Lê Thảo Nguyên")</f>
        <v>Phạm Thị Phương Linh; Lê Ngọc Như; Dương Lê Thảo Nguyên</v>
      </c>
      <c r="E55" s="4" t="str">
        <f>IFERROR(__xludf.DUMMYFUNCTION("""COMPUTED_VALUE"""),"Trường Đại học Công Thương TP. Hồ Chí Minh")</f>
        <v>Trường Đại học Công Thương TP. Hồ Chí Minh</v>
      </c>
      <c r="F55" s="4" t="str">
        <f>IFERROR(__xludf.DUMMYFUNCTION("""COMPUTED_VALUE"""),"HH2026-054.png")</f>
        <v>HH2026-054.png</v>
      </c>
    </row>
    <row r="56">
      <c r="A56" s="4" t="str">
        <f>IFERROR(__xludf.DUMMYFUNCTION("""COMPUTED_VALUE"""),"HH2026-055")</f>
        <v>HH2026-055</v>
      </c>
      <c r="B56" s="4" t="str">
        <f>IFERROR(__xludf.DUMMYFUNCTION("""COMPUTED_VALUE"""),"Hóa học")</f>
        <v>Hóa học</v>
      </c>
      <c r="C56" s="4" t="str">
        <f>IFERROR(__xludf.DUMMYFUNCTION("""COMPUTED_VALUE"""),"Xây dựng và thẩm định quy trình định lượng cho cao chiết nước quả Nhàu (Morinda citrifolia L.) bằng phương pháp HPLC-PDA")</f>
        <v>Xây dựng và thẩm định quy trình định lượng cho cao chiết nước quả Nhàu (Morinda citrifolia L.) bằng phương pháp HPLC-PDA</v>
      </c>
      <c r="D56" s="4" t="str">
        <f>IFERROR(__xludf.DUMMYFUNCTION("""COMPUTED_VALUE"""),"Phạm Nguyễn Đức Minh; Tạ Đỗ Thành Nhân; Thái Thị Bảo Châu; Lê Trần Hải")</f>
        <v>Phạm Nguyễn Đức Minh; Tạ Đỗ Thành Nhân; Thái Thị Bảo Châu; Lê Trần Hải</v>
      </c>
      <c r="E56" s="4" t="str">
        <f>IFERROR(__xludf.DUMMYFUNCTION("""COMPUTED_VALUE"""),"Trường Đại học Quốc tế Hồng Bàng")</f>
        <v>Trường Đại học Quốc tế Hồng Bàng</v>
      </c>
      <c r="F56" s="4" t="str">
        <f>IFERROR(__xludf.DUMMYFUNCTION("""COMPUTED_VALUE"""),"HH2026-055.png")</f>
        <v>HH2026-055.png</v>
      </c>
    </row>
    <row r="57">
      <c r="A57" s="4" t="str">
        <f>IFERROR(__xludf.DUMMYFUNCTION("""COMPUTED_VALUE"""),"HH2026-056")</f>
        <v>HH2026-056</v>
      </c>
      <c r="B57" s="4" t="str">
        <f>IFERROR(__xludf.DUMMYFUNCTION("""COMPUTED_VALUE"""),"Hóa học")</f>
        <v>Hóa học</v>
      </c>
      <c r="C57" s="4" t="str">
        <f>IFERROR(__xludf.DUMMYFUNCTION("""COMPUTED_VALUE"""),"Phức chất Pt(II) chứa dẫn xuất 8-hydroxyquinoline và phosphine: Tổng hợp, cấu trúc, hoạt tính sinh học và xúc tác")</f>
        <v>Phức chất Pt(II) chứa dẫn xuất 8-hydroxyquinoline và phosphine: Tổng hợp, cấu trúc, hoạt tính sinh học và xúc tác</v>
      </c>
      <c r="D57" s="4" t="str">
        <f>IFERROR(__xludf.DUMMYFUNCTION("""COMPUTED_VALUE"""),"Đoàn Đức Hiếu; Quàng Thị Thủy; Nguyễn Thị Xuân; Trần Thị Minh Trang")</f>
        <v>Đoàn Đức Hiếu; Quàng Thị Thủy; Nguyễn Thị Xuân; Trần Thị Minh Trang</v>
      </c>
      <c r="E57" s="4" t="str">
        <f>IFERROR(__xludf.DUMMYFUNCTION("""COMPUTED_VALUE"""),"Trường Đại học Sư phạm Hà Nội")</f>
        <v>Trường Đại học Sư phạm Hà Nội</v>
      </c>
      <c r="F57" s="4" t="str">
        <f>IFERROR(__xludf.DUMMYFUNCTION("""COMPUTED_VALUE"""),"HH2026-056.png")</f>
        <v>HH2026-056.png</v>
      </c>
    </row>
    <row r="58">
      <c r="A58" s="4" t="str">
        <f>IFERROR(__xludf.DUMMYFUNCTION("""COMPUTED_VALUE"""),"HH2026-057")</f>
        <v>HH2026-057</v>
      </c>
      <c r="B58" s="4" t="str">
        <f>IFERROR(__xludf.DUMMYFUNCTION("""COMPUTED_VALUE"""),"Hóa học")</f>
        <v>Hóa học</v>
      </c>
      <c r="C58" s="4" t="str">
        <f>IFERROR(__xludf.DUMMYFUNCTION("""COMPUTED_VALUE"""),"Nghiên cứu quy trình tổng hợp nhựa sinh học từ bã rau má phục vụ ứng dụng làm túi ươm nông nghiệp.")</f>
        <v>Nghiên cứu quy trình tổng hợp nhựa sinh học từ bã rau má phục vụ ứng dụng làm túi ươm nông nghiệp.</v>
      </c>
      <c r="D58" s="4" t="str">
        <f>IFERROR(__xludf.DUMMYFUNCTION("""COMPUTED_VALUE"""),"Đinh Công Thức")</f>
        <v>Đinh Công Thức</v>
      </c>
      <c r="E58" s="4" t="str">
        <f>IFERROR(__xludf.DUMMYFUNCTION("""COMPUTED_VALUE"""),"Trường Đại học Nguyễn Tất Thành")</f>
        <v>Trường Đại học Nguyễn Tất Thành</v>
      </c>
      <c r="F58" s="4" t="str">
        <f>IFERROR(__xludf.DUMMYFUNCTION("""COMPUTED_VALUE"""),"HH2026-057.png")</f>
        <v>HH2026-057.png</v>
      </c>
    </row>
    <row r="59">
      <c r="A59" s="4" t="str">
        <f>IFERROR(__xludf.DUMMYFUNCTION("""COMPUTED_VALUE"""),"HH2026-058")</f>
        <v>HH2026-058</v>
      </c>
      <c r="B59" s="4" t="str">
        <f>IFERROR(__xludf.DUMMYFUNCTION("""COMPUTED_VALUE"""),"Hóa học")</f>
        <v>Hóa học</v>
      </c>
      <c r="C59" s="4" t="str">
        <f>IFERROR(__xludf.DUMMYFUNCTION("""COMPUTED_VALUE"""),"NGHIÊN CỨU TỔNG HỢP NANO KẼM OXIT TỪ DỊCH CHIẾT CÂY SÀI ĐẤT (Wedelia chinensis (Osbeck) Merr.) VÀ BƯỚC ĐẦU ĐÁNH GIÁ HOẠT TÍNH KHÁNG KHUẨN VÀ XÚC TÁC QUANG HOÁ")</f>
        <v>NGHIÊN CỨU TỔNG HỢP NANO KẼM OXIT TỪ DỊCH CHIẾT CÂY SÀI ĐẤT (Wedelia chinensis (Osbeck) Merr.) VÀ BƯỚC ĐẦU ĐÁNH GIÁ HOẠT TÍNH KHÁNG KHUẨN VÀ XÚC TÁC QUANG HOÁ</v>
      </c>
      <c r="D59" s="4" t="str">
        <f>IFERROR(__xludf.DUMMYFUNCTION("""COMPUTED_VALUE"""),"Lương Văn Phúc Khang; Nguyễn Thị Ngọc Quyên")</f>
        <v>Lương Văn Phúc Khang; Nguyễn Thị Ngọc Quyên</v>
      </c>
      <c r="E59" s="4" t="str">
        <f>IFERROR(__xludf.DUMMYFUNCTION("""COMPUTED_VALUE"""),"Trường Đại học Nguyễn Tất Thành")</f>
        <v>Trường Đại học Nguyễn Tất Thành</v>
      </c>
      <c r="F59" s="4" t="str">
        <f>IFERROR(__xludf.DUMMYFUNCTION("""COMPUTED_VALUE"""),"HH2026-058.png")</f>
        <v>HH2026-058.png</v>
      </c>
    </row>
    <row r="60">
      <c r="A60" s="4" t="str">
        <f>IFERROR(__xludf.DUMMYFUNCTION("""COMPUTED_VALUE"""),"HH2026-059")</f>
        <v>HH2026-059</v>
      </c>
      <c r="B60" s="4" t="str">
        <f>IFERROR(__xludf.DUMMYFUNCTION("""COMPUTED_VALUE"""),"Hóa học")</f>
        <v>Hóa học</v>
      </c>
      <c r="C60" s="4" t="str">
        <f>IFERROR(__xludf.DUMMYFUNCTION("""COMPUTED_VALUE"""),"Chế tạo và khảo sát dung dịch hydrogel hỗ trợ điệu trị vết thường từ nano bạc kết hợp chiết xuất thảo dược")</f>
        <v>Chế tạo và khảo sát dung dịch hydrogel hỗ trợ điệu trị vết thường từ nano bạc kết hợp chiết xuất thảo dược</v>
      </c>
      <c r="D60" s="4" t="str">
        <f>IFERROR(__xludf.DUMMYFUNCTION("""COMPUTED_VALUE"""),"Nguyễn Cao Minh Nhật; Lê Trọng Ân; Hàn Thế Duy; Nguyễn Thị Diễm Hoa")</f>
        <v>Nguyễn Cao Minh Nhật; Lê Trọng Ân; Hàn Thế Duy; Nguyễn Thị Diễm Hoa</v>
      </c>
      <c r="E60" s="4" t="str">
        <f>IFERROR(__xludf.DUMMYFUNCTION("""COMPUTED_VALUE"""),"Trường Đại học Nguyễn Tất Thành")</f>
        <v>Trường Đại học Nguyễn Tất Thành</v>
      </c>
      <c r="F60" s="4" t="str">
        <f>IFERROR(__xludf.DUMMYFUNCTION("""COMPUTED_VALUE"""),"HH2026-059.png")</f>
        <v>HH2026-059.png</v>
      </c>
    </row>
    <row r="61">
      <c r="A61" s="4" t="str">
        <f>IFERROR(__xludf.DUMMYFUNCTION("""COMPUTED_VALUE"""),"HH2026-060")</f>
        <v>HH2026-060</v>
      </c>
      <c r="B61" s="4" t="str">
        <f>IFERROR(__xludf.DUMMYFUNCTION("""COMPUTED_VALUE"""),"Hóa học")</f>
        <v>Hóa học</v>
      </c>
      <c r="C61" s="4" t="str">
        <f>IFERROR(__xludf.DUMMYFUNCTION("""COMPUTED_VALUE"""),"Nghiên cứu chế tạo scaffold có khả năng ghi nhớ hình dạng từ hệ bioactive glass/agarose/hyaluronic acid/alginate mang thuốc Doxorubicin, ứng dụng trong hóa trị ung thư xương và hỗ trợ tái tạo mô")</f>
        <v>Nghiên cứu chế tạo scaffold có khả năng ghi nhớ hình dạng từ hệ bioactive glass/agarose/hyaluronic acid/alginate mang thuốc Doxorubicin, ứng dụng trong hóa trị ung thư xương và hỗ trợ tái tạo mô</v>
      </c>
      <c r="D61" s="4" t="str">
        <f>IFERROR(__xludf.DUMMYFUNCTION("""COMPUTED_VALUE"""),"Lê Đắc Vĩnh Hân; Trần Ánh Duyên; Nguyễn Thị Tuyết Nhi; Võ Phạm Hồng Diễm; Trần Phạm Yến Nhi")</f>
        <v>Lê Đắc Vĩnh Hân; Trần Ánh Duyên; Nguyễn Thị Tuyết Nhi; Võ Phạm Hồng Diễm; Trần Phạm Yến Nhi</v>
      </c>
      <c r="E61" s="4" t="str">
        <f>IFERROR(__xludf.DUMMYFUNCTION("""COMPUTED_VALUE"""),"Trường Đại học Tôn Đức Thắng")</f>
        <v>Trường Đại học Tôn Đức Thắng</v>
      </c>
      <c r="F61" s="4" t="str">
        <f>IFERROR(__xludf.DUMMYFUNCTION("""COMPUTED_VALUE"""),"HH2026-060.png")</f>
        <v>HH2026-060.png</v>
      </c>
    </row>
    <row r="62">
      <c r="A62" s="4" t="str">
        <f>IFERROR(__xludf.DUMMYFUNCTION("""COMPUTED_VALUE"""),"HH2026-061")</f>
        <v>HH2026-061</v>
      </c>
      <c r="B62" s="4" t="str">
        <f>IFERROR(__xludf.DUMMYFUNCTION("""COMPUTED_VALUE"""),"Hóa học")</f>
        <v>Hóa học</v>
      </c>
      <c r="C62" s="4" t="str">
        <f>IFERROR(__xludf.DUMMYFUNCTION("""COMPUTED_VALUE"""),"Phát triển vật liệu aerogel từ phụ phẩm nông nghiệp cho anode trong pin sạc")</f>
        <v>Phát triển vật liệu aerogel từ phụ phẩm nông nghiệp cho anode trong pin sạc</v>
      </c>
      <c r="D62" s="4" t="str">
        <f>IFERROR(__xludf.DUMMYFUNCTION("""COMPUTED_VALUE"""),"Đinh Mỹ Phương Anh; Nguyễn Trọng Hải; Huỳnh Anh Đào; Phan Gia Huệ; Trần Phương Yến Như")</f>
        <v>Đinh Mỹ Phương Anh; Nguyễn Trọng Hải; Huỳnh Anh Đào; Phan Gia Huệ; Trần Phương Yến Như</v>
      </c>
      <c r="E62" s="4" t="str">
        <f>IFERROR(__xludf.DUMMYFUNCTION("""COMPUTED_VALUE"""),"Trường Đại học Tôn Đức Thắng")</f>
        <v>Trường Đại học Tôn Đức Thắng</v>
      </c>
      <c r="F62" s="4" t="str">
        <f>IFERROR(__xludf.DUMMYFUNCTION("""COMPUTED_VALUE"""),"HH2026-061.png")</f>
        <v>HH2026-061.png</v>
      </c>
    </row>
    <row r="63">
      <c r="A63" s="4" t="str">
        <f>IFERROR(__xludf.DUMMYFUNCTION("""COMPUTED_VALUE"""),"HH2026-062")</f>
        <v>HH2026-062</v>
      </c>
      <c r="B63" s="4" t="str">
        <f>IFERROR(__xludf.DUMMYFUNCTION("""COMPUTED_VALUE"""),"Hóa học")</f>
        <v>Hóa học</v>
      </c>
      <c r="C63" s="4" t="str">
        <f>IFERROR(__xludf.DUMMYFUNCTION("""COMPUTED_VALUE"""),"Nghiên cứu chế tạo miếng dán hydrogel dạng vi kim từ polymer tự nhiên cho ứng dụng truyền dẫn thuốc qua da và chữa lành vết thương")</f>
        <v>Nghiên cứu chế tạo miếng dán hydrogel dạng vi kim từ polymer tự nhiên cho ứng dụng truyền dẫn thuốc qua da và chữa lành vết thương</v>
      </c>
      <c r="D63" s="4" t="str">
        <f>IFERROR(__xludf.DUMMYFUNCTION("""COMPUTED_VALUE"""),"Trần Thị Thảo Vân; Ngô Gia Nghi; Trần Thị Huỳnh Nga; Trần Quốc Anh; Lê Thị Lan")</f>
        <v>Trần Thị Thảo Vân; Ngô Gia Nghi; Trần Thị Huỳnh Nga; Trần Quốc Anh; Lê Thị Lan</v>
      </c>
      <c r="E63" s="4" t="str">
        <f>IFERROR(__xludf.DUMMYFUNCTION("""COMPUTED_VALUE"""),"Trường Đại học Tôn Đức Thắng")</f>
        <v>Trường Đại học Tôn Đức Thắng</v>
      </c>
      <c r="F63" s="4" t="str">
        <f>IFERROR(__xludf.DUMMYFUNCTION("""COMPUTED_VALUE"""),"HH2026-062.png")</f>
        <v>HH2026-062.png</v>
      </c>
    </row>
    <row r="64">
      <c r="A64" s="4" t="str">
        <f>IFERROR(__xludf.DUMMYFUNCTION("""COMPUTED_VALUE"""),"HH2026-063")</f>
        <v>HH2026-063</v>
      </c>
      <c r="B64" s="4" t="str">
        <f>IFERROR(__xludf.DUMMYFUNCTION("""COMPUTED_VALUE"""),"Hóa học")</f>
        <v>Hóa học</v>
      </c>
      <c r="C64" s="4" t="str">
        <f>IFERROR(__xludf.DUMMYFUNCTION("""COMPUTED_VALUE"""),"Chế tạo tem đổi màu theo nhiệt độ định hướng ứng dụng lưu vết pin lithium-ion quá nhiệt")</f>
        <v>Chế tạo tem đổi màu theo nhiệt độ định hướng ứng dụng lưu vết pin lithium-ion quá nhiệt</v>
      </c>
      <c r="D64" s="4" t="str">
        <f>IFERROR(__xludf.DUMMYFUNCTION("""COMPUTED_VALUE"""),"Nguyễn Trần Thanh Nghi; Đỗ Quỳnh Như; Nguyễn Ngọc Anh Thư")</f>
        <v>Nguyễn Trần Thanh Nghi; Đỗ Quỳnh Như; Nguyễn Ngọc Anh Thư</v>
      </c>
      <c r="E64" s="4" t="str">
        <f>IFERROR(__xludf.DUMMYFUNCTION("""COMPUTED_VALUE"""),"Trường Đại học Tôn Đức Thắng")</f>
        <v>Trường Đại học Tôn Đức Thắng</v>
      </c>
      <c r="F64" s="4" t="str">
        <f>IFERROR(__xludf.DUMMYFUNCTION("""COMPUTED_VALUE"""),"HH2026-063.png")</f>
        <v>HH2026-063.png</v>
      </c>
    </row>
    <row r="65">
      <c r="A65" s="4" t="str">
        <f>IFERROR(__xludf.DUMMYFUNCTION("""COMPUTED_VALUE"""),"HH2026-064")</f>
        <v>HH2026-064</v>
      </c>
      <c r="B65" s="4" t="str">
        <f>IFERROR(__xludf.DUMMYFUNCTION("""COMPUTED_VALUE"""),"Hóa học")</f>
        <v>Hóa học</v>
      </c>
      <c r="C65" s="4" t="str">
        <f>IFERROR(__xludf.DUMMYFUNCTION("""COMPUTED_VALUE"""),"Nghiên cứu tổng hợp và biến tính hợp kim Fe-Ni ứng dụng làm chất xúc tác điện hóa tách nước")</f>
        <v>Nghiên cứu tổng hợp và biến tính hợp kim Fe-Ni ứng dụng làm chất xúc tác điện hóa tách nước</v>
      </c>
      <c r="D65" s="4" t="str">
        <f>IFERROR(__xludf.DUMMYFUNCTION("""COMPUTED_VALUE"""),"Lâm Thị Thúy Kiều; Trương Ngọc Cẩm Khuyên; Nguyễn Tú Quyên; Nguyễn Nhật Tuấn")</f>
        <v>Lâm Thị Thúy Kiều; Trương Ngọc Cẩm Khuyên; Nguyễn Tú Quyên; Nguyễn Nhật Tuấn</v>
      </c>
      <c r="E65" s="4" t="str">
        <f>IFERROR(__xludf.DUMMYFUNCTION("""COMPUTED_VALUE"""),"Trường Đại học Quy Nhơn")</f>
        <v>Trường Đại học Quy Nhơn</v>
      </c>
      <c r="F65" s="4" t="str">
        <f>IFERROR(__xludf.DUMMYFUNCTION("""COMPUTED_VALUE"""),"HH2026-064.png")</f>
        <v>HH2026-064.png</v>
      </c>
    </row>
    <row r="66">
      <c r="A66" s="4" t="str">
        <f>IFERROR(__xludf.DUMMYFUNCTION("""COMPUTED_VALUE"""),"HH2026-065")</f>
        <v>HH2026-065</v>
      </c>
      <c r="B66" s="4" t="str">
        <f>IFERROR(__xludf.DUMMYFUNCTION("""COMPUTED_VALUE"""),"Hóa học")</f>
        <v>Hóa học</v>
      </c>
      <c r="C66" s="4" t="str">
        <f>IFERROR(__xludf.DUMMYFUNCTION("""COMPUTED_VALUE"""),"Chế tạo và đặc trưng vật liệu khung cơ kim (MOF) Ag@UiO-66 ứng dụng cho cảm biến SERS, kết hợp học máy trong phân tích và đánh giá dữ liệu")</f>
        <v>Chế tạo và đặc trưng vật liệu khung cơ kim (MOF) Ag@UiO-66 ứng dụng cho cảm biến SERS, kết hợp học máy trong phân tích và đánh giá dữ liệu</v>
      </c>
      <c r="D66" s="4" t="str">
        <f>IFERROR(__xludf.DUMMYFUNCTION("""COMPUTED_VALUE"""),"Trần Văn Tiệp")</f>
        <v>Trần Văn Tiệp</v>
      </c>
      <c r="E66" s="4" t="str">
        <f>IFERROR(__xludf.DUMMYFUNCTION("""COMPUTED_VALUE"""),"Đại học Phenikaa")</f>
        <v>Đại học Phenikaa</v>
      </c>
      <c r="F66" s="4" t="str">
        <f>IFERROR(__xludf.DUMMYFUNCTION("""COMPUTED_VALUE"""),"HH2026-065.png")</f>
        <v>HH2026-065.png</v>
      </c>
    </row>
    <row r="67">
      <c r="A67" s="4" t="str">
        <f>IFERROR(__xludf.DUMMYFUNCTION("""COMPUTED_VALUE"""),"HH2026-066")</f>
        <v>HH2026-066</v>
      </c>
      <c r="B67" s="4" t="str">
        <f>IFERROR(__xludf.DUMMYFUNCTION("""COMPUTED_VALUE"""),"Hóa học")</f>
        <v>Hóa học</v>
      </c>
      <c r="C67" s="4" t="str">
        <f>IFERROR(__xludf.DUMMYFUNCTION("""COMPUTED_VALUE"""),"Nano-Shield Marine: Lớp phủ Epoxy/GO biến tính hạn chế khả năng khuếch tán và bảo vệ chống ăn mòn các kết cấu thép hàng hải")</f>
        <v>Nano-Shield Marine: Lớp phủ Epoxy/GO biến tính hạn chế khả năng khuếch tán và bảo vệ chống ăn mòn các kết cấu thép hàng hải</v>
      </c>
      <c r="D67" s="4" t="str">
        <f>IFERROR(__xludf.DUMMYFUNCTION("""COMPUTED_VALUE"""),"Nguyễn Văn Quyết")</f>
        <v>Nguyễn Văn Quyết</v>
      </c>
      <c r="E67" s="4" t="str">
        <f>IFERROR(__xludf.DUMMYFUNCTION("""COMPUTED_VALUE"""),"Đại học Phenikaa")</f>
        <v>Đại học Phenikaa</v>
      </c>
      <c r="F67" s="4" t="str">
        <f>IFERROR(__xludf.DUMMYFUNCTION("""COMPUTED_VALUE"""),"HH2026-066.png")</f>
        <v>HH2026-066.png</v>
      </c>
    </row>
    <row r="68">
      <c r="A68" s="4" t="str">
        <f>IFERROR(__xludf.DUMMYFUNCTION("""COMPUTED_VALUE"""),"HH2026-067")</f>
        <v>HH2026-067</v>
      </c>
      <c r="B68" s="4" t="str">
        <f>IFERROR(__xludf.DUMMYFUNCTION("""COMPUTED_VALUE"""),"Hóa học")</f>
        <v>Hóa học</v>
      </c>
      <c r="C68" s="4" t="str">
        <f>IFERROR(__xludf.DUMMYFUNCTION("""COMPUTED_VALUE"""),"VẬT LIỆU NANOCOMPOSITE MỚI DỰA TRÊN P-N Fe2O3/ZnBi2O4 VÀ BIOCHAR TỪ VỎ HẠT ĐIỀU XỬ LÝ HIỆU QUẢ KHÁNG SINH LEVOFLOXACIN TRONG NƯỚC DƯỚI ÁNH SÁNG KHẢ KIẾN")</f>
        <v>VẬT LIỆU NANOCOMPOSITE MỚI DỰA TRÊN P-N Fe2O3/ZnBi2O4 VÀ BIOCHAR TỪ VỎ HẠT ĐIỀU XỬ LÝ HIỆU QUẢ KHÁNG SINH LEVOFLOXACIN TRONG NƯỚC DƯỚI ÁNH SÁNG KHẢ KIẾN</v>
      </c>
      <c r="D68" s="4" t="str">
        <f>IFERROR(__xludf.DUMMYFUNCTION("""COMPUTED_VALUE"""),"Lê Nguyễn Trường Huy; Trần Cảnh Kỳ")</f>
        <v>Lê Nguyễn Trường Huy; Trần Cảnh Kỳ</v>
      </c>
      <c r="E68" s="4" t="str">
        <f>IFERROR(__xludf.DUMMYFUNCTION("""COMPUTED_VALUE"""),"Trường Đại học Công nghiệp TP. Hồ Chí Minh")</f>
        <v>Trường Đại học Công nghiệp TP. Hồ Chí Minh</v>
      </c>
      <c r="F68" s="4" t="str">
        <f>IFERROR(__xludf.DUMMYFUNCTION("""COMPUTED_VALUE"""),"HH2026-067.png")</f>
        <v>HH2026-067.png</v>
      </c>
    </row>
    <row r="69">
      <c r="A69" s="4" t="str">
        <f>IFERROR(__xludf.DUMMYFUNCTION("""COMPUTED_VALUE"""),"HH2026-068")</f>
        <v>HH2026-068</v>
      </c>
      <c r="B69" s="4" t="str">
        <f>IFERROR(__xludf.DUMMYFUNCTION("""COMPUTED_VALUE"""),"Hóa học")</f>
        <v>Hóa học</v>
      </c>
      <c r="C69" s="4" t="str">
        <f>IFERROR(__xludf.DUMMYFUNCTION("""COMPUTED_VALUE"""),"Chế tạo vật liệu composite kiềm tính nền tro bay - zeolite - carbon ứng dụng hấp phụ kim loại nặng (Pb) và lưu trữ CO2")</f>
        <v>Chế tạo vật liệu composite kiềm tính nền tro bay - zeolite - carbon ứng dụng hấp phụ kim loại nặng (Pb) và lưu trữ CO2</v>
      </c>
      <c r="D69" s="4" t="str">
        <f>IFERROR(__xludf.DUMMYFUNCTION("""COMPUTED_VALUE"""),"Nguyễn Phạm Hoàng Nhân; Vương Trúc Vy; Võ Văn Duy; Đỗ Thanh Danh")</f>
        <v>Nguyễn Phạm Hoàng Nhân; Vương Trúc Vy; Võ Văn Duy; Đỗ Thanh Danh</v>
      </c>
      <c r="E69" s="4" t="str">
        <f>IFERROR(__xludf.DUMMYFUNCTION("""COMPUTED_VALUE"""),"Trường Đại học Công Thương TP. Hồ Chí Minh")</f>
        <v>Trường Đại học Công Thương TP. Hồ Chí Minh</v>
      </c>
      <c r="F69" s="4" t="str">
        <f>IFERROR(__xludf.DUMMYFUNCTION("""COMPUTED_VALUE"""),"HH2026-068.png")</f>
        <v>HH2026-068.png</v>
      </c>
    </row>
    <row r="70">
      <c r="A70" s="4" t="str">
        <f>IFERROR(__xludf.DUMMYFUNCTION("""COMPUTED_VALUE"""),"HH2026-069")</f>
        <v>HH2026-069</v>
      </c>
      <c r="B70" s="4" t="str">
        <f>IFERROR(__xludf.DUMMYFUNCTION("""COMPUTED_VALUE"""),"Hóa học")</f>
        <v>Hóa học</v>
      </c>
      <c r="C70" s="4" t="str">
        <f>IFERROR(__xludf.DUMMYFUNCTION("""COMPUTED_VALUE"""),"Phát triển vật liệu gốm áp điện không chì nền perovskite với hiệu suất lưu trữ năng lượng cao sử dụng phụ gia biến tính pha thủy tinh từ rác thải pin mặt trời")</f>
        <v>Phát triển vật liệu gốm áp điện không chì nền perovskite với hiệu suất lưu trữ năng lượng cao sử dụng phụ gia biến tính pha thủy tinh từ rác thải pin mặt trời</v>
      </c>
      <c r="D70" s="4" t="str">
        <f>IFERROR(__xludf.DUMMYFUNCTION("""COMPUTED_VALUE"""),"Nguyễn Ngọc Thiện; Thạch Nguyễn Phúc Khương; Trần Thị Phương Nghi; Lê Phong Phú; Nguyễn Chí Bảo")</f>
        <v>Nguyễn Ngọc Thiện; Thạch Nguyễn Phúc Khương; Trần Thị Phương Nghi; Lê Phong Phú; Nguyễn Chí Bảo</v>
      </c>
      <c r="E70" s="4" t="str">
        <f>IFERROR(__xludf.DUMMYFUNCTION("""COMPUTED_VALUE"""),"Trường Đại học Công Thương TP. Hồ Chí Minh")</f>
        <v>Trường Đại học Công Thương TP. Hồ Chí Minh</v>
      </c>
      <c r="F70" s="4" t="str">
        <f>IFERROR(__xludf.DUMMYFUNCTION("""COMPUTED_VALUE"""),"HH2026-069.png")</f>
        <v>HH2026-069.png</v>
      </c>
    </row>
    <row r="71">
      <c r="A71" s="4" t="str">
        <f>IFERROR(__xludf.DUMMYFUNCTION("""COMPUTED_VALUE"""),"HH2026-070")</f>
        <v>HH2026-070</v>
      </c>
      <c r="B71" s="4" t="str">
        <f>IFERROR(__xludf.DUMMYFUNCTION("""COMPUTED_VALUE"""),"Hóa học")</f>
        <v>Hóa học</v>
      </c>
      <c r="C71" s="4" t="str">
        <f>IFERROR(__xludf.DUMMYFUNCTION("""COMPUTED_VALUE"""),"Nano silver (AgNPs): động hợp quá trình tổng hợp xanh với dịch chiết hoa đu đủ đực, đặc trưng và một số tiềm năng ứng dụng.")</f>
        <v>Nano silver (AgNPs): động hợp quá trình tổng hợp xanh với dịch chiết hoa đu đủ đực, đặc trưng và một số tiềm năng ứng dụng.</v>
      </c>
      <c r="D71" s="4" t="str">
        <f>IFERROR(__xludf.DUMMYFUNCTION("""COMPUTED_VALUE"""),"Hoàng Ngọc Ánh; Đinh Thị Thúy Hà")</f>
        <v>Hoàng Ngọc Ánh; Đinh Thị Thúy Hà</v>
      </c>
      <c r="E71" s="4" t="str">
        <f>IFERROR(__xludf.DUMMYFUNCTION("""COMPUTED_VALUE"""),"Trường Đại học Khoa học, Đại học Thái Nguyên")</f>
        <v>Trường Đại học Khoa học, Đại học Thái Nguyên</v>
      </c>
      <c r="F71" s="4" t="str">
        <f>IFERROR(__xludf.DUMMYFUNCTION("""COMPUTED_VALUE"""),"HH2026-070.png")</f>
        <v>HH2026-070.png</v>
      </c>
    </row>
    <row r="72">
      <c r="A72" s="4" t="str">
        <f>IFERROR(__xludf.DUMMYFUNCTION("""COMPUTED_VALUE"""),"HH2026-071")</f>
        <v>HH2026-071</v>
      </c>
      <c r="B72" s="4" t="str">
        <f>IFERROR(__xludf.DUMMYFUNCTION("""COMPUTED_VALUE"""),"Hóa học")</f>
        <v>Hóa học</v>
      </c>
      <c r="C72" s="4" t="str">
        <f>IFERROR(__xludf.DUMMYFUNCTION("""COMPUTED_VALUE"""),"Nghiên cứu ứng dụng xỉ nhôm chế tạo cốt liệu chịu lửa")</f>
        <v>Nghiên cứu ứng dụng xỉ nhôm chế tạo cốt liệu chịu lửa</v>
      </c>
      <c r="D72" s="4" t="str">
        <f>IFERROR(__xludf.DUMMYFUNCTION("""COMPUTED_VALUE"""),"Nguyễn Đức Khoa; Kim Yến Chi; Chu Thị Minh Chi; Trần Quốc Đạt")</f>
        <v>Nguyễn Đức Khoa; Kim Yến Chi; Chu Thị Minh Chi; Trần Quốc Đạt</v>
      </c>
      <c r="E72" s="4" t="str">
        <f>IFERROR(__xludf.DUMMYFUNCTION("""COMPUTED_VALUE"""),"Trường Đại học Kiến trúc Hà Nội")</f>
        <v>Trường Đại học Kiến trúc Hà Nội</v>
      </c>
      <c r="F72" s="4" t="str">
        <f>IFERROR(__xludf.DUMMYFUNCTION("""COMPUTED_VALUE"""),"HH2026-071.png")</f>
        <v>HH2026-071.png</v>
      </c>
    </row>
    <row r="73">
      <c r="A73" s="4" t="str">
        <f>IFERROR(__xludf.DUMMYFUNCTION("""COMPUTED_VALUE"""),"HH2026-072")</f>
        <v>HH2026-072</v>
      </c>
      <c r="B73" s="4" t="str">
        <f>IFERROR(__xludf.DUMMYFUNCTION("""COMPUTED_VALUE"""),"Hóa học")</f>
        <v>Hóa học</v>
      </c>
      <c r="C73" s="4" t="str">
        <f>IFERROR(__xludf.DUMMYFUNCTION("""COMPUTED_VALUE"""),"Nghiên cứu nâng cao khả năng chống nứt cho vữa trát sử dụng trong các công trình xây dựng dân dụng và công nghiệp tại Việt Nam.")</f>
        <v>Nghiên cứu nâng cao khả năng chống nứt cho vữa trát sử dụng trong các công trình xây dựng dân dụng và công nghiệp tại Việt Nam.</v>
      </c>
      <c r="D73" s="4" t="str">
        <f>IFERROR(__xludf.DUMMYFUNCTION("""COMPUTED_VALUE"""),"Nguyễn Thu Thủy; Vương Tiến Đạt; Nguyễn Văn Đức Hiếu; Nguyễn Phương Thảo; Vũ Thu Nga")</f>
        <v>Nguyễn Thu Thủy; Vương Tiến Đạt; Nguyễn Văn Đức Hiếu; Nguyễn Phương Thảo; Vũ Thu Nga</v>
      </c>
      <c r="E73" s="4" t="str">
        <f>IFERROR(__xludf.DUMMYFUNCTION("""COMPUTED_VALUE"""),"Trường Đại học Kiến trúc Hà Nội")</f>
        <v>Trường Đại học Kiến trúc Hà Nội</v>
      </c>
      <c r="F73" s="4" t="str">
        <f>IFERROR(__xludf.DUMMYFUNCTION("""COMPUTED_VALUE"""),"HH2026-072.png")</f>
        <v>HH2026-072.png</v>
      </c>
    </row>
    <row r="74">
      <c r="A74" s="4" t="str">
        <f>IFERROR(__xludf.DUMMYFUNCTION("""COMPUTED_VALUE"""),"HH2026-073")</f>
        <v>HH2026-073</v>
      </c>
      <c r="B74" s="4" t="str">
        <f>IFERROR(__xludf.DUMMYFUNCTION("""COMPUTED_VALUE"""),"Hóa học")</f>
        <v>Hóa học</v>
      </c>
      <c r="C74" s="4" t="str">
        <f>IFERROR(__xludf.DUMMYFUNCTION("""COMPUTED_VALUE"""),"Nghiên cứu ảnh hưởng của vật liệu chức năng đến tính chất của bê tông nhẹ tự bảo dưỡng, tự làm mát")</f>
        <v>Nghiên cứu ảnh hưởng của vật liệu chức năng đến tính chất của bê tông nhẹ tự bảo dưỡng, tự làm mát</v>
      </c>
      <c r="D74" s="4" t="str">
        <f>IFERROR(__xludf.DUMMYFUNCTION("""COMPUTED_VALUE"""),"Nguyễn Thục Chi; Nguyễn Thu Hiền; Nguyễn Ngọc Linh; Mai Bảo Ngọc; Nguyễn Trọng Đức")</f>
        <v>Nguyễn Thục Chi; Nguyễn Thu Hiền; Nguyễn Ngọc Linh; Mai Bảo Ngọc; Nguyễn Trọng Đức</v>
      </c>
      <c r="E74" s="4" t="str">
        <f>IFERROR(__xludf.DUMMYFUNCTION("""COMPUTED_VALUE"""),"Trường Đại học Kiến trúc Hà Nội")</f>
        <v>Trường Đại học Kiến trúc Hà Nội</v>
      </c>
      <c r="F74" s="4" t="str">
        <f>IFERROR(__xludf.DUMMYFUNCTION("""COMPUTED_VALUE"""),"HH2026-073.png")</f>
        <v>HH2026-073.png</v>
      </c>
    </row>
    <row r="75">
      <c r="A75" s="4" t="str">
        <f>IFERROR(__xludf.DUMMYFUNCTION("""COMPUTED_VALUE"""),"HH2026-074")</f>
        <v>HH2026-074</v>
      </c>
      <c r="B75" s="4" t="str">
        <f>IFERROR(__xludf.DUMMYFUNCTION("""COMPUTED_VALUE"""),"Hóa học")</f>
        <v>Hóa học</v>
      </c>
      <c r="C75" s="4" t="str">
        <f>IFERROR(__xludf.DUMMYFUNCTION("""COMPUTED_VALUE"""),"NGHIÊN CỨU ỨNG DỤNG VỎ HẠT MACCA LÀM VẬT LIỆU TIỀM NĂNG XỬ LÝ DẦU TRÀN TRÊN BIỂN")</f>
        <v>NGHIÊN CỨU ỨNG DỤNG VỎ HẠT MACCA LÀM VẬT LIỆU TIỀM NĂNG XỬ LÝ DẦU TRÀN TRÊN BIỂN</v>
      </c>
      <c r="D75" s="4" t="str">
        <f>IFERROR(__xludf.DUMMYFUNCTION("""COMPUTED_VALUE"""),"NGUYỄN THỊ THÚY HÒA; NGUYỄN VĂN ĐỨC; NGUYỄN THÚY MAI; LÊ THỊ THU UYÊN")</f>
        <v>NGUYỄN THỊ THÚY HÒA; NGUYỄN VĂN ĐỨC; NGUYỄN THÚY MAI; LÊ THỊ THU UYÊN</v>
      </c>
      <c r="E75" s="4" t="str">
        <f>IFERROR(__xludf.DUMMYFUNCTION("""COMPUTED_VALUE"""),"Trường Đại học Hàng hải Việt Nam")</f>
        <v>Trường Đại học Hàng hải Việt Nam</v>
      </c>
      <c r="F75" s="4" t="str">
        <f>IFERROR(__xludf.DUMMYFUNCTION("""COMPUTED_VALUE"""),"HH2026-074.png")</f>
        <v>HH2026-074.png</v>
      </c>
    </row>
    <row r="76">
      <c r="A76" s="4" t="str">
        <f>IFERROR(__xludf.DUMMYFUNCTION("""COMPUTED_VALUE"""),"HH2026-075")</f>
        <v>HH2026-075</v>
      </c>
      <c r="B76" s="4" t="str">
        <f>IFERROR(__xludf.DUMMYFUNCTION("""COMPUTED_VALUE"""),"Hóa học")</f>
        <v>Hóa học</v>
      </c>
      <c r="C76" s="4" t="str">
        <f>IFERROR(__xludf.DUMMYFUNCTION("""COMPUTED_VALUE"""),"Chế tạo micelle chứa curcumin từ carboxymethyl cellulose biến tính octenyl succinic anhydride")</f>
        <v>Chế tạo micelle chứa curcumin từ carboxymethyl cellulose biến tính octenyl succinic anhydride</v>
      </c>
      <c r="D76" s="4" t="str">
        <f>IFERROR(__xludf.DUMMYFUNCTION("""COMPUTED_VALUE"""),"Lý Trung Hiếu; Thái Bửu Uyên; Lê Nguyễn Phương Thảo; Lê Minh Hoàng Lân; Trần Quốc Duy")</f>
        <v>Lý Trung Hiếu; Thái Bửu Uyên; Lê Nguyễn Phương Thảo; Lê Minh Hoàng Lân; Trần Quốc Duy</v>
      </c>
      <c r="E76" s="4" t="str">
        <f>IFERROR(__xludf.DUMMYFUNCTION("""COMPUTED_VALUE"""),"Trường Đại học Công nghệ Kỹ thuật TP. Hồ Chí Minh")</f>
        <v>Trường Đại học Công nghệ Kỹ thuật TP. Hồ Chí Minh</v>
      </c>
      <c r="F76" s="4" t="str">
        <f>IFERROR(__xludf.DUMMYFUNCTION("""COMPUTED_VALUE"""),"HH2026-075.png")</f>
        <v>HH2026-075.png</v>
      </c>
    </row>
    <row r="77">
      <c r="A77" s="4" t="str">
        <f>IFERROR(__xludf.DUMMYFUNCTION("""COMPUTED_VALUE"""),"HH2026-076")</f>
        <v>HH2026-076</v>
      </c>
      <c r="B77" s="4" t="str">
        <f>IFERROR(__xludf.DUMMYFUNCTION("""COMPUTED_VALUE"""),"Hóa học")</f>
        <v>Hóa học</v>
      </c>
      <c r="C77" s="4" t="str">
        <f>IFERROR(__xludf.DUMMYFUNCTION("""COMPUTED_VALUE"""),"CHẾ TẠO BÊ TÔNG NHẸ TỪ NHỰA XỐP PHẾ THẢI")</f>
        <v>CHẾ TẠO BÊ TÔNG NHẸ TỪ NHỰA XỐP PHẾ THẢI</v>
      </c>
      <c r="D77" s="4" t="str">
        <f>IFERROR(__xludf.DUMMYFUNCTION("""COMPUTED_VALUE"""),"Trần Trung Hiếu; Nguyễn Chí Công; Nguyễn Ngọc Trúc My; Thái Thị Kim Ngân")</f>
        <v>Trần Trung Hiếu; Nguyễn Chí Công; Nguyễn Ngọc Trúc My; Thái Thị Kim Ngân</v>
      </c>
      <c r="E77" s="4" t="str">
        <f>IFERROR(__xludf.DUMMYFUNCTION("""COMPUTED_VALUE"""),"Trường Đại học Sài Gòn")</f>
        <v>Trường Đại học Sài Gòn</v>
      </c>
      <c r="F77" s="4" t="str">
        <f>IFERROR(__xludf.DUMMYFUNCTION("""COMPUTED_VALUE"""),"HH2026-076.png")</f>
        <v>HH2026-076.png</v>
      </c>
    </row>
    <row r="78">
      <c r="A78" s="4" t="str">
        <f>IFERROR(__xludf.DUMMYFUNCTION("""COMPUTED_VALUE"""),"HH2026-077")</f>
        <v>HH2026-077</v>
      </c>
      <c r="B78" s="4" t="str">
        <f>IFERROR(__xludf.DUMMYFUNCTION("""COMPUTED_VALUE"""),"Hóa học")</f>
        <v>Hóa học</v>
      </c>
      <c r="C78" s="4" t="str">
        <f>IFERROR(__xludf.DUMMYFUNCTION("""COMPUTED_VALUE"""),"Thiết kế và phát triển màng Biopolymer kháng khuẩn đa chức năng từ Ficus racemosa định hướng ứng dụng vật liệu y sinh")</f>
        <v>Thiết kế và phát triển màng Biopolymer kháng khuẩn đa chức năng từ Ficus racemosa định hướng ứng dụng vật liệu y sinh</v>
      </c>
      <c r="D78" s="4" t="str">
        <f>IFERROR(__xludf.DUMMYFUNCTION("""COMPUTED_VALUE"""),"Phạm Lương Chí Bình; Phạm Phương Linh; Nguyễn Thế Hoàng Bảo; Nguyễn Khánh Vi")</f>
        <v>Phạm Lương Chí Bình; Phạm Phương Linh; Nguyễn Thế Hoàng Bảo; Nguyễn Khánh Vi</v>
      </c>
      <c r="E78" s="4" t="str">
        <f>IFERROR(__xludf.DUMMYFUNCTION("""COMPUTED_VALUE"""),"Trường Đại học Khoa học Sức khỏe, ĐHQG-HCM")</f>
        <v>Trường Đại học Khoa học Sức khỏe, ĐHQG-HCM</v>
      </c>
      <c r="F78" s="4" t="str">
        <f>IFERROR(__xludf.DUMMYFUNCTION("""COMPUTED_VALUE"""),"HH2026-077.png")</f>
        <v>HH2026-077.png</v>
      </c>
    </row>
    <row r="79">
      <c r="A79" s="4" t="str">
        <f>IFERROR(__xludf.DUMMYFUNCTION("""COMPUTED_VALUE"""),"HH2026-078")</f>
        <v>HH2026-078</v>
      </c>
      <c r="B79" s="4" t="str">
        <f>IFERROR(__xludf.DUMMYFUNCTION("""COMPUTED_VALUE"""),"Hóa học")</f>
        <v>Hóa học</v>
      </c>
      <c r="C79" s="4" t="str">
        <f>IFERROR(__xludf.DUMMYFUNCTION("""COMPUTED_VALUE"""),"Tổng hợp vật liệu ZnO/rGO bằng phương pháp xanh và ứng dụng làm phụ gia cho sơn epoxy chống ăn mòn")</f>
        <v>Tổng hợp vật liệu ZnO/rGO bằng phương pháp xanh và ứng dụng làm phụ gia cho sơn epoxy chống ăn mòn</v>
      </c>
      <c r="D79" s="4" t="str">
        <f>IFERROR(__xludf.DUMMYFUNCTION("""COMPUTED_VALUE"""),"Bùi Trọng Thảo; Nguyễn Chí Trung; Nguyễn Trúc Diệp")</f>
        <v>Bùi Trọng Thảo; Nguyễn Chí Trung; Nguyễn Trúc Diệp</v>
      </c>
      <c r="E79" s="4" t="str">
        <f>IFERROR(__xludf.DUMMYFUNCTION("""COMPUTED_VALUE"""),"Trường Đại học Sư phạm TP. Hồ Chí Minh")</f>
        <v>Trường Đại học Sư phạm TP. Hồ Chí Minh</v>
      </c>
      <c r="F79" s="4" t="str">
        <f>IFERROR(__xludf.DUMMYFUNCTION("""COMPUTED_VALUE"""),"HH2026-078.png")</f>
        <v>HH2026-078.png</v>
      </c>
    </row>
    <row r="80">
      <c r="A80" s="4" t="str">
        <f>IFERROR(__xludf.DUMMYFUNCTION("""COMPUTED_VALUE"""),"HH2026-079")</f>
        <v>HH2026-079</v>
      </c>
      <c r="B80" s="4" t="str">
        <f>IFERROR(__xludf.DUMMYFUNCTION("""COMPUTED_VALUE"""),"Hóa học")</f>
        <v>Hóa học</v>
      </c>
      <c r="C80" s="4" t="str">
        <f>IFERROR(__xludf.DUMMYFUNCTION("""COMPUTED_VALUE"""),"Nghiên cứu ảnh hưởng của ion pha tạp dysprosium đến một số đặc trưng về cấu trúc, tính chất quang và từ của hệ hạt nano spinel nickel ferrite")</f>
        <v>Nghiên cứu ảnh hưởng của ion pha tạp dysprosium đến một số đặc trưng về cấu trúc, tính chất quang và từ của hệ hạt nano spinel nickel ferrite</v>
      </c>
      <c r="D80" s="4" t="str">
        <f>IFERROR(__xludf.DUMMYFUNCTION("""COMPUTED_VALUE"""),"Phạm Thị Minh Ngọc; Trần Diệp Phương Quỳnh; Trần Vương Minh Huyền")</f>
        <v>Phạm Thị Minh Ngọc; Trần Diệp Phương Quỳnh; Trần Vương Minh Huyền</v>
      </c>
      <c r="E80" s="4" t="str">
        <f>IFERROR(__xludf.DUMMYFUNCTION("""COMPUTED_VALUE"""),"Trường Đại học Sư phạm TP. Hồ Chí Minh")</f>
        <v>Trường Đại học Sư phạm TP. Hồ Chí Minh</v>
      </c>
      <c r="F80" s="4" t="str">
        <f>IFERROR(__xludf.DUMMYFUNCTION("""COMPUTED_VALUE"""),"HH2026-079.png")</f>
        <v>HH2026-079.png</v>
      </c>
    </row>
    <row r="81">
      <c r="A81" s="4" t="str">
        <f>IFERROR(__xludf.DUMMYFUNCTION("""COMPUTED_VALUE"""),"HH2026-080")</f>
        <v>HH2026-080</v>
      </c>
      <c r="B81" s="4" t="str">
        <f>IFERROR(__xludf.DUMMYFUNCTION("""COMPUTED_VALUE"""),"Hóa học")</f>
        <v>Hóa học</v>
      </c>
      <c r="C81" s="4" t="str">
        <f>IFERROR(__xludf.DUMMYFUNCTION("""COMPUTED_VALUE"""),"NGHIÊN CỨU PHÁT TRIỂN HYDROGEL AXIT HYALURONIC GHÉP DOPAMIN TÍCH HỢP HUYẾT THANH NGƯỜI CÓ KHẢ NĂNG TIÊM HƯỚNG ĐẾN ỨNG DỤNG TRONG TÁI TẠO MÔ MỀM")</f>
        <v>NGHIÊN CỨU PHÁT TRIỂN HYDROGEL AXIT HYALURONIC GHÉP DOPAMIN TÍCH HỢP HUYẾT THANH NGƯỜI CÓ KHẢ NĂNG TIÊM HƯỚNG ĐẾN ỨNG DỤNG TRONG TÁI TẠO MÔ MỀM</v>
      </c>
      <c r="D81" s="4" t="str">
        <f>IFERROR(__xludf.DUMMYFUNCTION("""COMPUTED_VALUE"""),"Nguyễn Ngọc Bảo Hân; Nguyễn Thiện Tôn; Nguyễn Thị Diễm Ngọc")</f>
        <v>Nguyễn Ngọc Bảo Hân; Nguyễn Thiện Tôn; Nguyễn Thị Diễm Ngọc</v>
      </c>
      <c r="E81" s="4" t="str">
        <f>IFERROR(__xludf.DUMMYFUNCTION("""COMPUTED_VALUE"""),"Trường Đại học Quốc Tế, ĐHQG-HCM")</f>
        <v>Trường Đại học Quốc Tế, ĐHQG-HCM</v>
      </c>
      <c r="F81" s="4" t="str">
        <f>IFERROR(__xludf.DUMMYFUNCTION("""COMPUTED_VALUE"""),"HH2026-080.png")</f>
        <v>HH2026-080.png</v>
      </c>
    </row>
    <row r="82">
      <c r="A82" s="4" t="str">
        <f>IFERROR(__xludf.DUMMYFUNCTION("""COMPUTED_VALUE"""),"HH2026-081")</f>
        <v>HH2026-081</v>
      </c>
      <c r="B82" s="4" t="str">
        <f>IFERROR(__xludf.DUMMYFUNCTION("""COMPUTED_VALUE"""),"Hóa học")</f>
        <v>Hóa học</v>
      </c>
      <c r="C82" s="4" t="str">
        <f>IFERROR(__xludf.DUMMYFUNCTION("""COMPUTED_VALUE"""),"NGHIÊN CỨU VÀ ĐÁNH GIÁ ĐẶC TÍNH CỦA BỌT HYDROGEL CMC/OXG TÍCH HỢP ACID TRANEXAMIC HƯỚNG ĐẾN ỨNG DỤNG CẦM MÁU")</f>
        <v>NGHIÊN CỨU VÀ ĐÁNH GIÁ ĐẶC TÍNH CỦA BỌT HYDROGEL CMC/OXG TÍCH HỢP ACID TRANEXAMIC HƯỚNG ĐẾN ỨNG DỤNG CẦM MÁU</v>
      </c>
      <c r="D82" s="4" t="str">
        <f>IFERROR(__xludf.DUMMYFUNCTION("""COMPUTED_VALUE"""),"Nguyễn Ngọc Uyên Nhi; Lê Nguyễn Bảo Anh; Trịnh Thủy Tiên; Lê Gia Hân")</f>
        <v>Nguyễn Ngọc Uyên Nhi; Lê Nguyễn Bảo Anh; Trịnh Thủy Tiên; Lê Gia Hân</v>
      </c>
      <c r="E82" s="4" t="str">
        <f>IFERROR(__xludf.DUMMYFUNCTION("""COMPUTED_VALUE"""),"Trường Đại học Quốc Tế, ĐHQG-HCM")</f>
        <v>Trường Đại học Quốc Tế, ĐHQG-HCM</v>
      </c>
      <c r="F82" s="4" t="str">
        <f>IFERROR(__xludf.DUMMYFUNCTION("""COMPUTED_VALUE"""),"HH2026-081.png")</f>
        <v>HH2026-081.png</v>
      </c>
    </row>
    <row r="83">
      <c r="A83" s="4" t="str">
        <f>IFERROR(__xludf.DUMMYFUNCTION("""COMPUTED_VALUE"""),"HH2026-082")</f>
        <v>HH2026-082</v>
      </c>
      <c r="B83" s="4" t="str">
        <f>IFERROR(__xludf.DUMMYFUNCTION("""COMPUTED_VALUE"""),"Hóa học")</f>
        <v>Hóa học</v>
      </c>
      <c r="C83" s="4" t="str">
        <f>IFERROR(__xludf.DUMMYFUNCTION("""COMPUTED_VALUE"""),"Tổng hợp và đánh giá hoạt tính xúc tác phân hủy chất ô nhiễm của composite CoFe2O4/SiO2 trên nền silica từ trấu")</f>
        <v>Tổng hợp và đánh giá hoạt tính xúc tác phân hủy chất ô nhiễm của composite CoFe2O4/SiO2 trên nền silica từ trấu</v>
      </c>
      <c r="D83" s="4" t="str">
        <f>IFERROR(__xludf.DUMMYFUNCTION("""COMPUTED_VALUE"""),"Khu Trần Nhật Minh; Hà Tuấn Anh Tú; Phạm Minh Bằng; Nguyễn Văn Huy; Lê Mạnh Quyền")</f>
        <v>Khu Trần Nhật Minh; Hà Tuấn Anh Tú; Phạm Minh Bằng; Nguyễn Văn Huy; Lê Mạnh Quyền</v>
      </c>
      <c r="E83" s="4" t="str">
        <f>IFERROR(__xludf.DUMMYFUNCTION("""COMPUTED_VALUE"""),"Trường Đại học Sư phạm TP. Hồ Chí Minh")</f>
        <v>Trường Đại học Sư phạm TP. Hồ Chí Minh</v>
      </c>
      <c r="F83" s="4" t="str">
        <f>IFERROR(__xludf.DUMMYFUNCTION("""COMPUTED_VALUE"""),"HH2026-082.png")</f>
        <v>HH2026-082.png</v>
      </c>
    </row>
    <row r="84">
      <c r="A84" s="4" t="str">
        <f>IFERROR(__xludf.DUMMYFUNCTION("""COMPUTED_VALUE"""),"HH2026-083")</f>
        <v>HH2026-083</v>
      </c>
      <c r="B84" s="4" t="str">
        <f>IFERROR(__xludf.DUMMYFUNCTION("""COMPUTED_VALUE"""),"Hóa học")</f>
        <v>Hóa học</v>
      </c>
      <c r="C84" s="4" t="str">
        <f>IFERROR(__xludf.DUMMYFUNCTION("""COMPUTED_VALUE"""),"Floating MoS2/TiO2-Embedded PVA Hydrogel: An Advanced Interface-Photocatalytic Platform With High Visible-Light Activity and Easy Reusability")</f>
        <v>Floating MoS2/TiO2-Embedded PVA Hydrogel: An Advanced Interface-Photocatalytic Platform With High Visible-Light Activity and Easy Reusability</v>
      </c>
      <c r="D84" s="4" t="str">
        <f>IFERROR(__xludf.DUMMYFUNCTION("""COMPUTED_VALUE"""),"Phan Văn Phước; Trần Tôn Thành; Lâm Thi Thắng; Phạm Duy An")</f>
        <v>Phan Văn Phước; Trần Tôn Thành; Lâm Thi Thắng; Phạm Duy An</v>
      </c>
      <c r="E84" s="4" t="str">
        <f>IFERROR(__xludf.DUMMYFUNCTION("""COMPUTED_VALUE"""),"Trường Đại học Khoa học Tự nhiên, ĐHQG-HCM")</f>
        <v>Trường Đại học Khoa học Tự nhiên, ĐHQG-HCM</v>
      </c>
      <c r="F84" s="4" t="str">
        <f>IFERROR(__xludf.DUMMYFUNCTION("""COMPUTED_VALUE"""),"HH2026-083.png")</f>
        <v>HH2026-083.png</v>
      </c>
    </row>
    <row r="85">
      <c r="A85" s="4" t="str">
        <f>IFERROR(__xludf.DUMMYFUNCTION("""COMPUTED_VALUE"""),"HH2026-084")</f>
        <v>HH2026-084</v>
      </c>
      <c r="B85" s="4" t="str">
        <f>IFERROR(__xludf.DUMMYFUNCTION("""COMPUTED_VALUE"""),"Hóa học")</f>
        <v>Hóa học</v>
      </c>
      <c r="C85" s="4" t="str">
        <f>IFERROR(__xludf.DUMMYFUNCTION("""COMPUTED_VALUE"""),"NGHIÊN CỨU TỔNG HỢP VÀ CHỨC NĂNG HÓA BỀ MẶT SILICA XỐP TRUNG GIAN m-SiO2 TỪ VỎ TRẤU HƯỚNG TỚI ỨNG DỤNG MÀNG PHỦ NANO BẢO VỆ KỴ NƯỚC")</f>
        <v>NGHIÊN CỨU TỔNG HỢP VÀ CHỨC NĂNG HÓA BỀ MẶT SILICA XỐP TRUNG GIAN m-SiO2 TỪ VỎ TRẤU HƯỚNG TỚI ỨNG DỤNG MÀNG PHỦ NANO BẢO VỆ KỴ NƯỚC</v>
      </c>
      <c r="D85" s="4" t="str">
        <f>IFERROR(__xludf.DUMMYFUNCTION("""COMPUTED_VALUE"""),"Lý Nhã Uyên; Nguyễn Đình Nguyên")</f>
        <v>Lý Nhã Uyên; Nguyễn Đình Nguyên</v>
      </c>
      <c r="E85" s="4" t="str">
        <f>IFERROR(__xludf.DUMMYFUNCTION("""COMPUTED_VALUE"""),"Trường Đại học Bách Khoa, ĐHQG-HCM")</f>
        <v>Trường Đại học Bách Khoa, ĐHQG-HCM</v>
      </c>
      <c r="F85" s="4" t="str">
        <f>IFERROR(__xludf.DUMMYFUNCTION("""COMPUTED_VALUE"""),"HH2026-084.png")</f>
        <v>HH2026-084.png</v>
      </c>
    </row>
    <row r="86">
      <c r="A86" s="4" t="str">
        <f>IFERROR(__xludf.DUMMYFUNCTION("""COMPUTED_VALUE"""),"HH2026-085")</f>
        <v>HH2026-085</v>
      </c>
      <c r="B86" s="4" t="str">
        <f>IFERROR(__xludf.DUMMYFUNCTION("""COMPUTED_VALUE"""),"Hóa học")</f>
        <v>Hóa học</v>
      </c>
      <c r="C86" s="4" t="str">
        <f>IFERROR(__xludf.DUMMYFUNCTION("""COMPUTED_VALUE"""),"NGHIÊN CỨU CHẾ TẠO VẢI CHỨC NĂNG TRÊN CƠ SỞ VẬT LIỆU CHUYỂN HÓA QUANG NHIỆT CsxWO3 ỨNG DỤNG ĐIỀU HÒA NHIỆT ĐỘ")</f>
        <v>NGHIÊN CỨU CHẾ TẠO VẢI CHỨC NĂNG TRÊN CƠ SỞ VẬT LIỆU CHUYỂN HÓA QUANG NHIỆT CsxWO3 ỨNG DỤNG ĐIỀU HÒA NHIỆT ĐỘ</v>
      </c>
      <c r="D86" s="4" t="str">
        <f>IFERROR(__xludf.DUMMYFUNCTION("""COMPUTED_VALUE"""),"Nguyễn Trần Quốc Khánh; Lê Hoàng Bách; Nguyễn Phú Thịnh")</f>
        <v>Nguyễn Trần Quốc Khánh; Lê Hoàng Bách; Nguyễn Phú Thịnh</v>
      </c>
      <c r="E86" s="4" t="str">
        <f>IFERROR(__xludf.DUMMYFUNCTION("""COMPUTED_VALUE"""),"Trường Đại học Bách Khoa, ĐHQG-HCM")</f>
        <v>Trường Đại học Bách Khoa, ĐHQG-HCM</v>
      </c>
      <c r="F86" s="4" t="str">
        <f>IFERROR(__xludf.DUMMYFUNCTION("""COMPUTED_VALUE"""),"HH2026-085.png")</f>
        <v>HH2026-085.png</v>
      </c>
    </row>
    <row r="87">
      <c r="A87" s="4" t="str">
        <f>IFERROR(__xludf.DUMMYFUNCTION("""COMPUTED_VALUE"""),"HH2026-086")</f>
        <v>HH2026-086</v>
      </c>
      <c r="B87" s="4" t="str">
        <f>IFERROR(__xludf.DUMMYFUNCTION("""COMPUTED_VALUE"""),"Hóa học")</f>
        <v>Hóa học</v>
      </c>
      <c r="C87" s="4" t="str">
        <f>IFERROR(__xludf.DUMMYFUNCTION("""COMPUTED_VALUE"""),"NGHIÊN CỨU KHẢ NĂNG XÚC TÁC QUÁ TRÌNH PHÂN HỦY FENTON CHẤT MÀU HỮU CƠ DƯỚI ÁNH SÁNG KHẢ KIẾN CỦA VẬT LIỆU NANOCOMPOSITE CuOx-carbon CÓ NGUỒN GỐC TỪ MOF-199 ĐƯỢC TỔNG HỢP BẰNG PHƯƠNG PHÁP CƠ HỌC")</f>
        <v>NGHIÊN CỨU KHẢ NĂNG XÚC TÁC QUÁ TRÌNH PHÂN HỦY FENTON CHẤT MÀU HỮU CƠ DƯỚI ÁNH SÁNG KHẢ KIẾN CỦA VẬT LIỆU NANOCOMPOSITE CuOx-carbon CÓ NGUỒN GỐC TỪ MOF-199 ĐƯỢC TỔNG HỢP BẰNG PHƯƠNG PHÁP CƠ HỌC</v>
      </c>
      <c r="D87" s="4" t="str">
        <f>IFERROR(__xludf.DUMMYFUNCTION("""COMPUTED_VALUE"""),"Nguyễn Anh Khoa; Văn Nguyễn Anh Khoa")</f>
        <v>Nguyễn Anh Khoa; Văn Nguyễn Anh Khoa</v>
      </c>
      <c r="E87" s="4" t="str">
        <f>IFERROR(__xludf.DUMMYFUNCTION("""COMPUTED_VALUE"""),"Trường Đại học Bách Khoa, ĐHQG-HCM")</f>
        <v>Trường Đại học Bách Khoa, ĐHQG-HCM</v>
      </c>
      <c r="F87" s="4" t="str">
        <f>IFERROR(__xludf.DUMMYFUNCTION("""COMPUTED_VALUE"""),"HH2026-086.png")</f>
        <v>HH2026-086.png</v>
      </c>
    </row>
    <row r="88">
      <c r="A88" s="4" t="str">
        <f>IFERROR(__xludf.DUMMYFUNCTION("""COMPUTED_VALUE"""),"HH2026-087")</f>
        <v>HH2026-087</v>
      </c>
      <c r="B88" s="4" t="str">
        <f>IFERROR(__xludf.DUMMYFUNCTION("""COMPUTED_VALUE"""),"Hóa học")</f>
        <v>Hóa học</v>
      </c>
      <c r="C88" s="4" t="str">
        <f>IFERROR(__xludf.DUMMYFUNCTION("""COMPUTED_VALUE"""),"ĐIỀU KHIỂN PHA VÀ THIẾT KẾ GIAO DIỆN DỊ THỂ MnO2@TMD/GRAPHENE HƯỚNG TỚI ỨNG DỤNG LƯU TRỮ NĂNG LƯỢNG HIỆU SUẤT CAO")</f>
        <v>ĐIỀU KHIỂN PHA VÀ THIẾT KẾ GIAO DIỆN DỊ THỂ MnO2@TMD/GRAPHENE HƯỚNG TỚI ỨNG DỤNG LƯU TRỮ NĂNG LƯỢNG HIỆU SUẤT CAO</v>
      </c>
      <c r="D88" s="4" t="str">
        <f>IFERROR(__xludf.DUMMYFUNCTION("""COMPUTED_VALUE"""),"Huỳnh Quang Vinh; Nguyễn Quốc Thắng; Trần Phương Duy; Trần Anh Vũ; Võ Huỳnh Nhật Long")</f>
        <v>Huỳnh Quang Vinh; Nguyễn Quốc Thắng; Trần Phương Duy; Trần Anh Vũ; Võ Huỳnh Nhật Long</v>
      </c>
      <c r="E88" s="4" t="str">
        <f>IFERROR(__xludf.DUMMYFUNCTION("""COMPUTED_VALUE"""),"Trường Đại học Bách Khoa, ĐHQG-HCM")</f>
        <v>Trường Đại học Bách Khoa, ĐHQG-HCM</v>
      </c>
      <c r="F88" s="4" t="str">
        <f>IFERROR(__xludf.DUMMYFUNCTION("""COMPUTED_VALUE"""),"HH2026-087.png")</f>
        <v>HH2026-087.png</v>
      </c>
    </row>
    <row r="89">
      <c r="A89" s="4" t="str">
        <f>IFERROR(__xludf.DUMMYFUNCTION("""COMPUTED_VALUE"""),"HH2026-088")</f>
        <v>HH2026-088</v>
      </c>
      <c r="B89" s="4" t="str">
        <f>IFERROR(__xludf.DUMMYFUNCTION("""COMPUTED_VALUE"""),"Hóa học")</f>
        <v>Hóa học</v>
      </c>
      <c r="C89" s="4" t="str">
        <f>IFERROR(__xludf.DUMMYFUNCTION("""COMPUTED_VALUE"""),"DIRECT RECOVERY OF LIGNIN NANOPARTICLES FROM THE ORGANOSOLV LIQUOR OF ROBUSTA COFFEE HUSK (COFFEA CANEPHORA) AND THEIR APPLICATION IN BIO-BASED UV-BLOCKING")</f>
        <v>DIRECT RECOVERY OF LIGNIN NANOPARTICLES FROM THE ORGANOSOLV LIQUOR OF ROBUSTA COFFEE HUSK (COFFEA CANEPHORA) AND THEIR APPLICATION IN BIO-BASED UV-BLOCKING</v>
      </c>
      <c r="D89" s="4" t="str">
        <f>IFERROR(__xludf.DUMMYFUNCTION("""COMPUTED_VALUE"""),"Nguyễn Đức Hiếu; Nguyễn Đào Thùy Dương; Phạm Nhất Minh")</f>
        <v>Nguyễn Đức Hiếu; Nguyễn Đào Thùy Dương; Phạm Nhất Minh</v>
      </c>
      <c r="E89" s="4" t="str">
        <f>IFERROR(__xludf.DUMMYFUNCTION("""COMPUTED_VALUE"""),"Trường Đại học Bách Khoa, ĐHQG-HCM")</f>
        <v>Trường Đại học Bách Khoa, ĐHQG-HCM</v>
      </c>
      <c r="F89" s="4" t="str">
        <f>IFERROR(__xludf.DUMMYFUNCTION("""COMPUTED_VALUE"""),"HH2026-088.png")</f>
        <v>HH2026-088.png</v>
      </c>
    </row>
    <row r="90">
      <c r="A90" s="4" t="str">
        <f>IFERROR(__xludf.DUMMYFUNCTION("""COMPUTED_VALUE"""),"HH2026-089")</f>
        <v>HH2026-089</v>
      </c>
      <c r="B90" s="4" t="str">
        <f>IFERROR(__xludf.DUMMYFUNCTION("""COMPUTED_VALUE"""),"Hóa học")</f>
        <v>Hóa học</v>
      </c>
      <c r="C90" s="4" t="str">
        <f>IFERROR(__xludf.DUMMYFUNCTION("""COMPUTED_VALUE"""),"Tổng hợp hệ vật liệu nanosilica hữu cơ xốp chứa curcumin (E4S-NH2@curcumin) và khảo sát một số ứng dụng sinh học")</f>
        <v>Tổng hợp hệ vật liệu nanosilica hữu cơ xốp chứa curcumin (E4S-NH2@curcumin) và khảo sát một số ứng dụng sinh học</v>
      </c>
      <c r="D90" s="4" t="str">
        <f>IFERROR(__xludf.DUMMYFUNCTION("""COMPUTED_VALUE"""),"Nguyễn Gia Huy")</f>
        <v>Nguyễn Gia Huy</v>
      </c>
      <c r="E90" s="4" t="str">
        <f>IFERROR(__xludf.DUMMYFUNCTION("""COMPUTED_VALUE"""),"Trường Đại học Khoa học Tự nhiên, ĐHQG-HCM")</f>
        <v>Trường Đại học Khoa học Tự nhiên, ĐHQG-HCM</v>
      </c>
      <c r="F90" s="4" t="str">
        <f>IFERROR(__xludf.DUMMYFUNCTION("""COMPUTED_VALUE"""),"HH2026-089.png")</f>
        <v>HH2026-089.png</v>
      </c>
    </row>
    <row r="91">
      <c r="A91" s="4" t="str">
        <f>IFERROR(__xludf.DUMMYFUNCTION("""COMPUTED_VALUE"""),"HH2026-090")</f>
        <v>HH2026-090</v>
      </c>
      <c r="B91" s="4" t="str">
        <f>IFERROR(__xludf.DUMMYFUNCTION("""COMPUTED_VALUE"""),"Hóa học")</f>
        <v>Hóa học</v>
      </c>
      <c r="C91" s="4" t="str">
        <f>IFERROR(__xludf.DUMMYFUNCTION("""COMPUTED_VALUE"""),"Nghiên cứu chế tạo, ứng dụng vật liệu nanocomposite hiệu năng cao ZnO@Ce:GO trong xử lý thuốc nhuộm Disperse red 152 và kháng khuẩn Citrobacter species")</f>
        <v>Nghiên cứu chế tạo, ứng dụng vật liệu nanocomposite hiệu năng cao ZnO@Ce:GO trong xử lý thuốc nhuộm Disperse red 152 và kháng khuẩn Citrobacter species</v>
      </c>
      <c r="D91" s="4" t="str">
        <f>IFERROR(__xludf.DUMMYFUNCTION("""COMPUTED_VALUE"""),"Dương Thanh Hoa; Chu Ngọc Liễu")</f>
        <v>Dương Thanh Hoa; Chu Ngọc Liễu</v>
      </c>
      <c r="E91" s="4" t="str">
        <f>IFERROR(__xludf.DUMMYFUNCTION("""COMPUTED_VALUE"""),"Trường Đại học Sư phạm, Đại học Thái Nguyên")</f>
        <v>Trường Đại học Sư phạm, Đại học Thái Nguyên</v>
      </c>
      <c r="F91" s="4" t="str">
        <f>IFERROR(__xludf.DUMMYFUNCTION("""COMPUTED_VALUE"""),"HH2026-090.png")</f>
        <v>HH2026-090.png</v>
      </c>
    </row>
    <row r="92">
      <c r="A92" s="4" t="str">
        <f>IFERROR(__xludf.DUMMYFUNCTION("""COMPUTED_VALUE"""),"HH2026-091")</f>
        <v>HH2026-091</v>
      </c>
      <c r="B92" s="4" t="str">
        <f>IFERROR(__xludf.DUMMYFUNCTION("""COMPUTED_VALUE"""),"Hóa học")</f>
        <v>Hóa học</v>
      </c>
      <c r="C92" s="4" t="str">
        <f>IFERROR(__xludf.DUMMYFUNCTION("""COMPUTED_VALUE"""),"Tổng hợp vật liệu composite ZnO/Mesoporous Silica Nanoparticles (ZnO/MSN) ứng dụng trong phân hủy quang xúc tác Rhodamine B")</f>
        <v>Tổng hợp vật liệu composite ZnO/Mesoporous Silica Nanoparticles (ZnO/MSN) ứng dụng trong phân hủy quang xúc tác Rhodamine B</v>
      </c>
      <c r="D92" s="4" t="str">
        <f>IFERROR(__xludf.DUMMYFUNCTION("""COMPUTED_VALUE"""),"Nguyễn Hoàng An; Phạm Thị Tố Trân; Trần Lê Minh Trúc; Lê Phan Tường Vy")</f>
        <v>Nguyễn Hoàng An; Phạm Thị Tố Trân; Trần Lê Minh Trúc; Lê Phan Tường Vy</v>
      </c>
      <c r="E92" s="4" t="str">
        <f>IFERROR(__xludf.DUMMYFUNCTION("""COMPUTED_VALUE"""),"Trường Đại học Công Thương TP. Hồ Chí Minh")</f>
        <v>Trường Đại học Công Thương TP. Hồ Chí Minh</v>
      </c>
      <c r="F92" s="4" t="str">
        <f>IFERROR(__xludf.DUMMYFUNCTION("""COMPUTED_VALUE"""),"HH2026-091.png")</f>
        <v>HH2026-091.png</v>
      </c>
    </row>
    <row r="93">
      <c r="A93" s="4" t="str">
        <f>IFERROR(__xludf.DUMMYFUNCTION("""COMPUTED_VALUE"""),"HH2026-092")</f>
        <v>HH2026-092</v>
      </c>
      <c r="B93" s="4" t="str">
        <f>IFERROR(__xludf.DUMMYFUNCTION("""COMPUTED_VALUE"""),"Hóa học")</f>
        <v>Hóa học</v>
      </c>
      <c r="C93" s="4" t="str">
        <f>IFERROR(__xludf.DUMMYFUNCTION("""COMPUTED_VALUE"""),"Development of Nisin Z-Loaded Chitosan-Pectin-Coated Liposomes for Control of Pathogenic Vibrio in Pacific White Shrimp (Litopenaeus vannamei)")</f>
        <v>Development of Nisin Z-Loaded Chitosan-Pectin-Coated Liposomes for Control of Pathogenic Vibrio in Pacific White Shrimp (Litopenaeus vannamei)</v>
      </c>
      <c r="D93" s="4" t="str">
        <f>IFERROR(__xludf.DUMMYFUNCTION("""COMPUTED_VALUE"""),"Đinh Ngọc Nam Sơn; Hồ Minh Quân")</f>
        <v>Đinh Ngọc Nam Sơn; Hồ Minh Quân</v>
      </c>
      <c r="E93" s="4" t="str">
        <f>IFERROR(__xludf.DUMMYFUNCTION("""COMPUTED_VALUE"""),"Trường Đại học Khoa học Tự nhiên, ĐHQG-HCM")</f>
        <v>Trường Đại học Khoa học Tự nhiên, ĐHQG-HCM</v>
      </c>
      <c r="F93" s="4" t="str">
        <f>IFERROR(__xludf.DUMMYFUNCTION("""COMPUTED_VALUE"""),"HH2026-092.png")</f>
        <v>HH2026-092.png</v>
      </c>
    </row>
    <row r="94">
      <c r="A94" s="4" t="str">
        <f>IFERROR(__xludf.DUMMYFUNCTION("""COMPUTED_VALUE"""),"HH2026-093")</f>
        <v>HH2026-093</v>
      </c>
      <c r="B94" s="4" t="str">
        <f>IFERROR(__xludf.DUMMYFUNCTION("""COMPUTED_VALUE"""),"Hóa học")</f>
        <v>Hóa học</v>
      </c>
      <c r="C94" s="4" t="str">
        <f>IFERROR(__xludf.DUMMYFUNCTION("""COMPUTED_VALUE"""),"TỔNG HỢP 6,8-DIBROMO-3-CYCLOHEXYL-3-METHYL-2,4-DIHYDRO-1H-QUINAZOLIN-3-IUM (TẠP E CỦA BROMHEXIN HYDROCLORID THEO BP 2025) Ở QUY MÔ PHÒNG THÍ NGHIỆM")</f>
        <v>TỔNG HỢP 6,8-DIBROMO-3-CYCLOHEXYL-3-METHYL-2,4-DIHYDRO-1H-QUINAZOLIN-3-IUM (TẠP E CỦA BROMHEXIN HYDROCLORID THEO BP 2025) Ở QUY MÔ PHÒNG THÍ NGHIỆM</v>
      </c>
      <c r="D94" s="4" t="str">
        <f>IFERROR(__xludf.DUMMYFUNCTION("""COMPUTED_VALUE"""),"Lương Thị Hồng Khuyên; Huỳnh Chí Nguyễn; Phạm Sơn Trà; Nguyễn Hợp Bích Lam")</f>
        <v>Lương Thị Hồng Khuyên; Huỳnh Chí Nguyễn; Phạm Sơn Trà; Nguyễn Hợp Bích Lam</v>
      </c>
      <c r="E94" s="4" t="str">
        <f>IFERROR(__xludf.DUMMYFUNCTION("""COMPUTED_VALUE"""),"Đại học Y Dược TP. Hồ Chí Minh")</f>
        <v>Đại học Y Dược TP. Hồ Chí Minh</v>
      </c>
      <c r="F94" s="4" t="str">
        <f>IFERROR(__xludf.DUMMYFUNCTION("""COMPUTED_VALUE"""),"HH2026-093.png")</f>
        <v>HH2026-093.png</v>
      </c>
    </row>
    <row r="95">
      <c r="A95" s="4" t="str">
        <f>IFERROR(__xludf.DUMMYFUNCTION("""COMPUTED_VALUE"""),"HH2026-094")</f>
        <v>HH2026-094</v>
      </c>
      <c r="B95" s="4" t="str">
        <f>IFERROR(__xludf.DUMMYFUNCTION("""COMPUTED_VALUE"""),"Hóa học")</f>
        <v>Hóa học</v>
      </c>
      <c r="C95" s="4" t="str">
        <f>IFERROR(__xludf.DUMMYFUNCTION("""COMPUTED_VALUE"""),"NGHIÊN CỨU THÀNH PHẦN HÓA HỌC PHÂN ĐOẠN CAO N-HEXAN CỦA THÂN XẠ VÀNG PREMNA FULVA CRAIB. VÀ ĐÁNH GIÁ TƯƠNG TÁC VỚI ACETYLCHOLINESTERASE BẰNG DOCKING PHÂN TỬ")</f>
        <v>NGHIÊN CỨU THÀNH PHẦN HÓA HỌC PHÂN ĐOẠN CAO N-HEXAN CỦA THÂN XẠ VÀNG PREMNA FULVA CRAIB. VÀ ĐÁNH GIÁ TƯƠNG TÁC VỚI ACETYLCHOLINESTERASE BẰNG DOCKING PHÂN TỬ</v>
      </c>
      <c r="D95" s="4" t="str">
        <f>IFERROR(__xludf.DUMMYFUNCTION("""COMPUTED_VALUE"""),"Trần Phước Thiên Quốc; Trần Hồ Thanh Nghĩa; Lê Mỹ Trang; Lê Huỳnh Trung Nhân")</f>
        <v>Trần Phước Thiên Quốc; Trần Hồ Thanh Nghĩa; Lê Mỹ Trang; Lê Huỳnh Trung Nhân</v>
      </c>
      <c r="E95" s="4" t="str">
        <f>IFERROR(__xludf.DUMMYFUNCTION("""COMPUTED_VALUE"""),"Đại học Y Dược TP. Hồ Chí Minh")</f>
        <v>Đại học Y Dược TP. Hồ Chí Minh</v>
      </c>
      <c r="F95" s="4" t="str">
        <f>IFERROR(__xludf.DUMMYFUNCTION("""COMPUTED_VALUE"""),"HH2026-094.png")</f>
        <v>HH2026-094.png</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86"/>
    <col customWidth="1" min="2" max="2" width="21.14"/>
    <col customWidth="1" min="3" max="3" width="203.14"/>
    <col customWidth="1" min="4" max="4" width="104.0"/>
    <col customWidth="1" min="5" max="5" width="56.14"/>
    <col customWidth="1" min="6" max="6" width="18.86"/>
  </cols>
  <sheetData>
    <row r="1">
      <c r="A1" s="1" t="s">
        <v>0</v>
      </c>
      <c r="B1" s="1" t="s">
        <v>1</v>
      </c>
      <c r="C1" s="1" t="s">
        <v>2</v>
      </c>
      <c r="D1" s="1" t="s">
        <v>3</v>
      </c>
      <c r="E1" s="1" t="s">
        <v>4</v>
      </c>
      <c r="F1" s="1" t="s">
        <v>5</v>
      </c>
    </row>
    <row r="2">
      <c r="A2" s="4" t="str">
        <f>IFERROR(__xludf.DUMMYFUNCTION("FILTER('Danh sach'!A2:F2184, 'Danh sach'!B2:B2184=""Công nghệ thực phẩm"")"),"CNTP2026-001")</f>
        <v>CNTP2026-001</v>
      </c>
      <c r="B2" s="4" t="str">
        <f>IFERROR(__xludf.DUMMYFUNCTION("""COMPUTED_VALUE"""),"Công nghệ thực phẩm")</f>
        <v>Công nghệ thực phẩm</v>
      </c>
      <c r="C2" s="4" t="str">
        <f>IFERROR(__xludf.DUMMYFUNCTION("""COMPUTED_VALUE"""),"ĐÁNH GIÁ ẢNH HƯỞNG CỦA TỶ LỆ DẦU DỪA THỦY PHÂN ĐẾN HÀM LƯỢNG DINH DƯỠNG VÀ ĐẶC TÍNH HÓA LÝ CỦA SỮA HẠT")</f>
        <v>ĐÁNH GIÁ ẢNH HƯỞNG CỦA TỶ LỆ DẦU DỪA THỦY PHÂN ĐẾN HÀM LƯỢNG DINH DƯỠNG VÀ ĐẶC TÍNH HÓA LÝ CỦA SỮA HẠT</v>
      </c>
      <c r="D2" s="4" t="str">
        <f>IFERROR(__xludf.DUMMYFUNCTION("""COMPUTED_VALUE"""),"Nguyễn Ngọc Hân; Trần Vương Vân Anh; Võ Thùy Dương; Lâm Nguyễn Tường Anh; Nguyễn Thị Yến Vi")</f>
        <v>Nguyễn Ngọc Hân; Trần Vương Vân Anh; Võ Thùy Dương; Lâm Nguyễn Tường Anh; Nguyễn Thị Yến Vi</v>
      </c>
      <c r="E2" s="4" t="str">
        <f>IFERROR(__xludf.DUMMYFUNCTION("""COMPUTED_VALUE"""),"Trường Đại học Nguyễn Tất Thành")</f>
        <v>Trường Đại học Nguyễn Tất Thành</v>
      </c>
      <c r="F2" s="4" t="str">
        <f>IFERROR(__xludf.DUMMYFUNCTION("""COMPUTED_VALUE"""),"CNTP2026-001.png")</f>
        <v>CNTP2026-001.png</v>
      </c>
    </row>
    <row r="3">
      <c r="A3" s="4" t="str">
        <f>IFERROR(__xludf.DUMMYFUNCTION("""COMPUTED_VALUE"""),"CNTP2026-002")</f>
        <v>CNTP2026-002</v>
      </c>
      <c r="B3" s="4" t="str">
        <f>IFERROR(__xludf.DUMMYFUNCTION("""COMPUTED_VALUE"""),"Công nghệ thực phẩm")</f>
        <v>Công nghệ thực phẩm</v>
      </c>
      <c r="C3" s="4" t="str">
        <f>IFERROR(__xludf.DUMMYFUNCTION("""COMPUTED_VALUE"""),"THU NHẬN VÀ ĐÁNH GIÁ CHẤT LƯỢNG BỘT VI BAO SAPONIN TỪ THÂN SÂM NGỌC LINH (PANAX VIETNAMENSIS HA ET GRUSHV.)")</f>
        <v>THU NHẬN VÀ ĐÁNH GIÁ CHẤT LƯỢNG BỘT VI BAO SAPONIN TỪ THÂN SÂM NGỌC LINH (PANAX VIETNAMENSIS HA ET GRUSHV.)</v>
      </c>
      <c r="D3" s="4" t="str">
        <f>IFERROR(__xludf.DUMMYFUNCTION("""COMPUTED_VALUE"""),"Nguyễn Thị Thuý Huỳnh; Trần Quốc Anh; Ngô Thị Ngọc Cẩm")</f>
        <v>Nguyễn Thị Thuý Huỳnh; Trần Quốc Anh; Ngô Thị Ngọc Cẩm</v>
      </c>
      <c r="E3" s="4" t="str">
        <f>IFERROR(__xludf.DUMMYFUNCTION("""COMPUTED_VALUE"""),"Trường Đại học Nguyễn Tất Thành")</f>
        <v>Trường Đại học Nguyễn Tất Thành</v>
      </c>
      <c r="F3" s="4" t="str">
        <f>IFERROR(__xludf.DUMMYFUNCTION("""COMPUTED_VALUE"""),"CNTP2026-002.png")</f>
        <v>CNTP2026-002.png</v>
      </c>
    </row>
    <row r="4">
      <c r="A4" s="4" t="str">
        <f>IFERROR(__xludf.DUMMYFUNCTION("""COMPUTED_VALUE"""),"CNTP2026-003")</f>
        <v>CNTP2026-003</v>
      </c>
      <c r="B4" s="4" t="str">
        <f>IFERROR(__xludf.DUMMYFUNCTION("""COMPUTED_VALUE"""),"Công nghệ thực phẩm")</f>
        <v>Công nghệ thực phẩm</v>
      </c>
      <c r="C4" s="4" t="str">
        <f>IFERROR(__xludf.DUMMYFUNCTION("""COMPUTED_VALUE"""),"Nghiên cứu sản xuất nước giải khát từ cao chiết rau sam (Portulaca oleracea L.) kết hợp với chanh leo (Passiflora edulis Sims)")</f>
        <v>Nghiên cứu sản xuất nước giải khát từ cao chiết rau sam (Portulaca oleracea L.) kết hợp với chanh leo (Passiflora edulis Sims)</v>
      </c>
      <c r="D4" s="4" t="str">
        <f>IFERROR(__xludf.DUMMYFUNCTION("""COMPUTED_VALUE"""),"Phan Hiền Tâm; Lê Thị Thu Hương")</f>
        <v>Phan Hiền Tâm; Lê Thị Thu Hương</v>
      </c>
      <c r="E4" s="4" t="str">
        <f>IFERROR(__xludf.DUMMYFUNCTION("""COMPUTED_VALUE"""),"Trường Đại học Tôn Đức Thắng")</f>
        <v>Trường Đại học Tôn Đức Thắng</v>
      </c>
      <c r="F4" s="4" t="str">
        <f>IFERROR(__xludf.DUMMYFUNCTION("""COMPUTED_VALUE"""),"CNTP2026-003.png")</f>
        <v>CNTP2026-003.png</v>
      </c>
    </row>
    <row r="5">
      <c r="A5" s="4" t="str">
        <f>IFERROR(__xludf.DUMMYFUNCTION("""COMPUTED_VALUE"""),"CNTP2026-004")</f>
        <v>CNTP2026-004</v>
      </c>
      <c r="B5" s="4" t="str">
        <f>IFERROR(__xludf.DUMMYFUNCTION("""COMPUTED_VALUE"""),"Công nghệ thực phẩm")</f>
        <v>Công nghệ thực phẩm</v>
      </c>
      <c r="C5" s="4" t="str">
        <f>IFERROR(__xludf.DUMMYFUNCTION("""COMPUTED_VALUE"""),"Nghiên cứu ứng dụng enzyme để thu dịch quả chanh dây")</f>
        <v>Nghiên cứu ứng dụng enzyme để thu dịch quả chanh dây</v>
      </c>
      <c r="D5" s="4" t="str">
        <f>IFERROR(__xludf.DUMMYFUNCTION("""COMPUTED_VALUE"""),"Vũ Thị Khánh Linh; Trần Thu Hương")</f>
        <v>Vũ Thị Khánh Linh; Trần Thu Hương</v>
      </c>
      <c r="E5" s="4" t="str">
        <f>IFERROR(__xludf.DUMMYFUNCTION("""COMPUTED_VALUE"""),"Trường Đại học Mở Hà Nội")</f>
        <v>Trường Đại học Mở Hà Nội</v>
      </c>
      <c r="F5" s="4" t="str">
        <f>IFERROR(__xludf.DUMMYFUNCTION("""COMPUTED_VALUE"""),"CNTP2026-004.png")</f>
        <v>CNTP2026-004.png</v>
      </c>
    </row>
    <row r="6">
      <c r="A6" s="4" t="str">
        <f>IFERROR(__xludf.DUMMYFUNCTION("""COMPUTED_VALUE"""),"CNTP2026-005")</f>
        <v>CNTP2026-005</v>
      </c>
      <c r="B6" s="4" t="str">
        <f>IFERROR(__xludf.DUMMYFUNCTION("""COMPUTED_VALUE"""),"Công nghệ thực phẩm")</f>
        <v>Công nghệ thực phẩm</v>
      </c>
      <c r="C6" s="4" t="str">
        <f>IFERROR(__xludf.DUMMYFUNCTION("""COMPUTED_VALUE"""),"Nghiên cứu chế biến rượu vang từ quả chanh dây (Passiflora edulis Sims) trồng tại Gia Lai")</f>
        <v>Nghiên cứu chế biến rượu vang từ quả chanh dây (Passiflora edulis Sims) trồng tại Gia Lai</v>
      </c>
      <c r="D6" s="4" t="str">
        <f>IFERROR(__xludf.DUMMYFUNCTION("""COMPUTED_VALUE"""),"Phạm Bùi Nhật Triều; Phạm Thị Ánh Hoa; Huỳnh Thị Mỹ Linh; Nguyễn Thị Như Ý; Phạm Thị Thanh Trà")</f>
        <v>Phạm Bùi Nhật Triều; Phạm Thị Ánh Hoa; Huỳnh Thị Mỹ Linh; Nguyễn Thị Như Ý; Phạm Thị Thanh Trà</v>
      </c>
      <c r="E6" s="4" t="str">
        <f>IFERROR(__xludf.DUMMYFUNCTION("""COMPUTED_VALUE"""),"Trường Đại học Quy Nhơn")</f>
        <v>Trường Đại học Quy Nhơn</v>
      </c>
      <c r="F6" s="4" t="str">
        <f>IFERROR(__xludf.DUMMYFUNCTION("""COMPUTED_VALUE"""),"CNTP2026-005.png")</f>
        <v>CNTP2026-005.png</v>
      </c>
    </row>
    <row r="7">
      <c r="A7" s="4" t="str">
        <f>IFERROR(__xludf.DUMMYFUNCTION("""COMPUTED_VALUE"""),"CNTP2026-006")</f>
        <v>CNTP2026-006</v>
      </c>
      <c r="B7" s="4" t="str">
        <f>IFERROR(__xludf.DUMMYFUNCTION("""COMPUTED_VALUE"""),"Công nghệ thực phẩm")</f>
        <v>Công nghệ thực phẩm</v>
      </c>
      <c r="C7" s="4" t="str">
        <f>IFERROR(__xludf.DUMMYFUNCTION("""COMPUTED_VALUE"""),"Tối ưu hóa hàm lượng tinh bột kháng từ bột đậu trắng nảy mầm bằng phương pháp xử lý nhiệt - ẩm và ứng dụng bổ sung vào sản phẩm mì sợi")</f>
        <v>Tối ưu hóa hàm lượng tinh bột kháng từ bột đậu trắng nảy mầm bằng phương pháp xử lý nhiệt - ẩm và ứng dụng bổ sung vào sản phẩm mì sợi</v>
      </c>
      <c r="D7" s="4" t="str">
        <f>IFERROR(__xludf.DUMMYFUNCTION("""COMPUTED_VALUE"""),"Đỗ Thị Hồng Nhung; Phạm Thị Hải Vân; Lê Đức Trọng; Lê Bích Ngọc")</f>
        <v>Đỗ Thị Hồng Nhung; Phạm Thị Hải Vân; Lê Đức Trọng; Lê Bích Ngọc</v>
      </c>
      <c r="E7" s="4" t="str">
        <f>IFERROR(__xludf.DUMMYFUNCTION("""COMPUTED_VALUE"""),"Trường Đại học Công nghệ TP. Hồ Chí Minh")</f>
        <v>Trường Đại học Công nghệ TP. Hồ Chí Minh</v>
      </c>
      <c r="F7" s="4" t="str">
        <f>IFERROR(__xludf.DUMMYFUNCTION("""COMPUTED_VALUE"""),"CNTP2026-006.png")</f>
        <v>CNTP2026-006.png</v>
      </c>
    </row>
    <row r="8">
      <c r="A8" s="4" t="str">
        <f>IFERROR(__xludf.DUMMYFUNCTION("""COMPUTED_VALUE"""),"CNTP2026-007")</f>
        <v>CNTP2026-007</v>
      </c>
      <c r="B8" s="4" t="str">
        <f>IFERROR(__xludf.DUMMYFUNCTION("""COMPUTED_VALUE"""),"Công nghệ thực phẩm")</f>
        <v>Công nghệ thực phẩm</v>
      </c>
      <c r="C8" s="4" t="str">
        <f>IFERROR(__xludf.DUMMYFUNCTION("""COMPUTED_VALUE"""),"Tối ưu hóa hàm lượng tinh bột kháng bằng phương pháp siêu âm từ hạt đậu đen nảy mầm và ứng dụng bổ sung vào sản phẩm sandwich")</f>
        <v>Tối ưu hóa hàm lượng tinh bột kháng bằng phương pháp siêu âm từ hạt đậu đen nảy mầm và ứng dụng bổ sung vào sản phẩm sandwich</v>
      </c>
      <c r="D8" s="4" t="str">
        <f>IFERROR(__xludf.DUMMYFUNCTION("""COMPUTED_VALUE"""),"Đỗ Thị Hồng Nhung; Phạm Thị Hải Vân; Lê Đức Trọng; Lê Bích Ngọc")</f>
        <v>Đỗ Thị Hồng Nhung; Phạm Thị Hải Vân; Lê Đức Trọng; Lê Bích Ngọc</v>
      </c>
      <c r="E8" s="4" t="str">
        <f>IFERROR(__xludf.DUMMYFUNCTION("""COMPUTED_VALUE"""),"Trường Đại học Công nghệ TP. Hồ Chí Minh")</f>
        <v>Trường Đại học Công nghệ TP. Hồ Chí Minh</v>
      </c>
      <c r="F8" s="4" t="str">
        <f>IFERROR(__xludf.DUMMYFUNCTION("""COMPUTED_VALUE"""),"CNTP2026-007.png")</f>
        <v>CNTP2026-007.png</v>
      </c>
    </row>
    <row r="9">
      <c r="A9" s="4" t="str">
        <f>IFERROR(__xludf.DUMMYFUNCTION("""COMPUTED_VALUE"""),"CNTP2026-008")</f>
        <v>CNTP2026-008</v>
      </c>
      <c r="B9" s="4" t="str">
        <f>IFERROR(__xludf.DUMMYFUNCTION("""COMPUTED_VALUE"""),"Công nghệ thực phẩm")</f>
        <v>Công nghệ thực phẩm</v>
      </c>
      <c r="C9" s="4" t="str">
        <f>IFERROR(__xludf.DUMMYFUNCTION("""COMPUTED_VALUE"""),"Thu nhận bột nhân hạt me (Tamarindus indica L.) và định hướng ứng dụng trong chế biến sản phẩm thực phẩm")</f>
        <v>Thu nhận bột nhân hạt me (Tamarindus indica L.) và định hướng ứng dụng trong chế biến sản phẩm thực phẩm</v>
      </c>
      <c r="D9" s="4" t="str">
        <f>IFERROR(__xludf.DUMMYFUNCTION("""COMPUTED_VALUE"""),"Nguyễn Mạnh Hào; Phạm Phương Anh; Bùi Nguyễn Ngọc Ánh Hằng")</f>
        <v>Nguyễn Mạnh Hào; Phạm Phương Anh; Bùi Nguyễn Ngọc Ánh Hằng</v>
      </c>
      <c r="E9" s="4" t="str">
        <f>IFERROR(__xludf.DUMMYFUNCTION("""COMPUTED_VALUE"""),"Trường Đại học Công nghệ TP. Hồ Chí Minh")</f>
        <v>Trường Đại học Công nghệ TP. Hồ Chí Minh</v>
      </c>
      <c r="F9" s="4" t="str">
        <f>IFERROR(__xludf.DUMMYFUNCTION("""COMPUTED_VALUE"""),"CNTP2026-008.png")</f>
        <v>CNTP2026-008.png</v>
      </c>
    </row>
    <row r="10">
      <c r="A10" s="4" t="str">
        <f>IFERROR(__xludf.DUMMYFUNCTION("""COMPUTED_VALUE"""),"CNTP2026-009")</f>
        <v>CNTP2026-009</v>
      </c>
      <c r="B10" s="4" t="str">
        <f>IFERROR(__xludf.DUMMYFUNCTION("""COMPUTED_VALUE"""),"Công nghệ thực phẩm")</f>
        <v>Công nghệ thực phẩm</v>
      </c>
      <c r="C10" s="4" t="str">
        <f>IFERROR(__xludf.DUMMYFUNCTION("""COMPUTED_VALUE"""),"Nghiên cứu chế tạo màng thông minh chỉ thị độ tươi của thực phẩm tươi sống dựa trên polymer thân thiện môi trường và các phế phẩm sẵn có tại Việt Nam")</f>
        <v>Nghiên cứu chế tạo màng thông minh chỉ thị độ tươi của thực phẩm tươi sống dựa trên polymer thân thiện môi trường và các phế phẩm sẵn có tại Việt Nam</v>
      </c>
      <c r="D10" s="4" t="str">
        <f>IFERROR(__xludf.DUMMYFUNCTION("""COMPUTED_VALUE"""),"Phạm Thị Kim Hiên; Võ Văn Chương; Lê Thành Duy")</f>
        <v>Phạm Thị Kim Hiên; Võ Văn Chương; Lê Thành Duy</v>
      </c>
      <c r="E10" s="4" t="str">
        <f>IFERROR(__xludf.DUMMYFUNCTION("""COMPUTED_VALUE"""),"Trường Đại học Công nghệ Kỹ thuật TP. Hồ Chí Minh")</f>
        <v>Trường Đại học Công nghệ Kỹ thuật TP. Hồ Chí Minh</v>
      </c>
      <c r="F10" s="4" t="str">
        <f>IFERROR(__xludf.DUMMYFUNCTION("""COMPUTED_VALUE"""),"CNTP2026-009.png")</f>
        <v>CNTP2026-009.png</v>
      </c>
    </row>
    <row r="11">
      <c r="A11" s="4" t="str">
        <f>IFERROR(__xludf.DUMMYFUNCTION("""COMPUTED_VALUE"""),"CNTP2026-010")</f>
        <v>CNTP2026-010</v>
      </c>
      <c r="B11" s="4" t="str">
        <f>IFERROR(__xludf.DUMMYFUNCTION("""COMPUTED_VALUE"""),"Công nghệ thực phẩm")</f>
        <v>Công nghệ thực phẩm</v>
      </c>
      <c r="C11" s="4" t="str">
        <f>IFERROR(__xludf.DUMMYFUNCTION("""COMPUTED_VALUE"""),"MỘT SỐ YẾU TỐ ẢNH HƯỞNG ĐẾN QUÁ TRÌNH SẢN XUẤT GIA VỊ RẮC CƠM TỪ CẢI KALE (BRASSICA OLERACEA VAR. ACEPHALA L.) BẰNG PHƯƠNG PHÁP CHIÊN CHÂN KHÔNG")</f>
        <v>MỘT SỐ YẾU TỐ ẢNH HƯỞNG ĐẾN QUÁ TRÌNH SẢN XUẤT GIA VỊ RẮC CƠM TỪ CẢI KALE (BRASSICA OLERACEA VAR. ACEPHALA L.) BẰNG PHƯƠNG PHÁP CHIÊN CHÂN KHÔNG</v>
      </c>
      <c r="D11" s="4" t="str">
        <f>IFERROR(__xludf.DUMMYFUNCTION("""COMPUTED_VALUE"""),"Phạm Bảo Hân; Nguyễn Thị Thu Huyền; Nguyễn Tâm Nguyên; Đinh Nhật Quang")</f>
        <v>Phạm Bảo Hân; Nguyễn Thị Thu Huyền; Nguyễn Tâm Nguyên; Đinh Nhật Quang</v>
      </c>
      <c r="E11" s="4" t="str">
        <f>IFERROR(__xludf.DUMMYFUNCTION("""COMPUTED_VALUE"""),"Đại học Duy Tân")</f>
        <v>Đại học Duy Tân</v>
      </c>
      <c r="F11" s="4" t="str">
        <f>IFERROR(__xludf.DUMMYFUNCTION("""COMPUTED_VALUE"""),"CNTP2026-010.png")</f>
        <v>CNTP2026-010.png</v>
      </c>
    </row>
    <row r="12">
      <c r="A12" s="4" t="str">
        <f>IFERROR(__xludf.DUMMYFUNCTION("""COMPUTED_VALUE"""),"CNTP2026-011")</f>
        <v>CNTP2026-011</v>
      </c>
      <c r="B12" s="4" t="str">
        <f>IFERROR(__xludf.DUMMYFUNCTION("""COMPUTED_VALUE"""),"Công nghệ thực phẩm")</f>
        <v>Công nghệ thực phẩm</v>
      </c>
      <c r="C12" s="4" t="str">
        <f>IFERROR(__xludf.DUMMYFUNCTION("""COMPUTED_VALUE"""),"KHẢO SÁT MỘT SỐ YẾU TỐ ẢNH HƯỞNG ĐẾN QUÁ TRÌNH SẢN XUẤT TRÀ VIÊN VỎ QUẢ TẮC ( CITRUS JAPONICA ) KẾT HỢP THẢO MỘC")</f>
        <v>KHẢO SÁT MỘT SỐ YẾU TỐ ẢNH HƯỞNG ĐẾN QUÁ TRÌNH SẢN XUẤT TRÀ VIÊN VỎ QUẢ TẮC ( CITRUS JAPONICA ) KẾT HỢP THẢO MỘC</v>
      </c>
      <c r="D12" s="4" t="str">
        <f>IFERROR(__xludf.DUMMYFUNCTION("""COMPUTED_VALUE"""),"Lê Ý Hạ; Nguyễn Duy Hiểu; Ngô Thị Mỹ Thúy")</f>
        <v>Lê Ý Hạ; Nguyễn Duy Hiểu; Ngô Thị Mỹ Thúy</v>
      </c>
      <c r="E12" s="4" t="str">
        <f>IFERROR(__xludf.DUMMYFUNCTION("""COMPUTED_VALUE"""),"Đại học Duy Tân")</f>
        <v>Đại học Duy Tân</v>
      </c>
      <c r="F12" s="4" t="str">
        <f>IFERROR(__xludf.DUMMYFUNCTION("""COMPUTED_VALUE"""),"CNTP2026-011.png")</f>
        <v>CNTP2026-011.png</v>
      </c>
    </row>
    <row r="13">
      <c r="A13" s="4" t="str">
        <f>IFERROR(__xludf.DUMMYFUNCTION("""COMPUTED_VALUE"""),"CNTP2026-012")</f>
        <v>CNTP2026-012</v>
      </c>
      <c r="B13" s="4" t="str">
        <f>IFERROR(__xludf.DUMMYFUNCTION("""COMPUTED_VALUE"""),"Công nghệ thực phẩm")</f>
        <v>Công nghệ thực phẩm</v>
      </c>
      <c r="C13" s="4" t="str">
        <f>IFERROR(__xludf.DUMMYFUNCTION("""COMPUTED_VALUE"""),"NGHIÊN CỨU MỘT SỐ YẾU TỐ ẢNH HƯỞNG ĐẾN QUY TRÌNH SẢN XUẤT GIA VỊ RẮC CƠM TỪ LÁ CHÙM NGÂY")</f>
        <v>NGHIÊN CỨU MỘT SỐ YẾU TỐ ẢNH HƯỞNG ĐẾN QUY TRÌNH SẢN XUẤT GIA VỊ RẮC CƠM TỪ LÁ CHÙM NGÂY</v>
      </c>
      <c r="D13" s="4" t="str">
        <f>IFERROR(__xludf.DUMMYFUNCTION("""COMPUTED_VALUE"""),"Trần Lê Anh Việt; Sơn Hoàng Phú Quí; Trần Quang Vũ; Tôn Nữ Gia Hân; Nguyễn Thị Ngọc Vân")</f>
        <v>Trần Lê Anh Việt; Sơn Hoàng Phú Quí; Trần Quang Vũ; Tôn Nữ Gia Hân; Nguyễn Thị Ngọc Vân</v>
      </c>
      <c r="E13" s="4" t="str">
        <f>IFERROR(__xludf.DUMMYFUNCTION("""COMPUTED_VALUE"""),"Đại học Duy Tân")</f>
        <v>Đại học Duy Tân</v>
      </c>
      <c r="F13" s="4" t="str">
        <f>IFERROR(__xludf.DUMMYFUNCTION("""COMPUTED_VALUE"""),"CNTP2026-012.png")</f>
        <v>CNTP2026-012.png</v>
      </c>
    </row>
    <row r="14">
      <c r="A14" s="4" t="str">
        <f>IFERROR(__xludf.DUMMYFUNCTION("""COMPUTED_VALUE"""),"CNTP2026-013")</f>
        <v>CNTP2026-013</v>
      </c>
      <c r="B14" s="4" t="str">
        <f>IFERROR(__xludf.DUMMYFUNCTION("""COMPUTED_VALUE"""),"Công nghệ thực phẩm")</f>
        <v>Công nghệ thực phẩm</v>
      </c>
      <c r="C14" s="4" t="str">
        <f>IFERROR(__xludf.DUMMYFUNCTION("""COMPUTED_VALUE"""),"NGHIÊN CỨU QUÁ TRÌNH CHẾ BIỂN SẢN PHẨM KẸO DẢI TỪ VỎ CHANH MUỐI NHẰM GIẢM THIỂU THẢI PHỤ PHẨM TRONG NGÀNH CÔNG NGHIỆP NƯỚC CHANH TẠI VIỆT NAM")</f>
        <v>NGHIÊN CỨU QUÁ TRÌNH CHẾ BIỂN SẢN PHẨM KẸO DẢI TỪ VỎ CHANH MUỐI NHẰM GIẢM THIỂU THẢI PHỤ PHẨM TRONG NGÀNH CÔNG NGHIỆP NƯỚC CHANH TẠI VIỆT NAM</v>
      </c>
      <c r="D14" s="4" t="str">
        <f>IFERROR(__xludf.DUMMYFUNCTION("""COMPUTED_VALUE"""),"Trần Quốc Ca; Nguyễn Thanh Tuyền; Nguyễn Ngọc Tín; Phan Trọng Phúc; Nguyễn Đặng Kiều Trinh")</f>
        <v>Trần Quốc Ca; Nguyễn Thanh Tuyền; Nguyễn Ngọc Tín; Phan Trọng Phúc; Nguyễn Đặng Kiều Trinh</v>
      </c>
      <c r="E14" s="4" t="str">
        <f>IFERROR(__xludf.DUMMYFUNCTION("""COMPUTED_VALUE"""),"Trường Đại học Bách Khoa, ĐHQG-HCM")</f>
        <v>Trường Đại học Bách Khoa, ĐHQG-HCM</v>
      </c>
      <c r="F14" s="4" t="str">
        <f>IFERROR(__xludf.DUMMYFUNCTION("""COMPUTED_VALUE"""),"CNTP2026-013.png")</f>
        <v>CNTP2026-013.png</v>
      </c>
    </row>
    <row r="15">
      <c r="A15" s="4" t="str">
        <f>IFERROR(__xludf.DUMMYFUNCTION("""COMPUTED_VALUE"""),"CNTP2026-014")</f>
        <v>CNTP2026-014</v>
      </c>
      <c r="B15" s="4" t="str">
        <f>IFERROR(__xludf.DUMMYFUNCTION("""COMPUTED_VALUE"""),"Công nghệ thực phẩm")</f>
        <v>Công nghệ thực phẩm</v>
      </c>
      <c r="C15" s="4" t="str">
        <f>IFERROR(__xludf.DUMMYFUNCTION("""COMPUTED_VALUE"""),"NGHIÊN CỨU SẢN XUẤT NƯỚC LẨU CÔ ĐẶC TỪ PHỤ PHẨM QUÁ TRÌNH LÊN MEN ỚT")</f>
        <v>NGHIÊN CỨU SẢN XUẤT NƯỚC LẨU CÔ ĐẶC TỪ PHỤ PHẨM QUÁ TRÌNH LÊN MEN ỚT</v>
      </c>
      <c r="D15" s="4" t="str">
        <f>IFERROR(__xludf.DUMMYFUNCTION("""COMPUTED_VALUE"""),"Nguyễn Thị Minh Oanh; Nguyễn Mai Lan")</f>
        <v>Nguyễn Thị Minh Oanh; Nguyễn Mai Lan</v>
      </c>
      <c r="E15" s="4" t="str">
        <f>IFERROR(__xludf.DUMMYFUNCTION("""COMPUTED_VALUE"""),"Trường Đại học Bách Khoa, ĐHQG-HCM")</f>
        <v>Trường Đại học Bách Khoa, ĐHQG-HCM</v>
      </c>
      <c r="F15" s="4" t="str">
        <f>IFERROR(__xludf.DUMMYFUNCTION("""COMPUTED_VALUE"""),"CNTP2026-014.png")</f>
        <v>CNTP2026-014.png</v>
      </c>
    </row>
    <row r="16">
      <c r="A16" s="4" t="str">
        <f>IFERROR(__xludf.DUMMYFUNCTION("""COMPUTED_VALUE"""),"CNTP2026-015")</f>
        <v>CNTP2026-015</v>
      </c>
      <c r="B16" s="4" t="str">
        <f>IFERROR(__xludf.DUMMYFUNCTION("""COMPUTED_VALUE"""),"Công nghệ thực phẩm")</f>
        <v>Công nghệ thực phẩm</v>
      </c>
      <c r="C16" s="4" t="str">
        <f>IFERROR(__xludf.DUMMYFUNCTION("""COMPUTED_VALUE"""),"ẢNH HƯỞNG CỦA LACTIPLANTIBACILLUS PLANTARUM VÀ THỜI GIAN LÊN MEN ĐẾN HÀM LƯỢNG PHENOLIC, HOẠT TÍNH CHỐNG OXY HÓA VÀ CHẤT LƯỢNG CẢM QUAN CỦA VỎ CÀ PHÊ ROBUSTA (COFFEA CANEPHORA)")</f>
        <v>ẢNH HƯỞNG CỦA LACTIPLANTIBACILLUS PLANTARUM VÀ THỜI GIAN LÊN MEN ĐẾN HÀM LƯỢNG PHENOLIC, HOẠT TÍNH CHỐNG OXY HÓA VÀ CHẤT LƯỢNG CẢM QUAN CỦA VỎ CÀ PHÊ ROBUSTA (COFFEA CANEPHORA)</v>
      </c>
      <c r="D16" s="4" t="str">
        <f>IFERROR(__xludf.DUMMYFUNCTION("""COMPUTED_VALUE"""),"Nguyễn Đan Phương; Nguyễn Hoàng Anh Tú; Cao Đoàn Thảo Vân")</f>
        <v>Nguyễn Đan Phương; Nguyễn Hoàng Anh Tú; Cao Đoàn Thảo Vân</v>
      </c>
      <c r="E16" s="4" t="str">
        <f>IFERROR(__xludf.DUMMYFUNCTION("""COMPUTED_VALUE"""),"Trường Đại học Bách Khoa, ĐHQG-HCM")</f>
        <v>Trường Đại học Bách Khoa, ĐHQG-HCM</v>
      </c>
      <c r="F16" s="4" t="str">
        <f>IFERROR(__xludf.DUMMYFUNCTION("""COMPUTED_VALUE"""),"CNTP2026-015.png")</f>
        <v>CNTP2026-015.png</v>
      </c>
    </row>
    <row r="17">
      <c r="A17" s="4" t="str">
        <f>IFERROR(__xludf.DUMMYFUNCTION("""COMPUTED_VALUE"""),"CNTP2026-016")</f>
        <v>CNTP2026-016</v>
      </c>
      <c r="B17" s="4" t="str">
        <f>IFERROR(__xludf.DUMMYFUNCTION("""COMPUTED_VALUE"""),"Công nghệ thực phẩm")</f>
        <v>Công nghệ thực phẩm</v>
      </c>
      <c r="C17" s="4" t="str">
        <f>IFERROR(__xludf.DUMMYFUNCTION("""COMPUTED_VALUE"""),"Nghiên cứu thu nhận dịch chiết chứa luteolin từ hoa cúc bằng phương pháp chiết lưỡng pha")</f>
        <v>Nghiên cứu thu nhận dịch chiết chứa luteolin từ hoa cúc bằng phương pháp chiết lưỡng pha</v>
      </c>
      <c r="D17" s="4" t="str">
        <f>IFERROR(__xludf.DUMMYFUNCTION("""COMPUTED_VALUE"""),"Đặng Ngọc Xuân; Nguyễn Ngọc Hân; Nguyễn Phú Hào; Đinh Thanh Ngân; Văn Thị Song Ngân")</f>
        <v>Đặng Ngọc Xuân; Nguyễn Ngọc Hân; Nguyễn Phú Hào; Đinh Thanh Ngân; Văn Thị Song Ngân</v>
      </c>
      <c r="E17" s="4" t="str">
        <f>IFERROR(__xludf.DUMMYFUNCTION("""COMPUTED_VALUE"""),"Trường Đại học Công Thương TP. Hồ Chí Minh")</f>
        <v>Trường Đại học Công Thương TP. Hồ Chí Minh</v>
      </c>
      <c r="F17" s="4" t="str">
        <f>IFERROR(__xludf.DUMMYFUNCTION("""COMPUTED_VALUE"""),"CNTP2026-016.png")</f>
        <v>CNTP2026-016.png</v>
      </c>
    </row>
    <row r="18">
      <c r="A18" s="4" t="str">
        <f>IFERROR(__xludf.DUMMYFUNCTION("""COMPUTED_VALUE"""),"CNTP2026-017")</f>
        <v>CNTP2026-017</v>
      </c>
      <c r="B18" s="4" t="str">
        <f>IFERROR(__xludf.DUMMYFUNCTION("""COMPUTED_VALUE"""),"Công nghệ thực phẩm")</f>
        <v>Công nghệ thực phẩm</v>
      </c>
      <c r="C18" s="4" t="str">
        <f>IFERROR(__xludf.DUMMYFUNCTION("""COMPUTED_VALUE"""),"Tối ưu hóa trích ly phenolic từ vỏ măng cụt hỗ trợ bằng siêu âm và ứng dụng trong phát triển rượu vang từ phụ phẩm xoài sấy dẻo")</f>
        <v>Tối ưu hóa trích ly phenolic từ vỏ măng cụt hỗ trợ bằng siêu âm và ứng dụng trong phát triển rượu vang từ phụ phẩm xoài sấy dẻo</v>
      </c>
      <c r="D18" s="4" t="str">
        <f>IFERROR(__xludf.DUMMYFUNCTION("""COMPUTED_VALUE"""),"Đinh Khắc Huy; Nguyễn Hoàng Sơn; Phạm Thị Thùy Dung; Trần Quế Phấn; Nguyễn Vũ Tường Vy")</f>
        <v>Đinh Khắc Huy; Nguyễn Hoàng Sơn; Phạm Thị Thùy Dung; Trần Quế Phấn; Nguyễn Vũ Tường Vy</v>
      </c>
      <c r="E18" s="4" t="str">
        <f>IFERROR(__xludf.DUMMYFUNCTION("""COMPUTED_VALUE"""),"Trường Đại học Công nghệ Đồng Nai")</f>
        <v>Trường Đại học Công nghệ Đồng Nai</v>
      </c>
      <c r="F18" s="4" t="str">
        <f>IFERROR(__xludf.DUMMYFUNCTION("""COMPUTED_VALUE"""),"CNTP2026-017.png")</f>
        <v>CNTP2026-017.png</v>
      </c>
    </row>
    <row r="19">
      <c r="A19" s="4" t="str">
        <f>IFERROR(__xludf.DUMMYFUNCTION("""COMPUTED_VALUE"""),"CNTP2026-018")</f>
        <v>CNTP2026-018</v>
      </c>
      <c r="B19" s="4" t="str">
        <f>IFERROR(__xludf.DUMMYFUNCTION("""COMPUTED_VALUE"""),"Công nghệ thực phẩm")</f>
        <v>Công nghệ thực phẩm</v>
      </c>
      <c r="C19" s="4" t="str">
        <f>IFERROR(__xludf.DUMMYFUNCTION("""COMPUTED_VALUE"""),"ĐÁNH GIÁ SỰ THAY ĐỔI CHẤT LƯỢNG THEO THỜI GIAN Ủ VÀ KHẢ NĂNG KIỂM SOÁT HỆ VI SINH VẬT ĐƯỜNG RUỘT CỦA HẮC ĐẲNG SÂM TRÊN MÔ HÌNH CHUỘT")</f>
        <v>ĐÁNH GIÁ SỰ THAY ĐỔI CHẤT LƯỢNG THEO THỜI GIAN Ủ VÀ KHẢ NĂNG KIỂM SOÁT HỆ VI SINH VẬT ĐƯỜNG RUỘT CỦA HẮC ĐẲNG SÂM TRÊN MÔ HÌNH CHUỘT</v>
      </c>
      <c r="D19" s="4" t="str">
        <f>IFERROR(__xludf.DUMMYFUNCTION("""COMPUTED_VALUE"""),"Trần Mỹ Thư; Võ Minh Thiện; Nguyễn Thái Việt Phương; Hồ Vũ Minh Nguyên")</f>
        <v>Trần Mỹ Thư; Võ Minh Thiện; Nguyễn Thái Việt Phương; Hồ Vũ Minh Nguyên</v>
      </c>
      <c r="E19" s="4" t="str">
        <f>IFERROR(__xludf.DUMMYFUNCTION("""COMPUTED_VALUE"""),"Trường Đại học Nguyễn Tất Thành")</f>
        <v>Trường Đại học Nguyễn Tất Thành</v>
      </c>
      <c r="F19" s="4" t="str">
        <f>IFERROR(__xludf.DUMMYFUNCTION("""COMPUTED_VALUE"""),"CNTP2026-018.png")</f>
        <v>CNTP2026-018.png</v>
      </c>
    </row>
    <row r="20">
      <c r="A20" s="4" t="str">
        <f>IFERROR(__xludf.DUMMYFUNCTION("""COMPUTED_VALUE"""),"CNTP2026-019")</f>
        <v>CNTP2026-019</v>
      </c>
      <c r="B20" s="4" t="str">
        <f>IFERROR(__xludf.DUMMYFUNCTION("""COMPUTED_VALUE"""),"Công nghệ thực phẩm")</f>
        <v>Công nghệ thực phẩm</v>
      </c>
      <c r="C20" s="4" t="str">
        <f>IFERROR(__xludf.DUMMYFUNCTION("""COMPUTED_VALUE"""),"Hoạt tính sinh học của một số loài nấm dược liệu thuộc họ Linh chi (Ganodermataceae) thu tại vườn quốc gia Yok Đôn và ứng dụng trong sản xuất trà túi lọc")</f>
        <v>Hoạt tính sinh học của một số loài nấm dược liệu thuộc họ Linh chi (Ganodermataceae) thu tại vườn quốc gia Yok Đôn và ứng dụng trong sản xuất trà túi lọc</v>
      </c>
      <c r="D20" s="4" t="str">
        <f>IFERROR(__xludf.DUMMYFUNCTION("""COMPUTED_VALUE"""),"Đinh Thị Kim Liên; Trần Thị Quỳnh Mai; Lương Thúy Hòa")</f>
        <v>Đinh Thị Kim Liên; Trần Thị Quỳnh Mai; Lương Thúy Hòa</v>
      </c>
      <c r="E20" s="4" t="str">
        <f>IFERROR(__xludf.DUMMYFUNCTION("""COMPUTED_VALUE"""),"Trường Đại học Tây Nguyên")</f>
        <v>Trường Đại học Tây Nguyên</v>
      </c>
      <c r="F20" s="4" t="str">
        <f>IFERROR(__xludf.DUMMYFUNCTION("""COMPUTED_VALUE"""),"CNTP2026-019.png")</f>
        <v>CNTP2026-019.png</v>
      </c>
    </row>
    <row r="21">
      <c r="A21" s="4" t="str">
        <f>IFERROR(__xludf.DUMMYFUNCTION("""COMPUTED_VALUE"""),"CNTP2026-020")</f>
        <v>CNTP2026-020</v>
      </c>
      <c r="B21" s="4" t="str">
        <f>IFERROR(__xludf.DUMMYFUNCTION("""COMPUTED_VALUE"""),"Công nghệ thực phẩm")</f>
        <v>Công nghệ thực phẩm</v>
      </c>
      <c r="C21" s="4" t="str">
        <f>IFERROR(__xludf.DUMMYFUNCTION("""COMPUTED_VALUE"""),"Phân tích các amin sinh học trong nem chua bằng hệ thống ghép sắc kí khối phổ lần 2 LC-MS/MS")</f>
        <v>Phân tích các amin sinh học trong nem chua bằng hệ thống ghép sắc kí khối phổ lần 2 LC-MS/MS</v>
      </c>
      <c r="D21" s="4" t="str">
        <f>IFERROR(__xludf.DUMMYFUNCTION("""COMPUTED_VALUE"""),"Nguyễn Ngọc Minh Anh; Lê Ngọc Diệu; Giang Nhân Quốc; Nguyễn Hương Giang")</f>
        <v>Nguyễn Ngọc Minh Anh; Lê Ngọc Diệu; Giang Nhân Quốc; Nguyễn Hương Giang</v>
      </c>
      <c r="E21" s="4" t="str">
        <f>IFERROR(__xludf.DUMMYFUNCTION("""COMPUTED_VALUE"""),"Học viện Nông nghiệp Việt Nam")</f>
        <v>Học viện Nông nghiệp Việt Nam</v>
      </c>
      <c r="F21" s="4" t="str">
        <f>IFERROR(__xludf.DUMMYFUNCTION("""COMPUTED_VALUE"""),"CNTP2026-020.png")</f>
        <v>CNTP2026-020.png</v>
      </c>
    </row>
    <row r="22">
      <c r="A22" s="4" t="str">
        <f>IFERROR(__xludf.DUMMYFUNCTION("""COMPUTED_VALUE"""),"CNTP2026-021")</f>
        <v>CNTP2026-021</v>
      </c>
      <c r="B22" s="4" t="str">
        <f>IFERROR(__xludf.DUMMYFUNCTION("""COMPUTED_VALUE"""),"Công nghệ thực phẩm")</f>
        <v>Công nghệ thực phẩm</v>
      </c>
      <c r="C22" s="4" t="str">
        <f>IFERROR(__xludf.DUMMYFUNCTION("""COMPUTED_VALUE"""),"TẬN DỤNG PHỤ PHẨM BÃ RAU MÁ SẢN XUẤT BỘT VI BAO HOẠT CHẤT TRITERPERNOID ĐỊNH HƯỚNG PHÁT TRIỂN THỰC PHẨM BỔ SUNG")</f>
        <v>TẬN DỤNG PHỤ PHẨM BÃ RAU MÁ SẢN XUẤT BỘT VI BAO HOẠT CHẤT TRITERPERNOID ĐỊNH HƯỚNG PHÁT TRIỂN THỰC PHẨM BỔ SUNG</v>
      </c>
      <c r="D22" s="4" t="str">
        <f>IFERROR(__xludf.DUMMYFUNCTION("""COMPUTED_VALUE"""),"Đặng Ngân Hoa; Trương Vĩnh Khôi; Đàm Cẩm Đức; Nguyễn Kỳ Danh")</f>
        <v>Đặng Ngân Hoa; Trương Vĩnh Khôi; Đàm Cẩm Đức; Nguyễn Kỳ Danh</v>
      </c>
      <c r="E22" s="4" t="str">
        <f>IFERROR(__xludf.DUMMYFUNCTION("""COMPUTED_VALUE"""),"Trường Đại học Nguyễn Tất Thành")</f>
        <v>Trường Đại học Nguyễn Tất Thành</v>
      </c>
      <c r="F22" s="4" t="str">
        <f>IFERROR(__xludf.DUMMYFUNCTION("""COMPUTED_VALUE"""),"CNTP2026-021.png")</f>
        <v>CNTP2026-021.png</v>
      </c>
    </row>
    <row r="23">
      <c r="A23" s="4" t="str">
        <f>IFERROR(__xludf.DUMMYFUNCTION("""COMPUTED_VALUE"""),"CNTP2026-022")</f>
        <v>CNTP2026-022</v>
      </c>
      <c r="B23" s="4" t="str">
        <f>IFERROR(__xludf.DUMMYFUNCTION("""COMPUTED_VALUE"""),"Công nghệ thực phẩm")</f>
        <v>Công nghệ thực phẩm</v>
      </c>
      <c r="C23" s="4" t="str">
        <f>IFERROR(__xludf.DUMMYFUNCTION("""COMPUTED_VALUE"""),"Nghiên cứu đặc tính lớp phủ kép alginate - chitosan kết hợp nano bạc và ứng dụng bảo quản xoài cát chu (Mangifera indica L.)")</f>
        <v>Nghiên cứu đặc tính lớp phủ kép alginate - chitosan kết hợp nano bạc và ứng dụng bảo quản xoài cát chu (Mangifera indica L.)</v>
      </c>
      <c r="D23" s="4" t="str">
        <f>IFERROR(__xludf.DUMMYFUNCTION("""COMPUTED_VALUE"""),"Nguyễn Hữu Hòa; Huỳnh Ngọc Anh Thư; Hà Phạm Kim Tuyền")</f>
        <v>Nguyễn Hữu Hòa; Huỳnh Ngọc Anh Thư; Hà Phạm Kim Tuyền</v>
      </c>
      <c r="E23" s="4" t="str">
        <f>IFERROR(__xludf.DUMMYFUNCTION("""COMPUTED_VALUE"""),"Trường Đại học Công Thương TP. Hồ Chí Minh")</f>
        <v>Trường Đại học Công Thương TP. Hồ Chí Minh</v>
      </c>
      <c r="F23" s="4" t="str">
        <f>IFERROR(__xludf.DUMMYFUNCTION("""COMPUTED_VALUE"""),"CNTP2026-022.png")</f>
        <v>CNTP2026-022.png</v>
      </c>
    </row>
    <row r="24">
      <c r="A24" s="4" t="str">
        <f>IFERROR(__xludf.DUMMYFUNCTION("""COMPUTED_VALUE"""),"CNTP2026-023")</f>
        <v>CNTP2026-023</v>
      </c>
      <c r="B24" s="4" t="str">
        <f>IFERROR(__xludf.DUMMYFUNCTION("""COMPUTED_VALUE"""),"Công nghệ thực phẩm")</f>
        <v>Công nghệ thực phẩm</v>
      </c>
      <c r="C24" s="4" t="str">
        <f>IFERROR(__xludf.DUMMYFUNCTION("""COMPUTED_VALUE"""),"Ứng dụng kỹ thuật vi sóng và enzyme trong sản xuất tinh bột kháng từ khoai lang tím (Ipomoea batatas L.)")</f>
        <v>Ứng dụng kỹ thuật vi sóng và enzyme trong sản xuất tinh bột kháng từ khoai lang tím (Ipomoea batatas L.)</v>
      </c>
      <c r="D24" s="4" t="str">
        <f>IFERROR(__xludf.DUMMYFUNCTION("""COMPUTED_VALUE"""),"Nguyễn Minh Nguyệt; Đỗ Ái Như My")</f>
        <v>Nguyễn Minh Nguyệt; Đỗ Ái Như My</v>
      </c>
      <c r="E24" s="4" t="str">
        <f>IFERROR(__xludf.DUMMYFUNCTION("""COMPUTED_VALUE"""),"Trường Đại học Công Thương TP. Hồ Chí Minh")</f>
        <v>Trường Đại học Công Thương TP. Hồ Chí Minh</v>
      </c>
      <c r="F24" s="4" t="str">
        <f>IFERROR(__xludf.DUMMYFUNCTION("""COMPUTED_VALUE"""),"CNTP2026-023.png")</f>
        <v>CNTP2026-023.png</v>
      </c>
    </row>
    <row r="25">
      <c r="A25" s="4" t="str">
        <f>IFERROR(__xludf.DUMMYFUNCTION("""COMPUTED_VALUE"""),"CNTP2026-024")</f>
        <v>CNTP2026-024</v>
      </c>
      <c r="B25" s="4" t="str">
        <f>IFERROR(__xludf.DUMMYFUNCTION("""COMPUTED_VALUE"""),"Công nghệ thực phẩm")</f>
        <v>Công nghệ thực phẩm</v>
      </c>
      <c r="C25" s="4" t="str">
        <f>IFERROR(__xludf.DUMMYFUNCTION("""COMPUTED_VALUE"""),"Đánh giá khả năng ổn định nhiệt của Folic acid trong hệ phức hợp bao với β-cyclodextrin")</f>
        <v>Đánh giá khả năng ổn định nhiệt của Folic acid trong hệ phức hợp bao với β-cyclodextrin</v>
      </c>
      <c r="D25" s="4" t="str">
        <f>IFERROR(__xludf.DUMMYFUNCTION("""COMPUTED_VALUE"""),"Tiêu Kim Yến; Cao Trung Đạt; Nguyễn Lê Thiên Nga; Phạm Thị Thanh Ngân; Phạm Hồng Cẩm")</f>
        <v>Tiêu Kim Yến; Cao Trung Đạt; Nguyễn Lê Thiên Nga; Phạm Thị Thanh Ngân; Phạm Hồng Cẩm</v>
      </c>
      <c r="E25" s="4" t="str">
        <f>IFERROR(__xludf.DUMMYFUNCTION("""COMPUTED_VALUE"""),"Trường Đại học Công Thương TP. Hồ Chí Minh")</f>
        <v>Trường Đại học Công Thương TP. Hồ Chí Minh</v>
      </c>
      <c r="F25" s="4" t="str">
        <f>IFERROR(__xludf.DUMMYFUNCTION("""COMPUTED_VALUE"""),"CNTP2026-024.png")</f>
        <v>CNTP2026-024.png</v>
      </c>
    </row>
    <row r="26">
      <c r="A26" s="4" t="str">
        <f>IFERROR(__xludf.DUMMYFUNCTION("""COMPUTED_VALUE"""),"CNTP2026-025")</f>
        <v>CNTP2026-025</v>
      </c>
      <c r="B26" s="4" t="str">
        <f>IFERROR(__xludf.DUMMYFUNCTION("""COMPUTED_VALUE"""),"Công nghệ thực phẩm")</f>
        <v>Công nghệ thực phẩm</v>
      </c>
      <c r="C26" s="4" t="str">
        <f>IFERROR(__xludf.DUMMYFUNCTION("""COMPUTED_VALUE"""),"Nghiên cứu nâng cao hoạt tính sinh học của polysacchride từ rong Ceratophyllum submersum bằng các phương pháp khác nhau")</f>
        <v>Nghiên cứu nâng cao hoạt tính sinh học của polysacchride từ rong Ceratophyllum submersum bằng các phương pháp khác nhau</v>
      </c>
      <c r="D26" s="4" t="str">
        <f>IFERROR(__xludf.DUMMYFUNCTION("""COMPUTED_VALUE"""),"Trịnh Thị Bích Huyền; Nguyễn Hoàn Phương Thùy; Trần Khánh Linh; Trần Thảo Vân Trọng; Nguyễn Châu Yến Nhi")</f>
        <v>Trịnh Thị Bích Huyền; Nguyễn Hoàn Phương Thùy; Trần Khánh Linh; Trần Thảo Vân Trọng; Nguyễn Châu Yến Nhi</v>
      </c>
      <c r="E26" s="4" t="str">
        <f>IFERROR(__xludf.DUMMYFUNCTION("""COMPUTED_VALUE"""),"Trường Đại học Công Thương TP. Hồ Chí Minh")</f>
        <v>Trường Đại học Công Thương TP. Hồ Chí Minh</v>
      </c>
      <c r="F26" s="4" t="str">
        <f>IFERROR(__xludf.DUMMYFUNCTION("""COMPUTED_VALUE"""),"CNTP2026-025.png")</f>
        <v>CNTP2026-025.png</v>
      </c>
    </row>
    <row r="27">
      <c r="A27" s="4" t="str">
        <f>IFERROR(__xludf.DUMMYFUNCTION("""COMPUTED_VALUE"""),"CNTP2026-026")</f>
        <v>CNTP2026-026</v>
      </c>
      <c r="B27" s="4" t="str">
        <f>IFERROR(__xludf.DUMMYFUNCTION("""COMPUTED_VALUE"""),"Công nghệ thực phẩm")</f>
        <v>Công nghệ thực phẩm</v>
      </c>
      <c r="C27" s="4" t="str">
        <f>IFERROR(__xludf.DUMMYFUNCTION("""COMPUTED_VALUE"""),"Ứng dụng phương pháp chiết xuất xanh trong trích ly anthocyanins và polyphenol từ vỏ măng cụt")</f>
        <v>Ứng dụng phương pháp chiết xuất xanh trong trích ly anthocyanins và polyphenol từ vỏ măng cụt</v>
      </c>
      <c r="D27" s="4" t="str">
        <f>IFERROR(__xludf.DUMMYFUNCTION("""COMPUTED_VALUE"""),"Nguyễn Hoàng Anh; Lê Hoàng Huyên; Nguyễn Thị Phương Thảo")</f>
        <v>Nguyễn Hoàng Anh; Lê Hoàng Huyên; Nguyễn Thị Phương Thảo</v>
      </c>
      <c r="E27" s="4" t="str">
        <f>IFERROR(__xludf.DUMMYFUNCTION("""COMPUTED_VALUE"""),"Trường Đại học Công Thương TP. Hồ Chí Minh")</f>
        <v>Trường Đại học Công Thương TP. Hồ Chí Minh</v>
      </c>
      <c r="F27" s="4" t="str">
        <f>IFERROR(__xludf.DUMMYFUNCTION("""COMPUTED_VALUE"""),"CNTP2026-026.png")</f>
        <v>CNTP2026-026.png</v>
      </c>
    </row>
    <row r="28">
      <c r="A28" s="4" t="str">
        <f>IFERROR(__xludf.DUMMYFUNCTION("""COMPUTED_VALUE"""),"CNTP2026-027")</f>
        <v>CNTP2026-027</v>
      </c>
      <c r="B28" s="4" t="str">
        <f>IFERROR(__xludf.DUMMYFUNCTION("""COMPUTED_VALUE"""),"Công nghệ thực phẩm")</f>
        <v>Công nghệ thực phẩm</v>
      </c>
      <c r="C28" s="4" t="str">
        <f>IFERROR(__xludf.DUMMYFUNCTION("""COMPUTED_VALUE"""),"Nghiên cứu thu nhận, đánh giá đặc tính dầu hạt dổi (Michelia tonkinensis) và khảo sát bước đầu ảnh hưởng của dầu đến một số đặc tính của bánh quy")</f>
        <v>Nghiên cứu thu nhận, đánh giá đặc tính dầu hạt dổi (Michelia tonkinensis) và khảo sát bước đầu ảnh hưởng của dầu đến một số đặc tính của bánh quy</v>
      </c>
      <c r="D28" s="4" t="str">
        <f>IFERROR(__xludf.DUMMYFUNCTION("""COMPUTED_VALUE"""),"Lê Đỗ Quyên; Hoàng Thị Kim Oanh; Võ Ngọc Yến Oanh; Huỳnh Hà Bảo Ngọc")</f>
        <v>Lê Đỗ Quyên; Hoàng Thị Kim Oanh; Võ Ngọc Yến Oanh; Huỳnh Hà Bảo Ngọc</v>
      </c>
      <c r="E28" s="4" t="str">
        <f>IFERROR(__xludf.DUMMYFUNCTION("""COMPUTED_VALUE"""),"Trường Đại học Công Thương TP. Hồ Chí Minh")</f>
        <v>Trường Đại học Công Thương TP. Hồ Chí Minh</v>
      </c>
      <c r="F28" s="4" t="str">
        <f>IFERROR(__xludf.DUMMYFUNCTION("""COMPUTED_VALUE"""),"CNTP2026-027.png")</f>
        <v>CNTP2026-027.png</v>
      </c>
    </row>
    <row r="29">
      <c r="A29" s="4" t="str">
        <f>IFERROR(__xludf.DUMMYFUNCTION("""COMPUTED_VALUE"""),"CNTP2026-028")</f>
        <v>CNTP2026-028</v>
      </c>
      <c r="B29" s="4" t="str">
        <f>IFERROR(__xludf.DUMMYFUNCTION("""COMPUTED_VALUE"""),"Công nghệ thực phẩm")</f>
        <v>Công nghệ thực phẩm</v>
      </c>
      <c r="C29" s="4" t="str">
        <f>IFERROR(__xludf.DUMMYFUNCTION("""COMPUTED_VALUE"""),"Năng suất, chất lượng thịt gà Lạc Sơn ở các thời điểm giết mổ khác nhau")</f>
        <v>Năng suất, chất lượng thịt gà Lạc Sơn ở các thời điểm giết mổ khác nhau</v>
      </c>
      <c r="D29" s="4" t="str">
        <f>IFERROR(__xludf.DUMMYFUNCTION("""COMPUTED_VALUE"""),"Nguyễn Phan Thùy Dương; Nguyễn Minh Hiếu; Lê Ngọc Ánh")</f>
        <v>Nguyễn Phan Thùy Dương; Nguyễn Minh Hiếu; Lê Ngọc Ánh</v>
      </c>
      <c r="E29" s="4" t="str">
        <f>IFERROR(__xludf.DUMMYFUNCTION("""COMPUTED_VALUE"""),"Học viện Nông nghiệp Việt Nam")</f>
        <v>Học viện Nông nghiệp Việt Nam</v>
      </c>
      <c r="F29" s="4" t="str">
        <f>IFERROR(__xludf.DUMMYFUNCTION("""COMPUTED_VALUE"""),"CNTP2026-028.png")</f>
        <v>CNTP2026-028.png</v>
      </c>
    </row>
    <row r="30">
      <c r="A30" s="4" t="str">
        <f>IFERROR(__xludf.DUMMYFUNCTION("""COMPUTED_VALUE"""),"CNTP2026-029")</f>
        <v>CNTP2026-029</v>
      </c>
      <c r="B30" s="4" t="str">
        <f>IFERROR(__xludf.DUMMYFUNCTION("""COMPUTED_VALUE"""),"Công nghệ thực phẩm")</f>
        <v>Công nghệ thực phẩm</v>
      </c>
      <c r="C30" s="4" t="str">
        <f>IFERROR(__xludf.DUMMYFUNCTION("""COMPUTED_VALUE"""),"KHẢO SÁT ĐỘC TÍNH CẤP, ĐỘC TÍNH BÁN TRƯỜNG DIỄN VÀ TÁC DỤNG HẠ ĐƯỜNG HUYẾT CỦA TRÀ TÚI LỌC TỪ LÁ TRÀ HOA VÀNG CAMELLIA FLAVA")</f>
        <v>KHẢO SÁT ĐỘC TÍNH CẤP, ĐỘC TÍNH BÁN TRƯỜNG DIỄN VÀ TÁC DỤNG HẠ ĐƯỜNG HUYẾT CỦA TRÀ TÚI LỌC TỪ LÁ TRÀ HOA VÀNG CAMELLIA FLAVA</v>
      </c>
      <c r="D30" s="4" t="str">
        <f>IFERROR(__xludf.DUMMYFUNCTION("""COMPUTED_VALUE"""),"Bạch Hưng Thái Sơn; Võ Như Ý; Trần Minh Vàng; Phạm Hồng Ngọc Hân; Lê Hoàng Yến Nhung")</f>
        <v>Bạch Hưng Thái Sơn; Võ Như Ý; Trần Minh Vàng; Phạm Hồng Ngọc Hân; Lê Hoàng Yến Nhung</v>
      </c>
      <c r="E30" s="4" t="str">
        <f>IFERROR(__xludf.DUMMYFUNCTION("""COMPUTED_VALUE"""),"Đại học Y Dược TP. Hồ Chí Minh")</f>
        <v>Đại học Y Dược TP. Hồ Chí Minh</v>
      </c>
      <c r="F30" s="4" t="str">
        <f>IFERROR(__xludf.DUMMYFUNCTION("""COMPUTED_VALUE"""),"CNTP2026-029.png")</f>
        <v>CNTP2026-029.png</v>
      </c>
    </row>
    <row r="31">
      <c r="A31" s="4" t="str">
        <f>IFERROR(__xludf.DUMMYFUNCTION("""COMPUTED_VALUE"""),"CNTP2026-030")</f>
        <v>CNTP2026-030</v>
      </c>
      <c r="B31" s="4" t="str">
        <f>IFERROR(__xludf.DUMMYFUNCTION("""COMPUTED_VALUE"""),"Công nghệ thực phẩm")</f>
        <v>Công nghệ thực phẩm</v>
      </c>
      <c r="C31" s="4" t="str">
        <f>IFERROR(__xludf.DUMMYFUNCTION("""COMPUTED_VALUE"""),"Nghiên cứu vi bao tinh dầu lá cây bon bo (Alpinia blepharocalyx) bằng công nghệ sấy phun và ứng dụng trong sản xuất trà hòa tan thảo dược")</f>
        <v>Nghiên cứu vi bao tinh dầu lá cây bon bo (Alpinia blepharocalyx) bằng công nghệ sấy phun và ứng dụng trong sản xuất trà hòa tan thảo dược</v>
      </c>
      <c r="D31" s="4" t="str">
        <f>IFERROR(__xludf.DUMMYFUNCTION("""COMPUTED_VALUE"""),"Phạm Linh Chi, Nguyễn Thị Giang, Mai Văn Khánh, Nguyễn Quốc Cường")</f>
        <v>Phạm Linh Chi, Nguyễn Thị Giang, Mai Văn Khánh, Nguyễn Quốc Cường</v>
      </c>
      <c r="E31" s="4" t="str">
        <f>IFERROR(__xludf.DUMMYFUNCTION("""COMPUTED_VALUE"""),"Trường Đại học Vinh")</f>
        <v>Trường Đại học Vinh</v>
      </c>
      <c r="F31" s="4" t="str">
        <f>IFERROR(__xludf.DUMMYFUNCTION("""COMPUTED_VALUE"""),"CNTP2026-030.png")</f>
        <v>CNTP2026-030.png</v>
      </c>
    </row>
    <row r="32">
      <c r="A32" s="4" t="str">
        <f>IFERROR(__xludf.DUMMYFUNCTION("""COMPUTED_VALUE"""),"CNTP2026-031")</f>
        <v>CNTP2026-031</v>
      </c>
      <c r="B32" s="4" t="str">
        <f>IFERROR(__xludf.DUMMYFUNCTION("""COMPUTED_VALUE"""),"Công nghệ thực phẩm")</f>
        <v>Công nghệ thực phẩm</v>
      </c>
      <c r="C32" s="4" t="str">
        <f>IFERROR(__xludf.DUMMYFUNCTION("""COMPUTED_VALUE"""),"Nghiên cứu quy trình trích ly flavonoid từ vỏ và hạt bơ bằng phương pháp dung môi")</f>
        <v>Nghiên cứu quy trình trích ly flavonoid từ vỏ và hạt bơ bằng phương pháp dung môi</v>
      </c>
      <c r="D32" s="4" t="str">
        <f>IFERROR(__xludf.DUMMYFUNCTION("""COMPUTED_VALUE"""),"Trần Huỳnh Bảo Trân; Lê Ngọc Như Tâm; Nguyễn Thị Cẩm Vân; Võ Hoàng Nhật Yến; Dương Thị Cẩm Ly")</f>
        <v>Trần Huỳnh Bảo Trân; Lê Ngọc Như Tâm; Nguyễn Thị Cẩm Vân; Võ Hoàng Nhật Yến; Dương Thị Cẩm Ly</v>
      </c>
      <c r="E32" s="4" t="str">
        <f>IFERROR(__xludf.DUMMYFUNCTION("""COMPUTED_VALUE"""),"Trường Đại học Công Thương TP. Hồ Chí Minh")</f>
        <v>Trường Đại học Công Thương TP. Hồ Chí Minh</v>
      </c>
      <c r="F32" s="4" t="str">
        <f>IFERROR(__xludf.DUMMYFUNCTION("""COMPUTED_VALUE"""),"CNTP2026-031.png")</f>
        <v>CNTP2026-031.png</v>
      </c>
    </row>
    <row r="33">
      <c r="A33" s="4" t="str">
        <f>IFERROR(__xludf.DUMMYFUNCTION("""COMPUTED_VALUE"""),"CNTP2026-032")</f>
        <v>CNTP2026-032</v>
      </c>
      <c r="B33" s="4" t="str">
        <f>IFERROR(__xludf.DUMMYFUNCTION("""COMPUTED_VALUE"""),"Công nghệ thực phẩm")</f>
        <v>Công nghệ thực phẩm</v>
      </c>
      <c r="C33" s="4" t="str">
        <f>IFERROR(__xludf.DUMMYFUNCTION("""COMPUTED_VALUE"""),"Nghiên cứu quy trình tạo chả chay bổ sung bột xơ mít từ giống mít Thái Chiangrai")</f>
        <v>Nghiên cứu quy trình tạo chả chay bổ sung bột xơ mít từ giống mít Thái Chiangrai</v>
      </c>
      <c r="D33" s="4" t="str">
        <f>IFERROR(__xludf.DUMMYFUNCTION("""COMPUTED_VALUE"""),"Phan Nhựt Huy; Nguyễn Thị Anh Thư")</f>
        <v>Phan Nhựt Huy; Nguyễn Thị Anh Thư</v>
      </c>
      <c r="E33" s="4" t="str">
        <f>IFERROR(__xludf.DUMMYFUNCTION("""COMPUTED_VALUE"""),"Trường Đại học Công Thương TP. Hồ Chí Minh")</f>
        <v>Trường Đại học Công Thương TP. Hồ Chí Minh</v>
      </c>
      <c r="F33" s="4" t="str">
        <f>IFERROR(__xludf.DUMMYFUNCTION("""COMPUTED_VALUE"""),"CNTP2026-032.png")</f>
        <v>CNTP2026-032.png</v>
      </c>
    </row>
    <row r="34">
      <c r="A34" s="4" t="str">
        <f>IFERROR(__xludf.DUMMYFUNCTION("""COMPUTED_VALUE"""),"CNTP2026-033")</f>
        <v>CNTP2026-033</v>
      </c>
      <c r="B34" s="4" t="str">
        <f>IFERROR(__xludf.DUMMYFUNCTION("""COMPUTED_VALUE"""),"Công nghệ thực phẩm")</f>
        <v>Công nghệ thực phẩm</v>
      </c>
      <c r="C34" s="4" t="str">
        <f>IFERROR(__xludf.DUMMYFUNCTION("""COMPUTED_VALUE"""),"Nghiên cứu đặc điểm sinh học, xác định hàm lượng polysaccharide của nấm Thượng hoàng (Tropicoporus sp.) và nấm Sữa hổ (Pleurotus tuber-regium)")</f>
        <v>Nghiên cứu đặc điểm sinh học, xác định hàm lượng polysaccharide của nấm Thượng hoàng (Tropicoporus sp.) và nấm Sữa hổ (Pleurotus tuber-regium)</v>
      </c>
      <c r="D34" s="4" t="str">
        <f>IFERROR(__xludf.DUMMYFUNCTION("""COMPUTED_VALUE"""),"Phan Thị Tú Uyên; Lê Ngọc Khánh; Âu Thị Trà My; Nguyễn Thị Hà Vy")</f>
        <v>Phan Thị Tú Uyên; Lê Ngọc Khánh; Âu Thị Trà My; Nguyễn Thị Hà Vy</v>
      </c>
      <c r="E34" s="4" t="str">
        <f>IFERROR(__xludf.DUMMYFUNCTION("""COMPUTED_VALUE"""),"Trường Đại học Tài nguyên và Môi trường Hà Nội")</f>
        <v>Trường Đại học Tài nguyên và Môi trường Hà Nội</v>
      </c>
      <c r="F34" s="4" t="str">
        <f>IFERROR(__xludf.DUMMYFUNCTION("""COMPUTED_VALUE"""),"CNTP2026-033.png")</f>
        <v>CNTP2026-033.png</v>
      </c>
    </row>
    <row r="35">
      <c r="A35" s="4" t="str">
        <f>IFERROR(__xludf.DUMMYFUNCTION("""COMPUTED_VALUE"""),"CNTP2026-034")</f>
        <v>CNTP2026-034</v>
      </c>
      <c r="B35" s="4" t="str">
        <f>IFERROR(__xludf.DUMMYFUNCTION("""COMPUTED_VALUE"""),"Công nghệ thực phẩm")</f>
        <v>Công nghệ thực phẩm</v>
      </c>
      <c r="C35" s="4" t="str">
        <f>IFERROR(__xludf.DUMMYFUNCTION("""COMPUTED_VALUE"""),"Optimization of co-extraction of phycocyanin and polysaccharides from Spirulina platensis using ultrasound-assisted techniques")</f>
        <v>Optimization of co-extraction of phycocyanin and polysaccharides from Spirulina platensis using ultrasound-assisted techniques</v>
      </c>
      <c r="D35" s="4" t="str">
        <f>IFERROR(__xludf.DUMMYFUNCTION("""COMPUTED_VALUE"""),"Nguyễn Phan Tuấn Anh")</f>
        <v>Nguyễn Phan Tuấn Anh</v>
      </c>
      <c r="E35" s="4" t="str">
        <f>IFERROR(__xludf.DUMMYFUNCTION("""COMPUTED_VALUE"""),"Trường Đại học Quốc Tế, ĐHQG-HCM")</f>
        <v>Trường Đại học Quốc Tế, ĐHQG-HCM</v>
      </c>
      <c r="F35" s="4" t="str">
        <f>IFERROR(__xludf.DUMMYFUNCTION("""COMPUTED_VALUE"""),"CNTP2026-034.png")</f>
        <v>CNTP2026-034.png</v>
      </c>
    </row>
    <row r="36">
      <c r="A36" s="4" t="str">
        <f>IFERROR(__xludf.DUMMYFUNCTION("""COMPUTED_VALUE"""),"CNTP2026-035")</f>
        <v>CNTP2026-035</v>
      </c>
      <c r="B36" s="4" t="str">
        <f>IFERROR(__xludf.DUMMYFUNCTION("""COMPUTED_VALUE"""),"Công nghệ thực phẩm")</f>
        <v>Công nghệ thực phẩm</v>
      </c>
      <c r="C36" s="4" t="str">
        <f>IFERROR(__xludf.DUMMYFUNCTION("""COMPUTED_VALUE"""),"Physicochemical and mechanical characterization of biodegradable film prepared from starch and mucilage co-extracted from purple yam (Dioscorea alata)")</f>
        <v>Physicochemical and mechanical characterization of biodegradable film prepared from starch and mucilage co-extracted from purple yam (Dioscorea alata)</v>
      </c>
      <c r="D36" s="4" t="str">
        <f>IFERROR(__xludf.DUMMYFUNCTION("""COMPUTED_VALUE"""),"Bùi Hải Khương")</f>
        <v>Bùi Hải Khương</v>
      </c>
      <c r="E36" s="4" t="str">
        <f>IFERROR(__xludf.DUMMYFUNCTION("""COMPUTED_VALUE"""),"Trường Đại học Quốc Tế, ĐHQG-HCM")</f>
        <v>Trường Đại học Quốc Tế, ĐHQG-HCM</v>
      </c>
      <c r="F36" s="4" t="str">
        <f>IFERROR(__xludf.DUMMYFUNCTION("""COMPUTED_VALUE"""),"CNTP2026-035.png")</f>
        <v>CNTP2026-035.png</v>
      </c>
    </row>
    <row r="37">
      <c r="A37" s="4" t="str">
        <f>IFERROR(__xludf.DUMMYFUNCTION("""COMPUTED_VALUE"""),"CNTP2026-036")</f>
        <v>CNTP2026-036</v>
      </c>
      <c r="B37" s="4" t="str">
        <f>IFERROR(__xludf.DUMMYFUNCTION("""COMPUTED_VALUE"""),"Công nghệ thực phẩm")</f>
        <v>Công nghệ thực phẩm</v>
      </c>
      <c r="C37" s="4" t="str">
        <f>IFERROR(__xludf.DUMMYFUNCTION("""COMPUTED_VALUE"""),"Nghiên cứu sản xuất dịch chiết protein từ đậu xanh")</f>
        <v>Nghiên cứu sản xuất dịch chiết protein từ đậu xanh</v>
      </c>
      <c r="D37" s="4" t="str">
        <f>IFERROR(__xludf.DUMMYFUNCTION("""COMPUTED_VALUE"""),"Phan Thế Dâng; Nguyễn Thị Mỹ Huyền; Nguyễn Nhật Yến Vy; Trần Thị Thuỳ Linh; Phạm Huỳnh Thiên Lý")</f>
        <v>Phan Thế Dâng; Nguyễn Thị Mỹ Huyền; Nguyễn Nhật Yến Vy; Trần Thị Thuỳ Linh; Phạm Huỳnh Thiên Lý</v>
      </c>
      <c r="E37" s="4" t="str">
        <f>IFERROR(__xludf.DUMMYFUNCTION("""COMPUTED_VALUE"""),"Trường Đại học Nam Cần Thơ")</f>
        <v>Trường Đại học Nam Cần Thơ</v>
      </c>
      <c r="F37" s="4" t="str">
        <f>IFERROR(__xludf.DUMMYFUNCTION("""COMPUTED_VALUE"""),"CNTP2026-036.png")</f>
        <v>CNTP2026-036.png</v>
      </c>
    </row>
    <row r="38">
      <c r="A38" s="4" t="str">
        <f>IFERROR(__xludf.DUMMYFUNCTION("""COMPUTED_VALUE"""),"CNTP2026-037")</f>
        <v>CNTP2026-037</v>
      </c>
      <c r="B38" s="4" t="str">
        <f>IFERROR(__xludf.DUMMYFUNCTION("""COMPUTED_VALUE"""),"Công nghệ thực phẩm")</f>
        <v>Công nghệ thực phẩm</v>
      </c>
      <c r="C38" s="4" t="str">
        <f>IFERROR(__xludf.DUMMYFUNCTION("""COMPUTED_VALUE"""),"NGHIÊN CỨU LỚP PHỦ BẢO QUẢN SINH HỌC TỪ NGUỒN NGUYÊN LIỆU TỰ NHIÊN NHẰM KÉO DÀI THỜI GIAN BẢO QUẢN TRÁI CÂY")</f>
        <v>NGHIÊN CỨU LỚP PHỦ BẢO QUẢN SINH HỌC TỪ NGUỒN NGUYÊN LIỆU TỰ NHIÊN NHẰM KÉO DÀI THỜI GIAN BẢO QUẢN TRÁI CÂY</v>
      </c>
      <c r="D38" s="4" t="str">
        <f>IFERROR(__xludf.DUMMYFUNCTION("""COMPUTED_VALUE"""),"Trần Mỹ Duyên; Diệp Quế Phương; Huỳnh Ngọc Tân; Huỳnh Mai Gia Linh; Võ Ngọc Ngân")</f>
        <v>Trần Mỹ Duyên; Diệp Quế Phương; Huỳnh Ngọc Tân; Huỳnh Mai Gia Linh; Võ Ngọc Ngân</v>
      </c>
      <c r="E38" s="4" t="str">
        <f>IFERROR(__xludf.DUMMYFUNCTION("""COMPUTED_VALUE"""),"Trường Đại học Bách Khoa, ĐHQG-HCM")</f>
        <v>Trường Đại học Bách Khoa, ĐHQG-HCM</v>
      </c>
      <c r="F38" s="4" t="str">
        <f>IFERROR(__xludf.DUMMYFUNCTION("""COMPUTED_VALUE"""),"CNTP2026-037.png")</f>
        <v>CNTP2026-037.png</v>
      </c>
    </row>
    <row r="39">
      <c r="A39" s="4" t="str">
        <f>IFERROR(__xludf.DUMMYFUNCTION("""COMPUTED_VALUE"""),"CNTP2026-038")</f>
        <v>CNTP2026-038</v>
      </c>
      <c r="B39" s="4" t="str">
        <f>IFERROR(__xludf.DUMMYFUNCTION("""COMPUTED_VALUE"""),"Công nghệ thực phẩm")</f>
        <v>Công nghệ thực phẩm</v>
      </c>
      <c r="C39" s="4" t="str">
        <f>IFERROR(__xludf.DUMMYFUNCTION("""COMPUTED_VALUE"""),"Nghiên cứu ảnh hưởng của điều kiện xử lý, trích ly và sấy đến chất lượng cao khô từ cỏ mực (Eclipta prostrata L.)")</f>
        <v>Nghiên cứu ảnh hưởng của điều kiện xử lý, trích ly và sấy đến chất lượng cao khô từ cỏ mực (Eclipta prostrata L.)</v>
      </c>
      <c r="D39" s="4" t="str">
        <f>IFERROR(__xludf.DUMMYFUNCTION("""COMPUTED_VALUE"""),"Nguyễn Thị Như Quỳnh; Thòng Trúc Phương; Phạm Văn Tuấn Anh; Nguyễn Thị Ngọc Trâm; Nguyễn Thị Thùy Trâm")</f>
        <v>Nguyễn Thị Như Quỳnh; Thòng Trúc Phương; Phạm Văn Tuấn Anh; Nguyễn Thị Ngọc Trâm; Nguyễn Thị Thùy Trâm</v>
      </c>
      <c r="E39" s="4" t="str">
        <f>IFERROR(__xludf.DUMMYFUNCTION("""COMPUTED_VALUE"""),"Trường Đại học Công nghệ Đồng Nai")</f>
        <v>Trường Đại học Công nghệ Đồng Nai</v>
      </c>
      <c r="F39" s="4" t="str">
        <f>IFERROR(__xludf.DUMMYFUNCTION("""COMPUTED_VALUE"""),"CNTP2026-038.png")</f>
        <v>CNTP2026-038.png</v>
      </c>
    </row>
    <row r="40">
      <c r="A40" s="4" t="str">
        <f>IFERROR(__xludf.DUMMYFUNCTION("""COMPUTED_VALUE"""),"CNTP2026-039")</f>
        <v>CNTP2026-039</v>
      </c>
      <c r="B40" s="4" t="str">
        <f>IFERROR(__xludf.DUMMYFUNCTION("""COMPUTED_VALUE"""),"Công nghệ thực phẩm")</f>
        <v>Công nghệ thực phẩm</v>
      </c>
      <c r="C40" s="4" t="str">
        <f>IFERROR(__xludf.DUMMYFUNCTION("""COMPUTED_VALUE"""),"ẢNH HƯỞNG CỦA LÊN MEN ĐƠN CHỦNG VÀ HỖN HỢP CHỦNG HANSENIASPORA SPP. VỚI SACCHAROMYCES CEREVISIAE LÊN CHẤT LƯỢNG CỦA RƯỢU XOÀI")</f>
        <v>ẢNH HƯỞNG CỦA LÊN MEN ĐƠN CHỦNG VÀ HỖN HỢP CHỦNG HANSENIASPORA SPP. VỚI SACCHAROMYCES CEREVISIAE LÊN CHẤT LƯỢNG CỦA RƯỢU XOÀI</v>
      </c>
      <c r="D40" s="4" t="str">
        <f>IFERROR(__xludf.DUMMYFUNCTION("""COMPUTED_VALUE"""),"Bùi Đức Minh Kha; Ngô Thị Thùy Trang")</f>
        <v>Bùi Đức Minh Kha; Ngô Thị Thùy Trang</v>
      </c>
      <c r="E40" s="4" t="str">
        <f>IFERROR(__xludf.DUMMYFUNCTION("""COMPUTED_VALUE"""),"Trường Đại học Nguyễn Tất Thành")</f>
        <v>Trường Đại học Nguyễn Tất Thành</v>
      </c>
      <c r="F40" s="4" t="str">
        <f>IFERROR(__xludf.DUMMYFUNCTION("""COMPUTED_VALUE"""),"CNTP2026-039.png")</f>
        <v>CNTP2026-039.png</v>
      </c>
    </row>
    <row r="41">
      <c r="A41" s="4" t="str">
        <f>IFERROR(__xludf.DUMMYFUNCTION("""COMPUTED_VALUE"""),"CNTP2026-040")</f>
        <v>CNTP2026-040</v>
      </c>
      <c r="B41" s="4" t="str">
        <f>IFERROR(__xludf.DUMMYFUNCTION("""COMPUTED_VALUE"""),"Công nghệ thực phẩm")</f>
        <v>Công nghệ thực phẩm</v>
      </c>
      <c r="C41" s="4" t="str">
        <f>IFERROR(__xludf.DUMMYFUNCTION("""COMPUTED_VALUE"""),"Nghiên cứu ứng dụng vi khuẩn Lactic trong sản xuất chế phẩm men sống phục vụ lên men nem chua")</f>
        <v>Nghiên cứu ứng dụng vi khuẩn Lactic trong sản xuất chế phẩm men sống phục vụ lên men nem chua</v>
      </c>
      <c r="D41" s="4" t="str">
        <f>IFERROR(__xludf.DUMMYFUNCTION("""COMPUTED_VALUE"""),"Mai Hoàng Hiệp")</f>
        <v>Mai Hoàng Hiệp</v>
      </c>
      <c r="E41" s="4" t="str">
        <f>IFERROR(__xludf.DUMMYFUNCTION("""COMPUTED_VALUE"""),"Trường Đại học Mở Hà Nội")</f>
        <v>Trường Đại học Mở Hà Nội</v>
      </c>
      <c r="F41" s="4" t="str">
        <f>IFERROR(__xludf.DUMMYFUNCTION("""COMPUTED_VALUE"""),"CNTP2026-040.png")</f>
        <v>CNTP2026-040.png</v>
      </c>
    </row>
    <row r="42">
      <c r="A42" s="4" t="str">
        <f>IFERROR(__xludf.DUMMYFUNCTION("""COMPUTED_VALUE"""),"CNTP2026-041")</f>
        <v>CNTP2026-041</v>
      </c>
      <c r="B42" s="4" t="str">
        <f>IFERROR(__xludf.DUMMYFUNCTION("""COMPUTED_VALUE"""),"Công nghệ thực phẩm")</f>
        <v>Công nghệ thực phẩm</v>
      </c>
      <c r="C42" s="4" t="str">
        <f>IFERROR(__xludf.DUMMYFUNCTION("""COMPUTED_VALUE"""),"Phát triển Starter-kit trong sản xuất thực phẩm")</f>
        <v>Phát triển Starter-kit trong sản xuất thực phẩm</v>
      </c>
      <c r="D42" s="4" t="str">
        <f>IFERROR(__xludf.DUMMYFUNCTION("""COMPUTED_VALUE"""),"Nguyễn Thị Hải Anh; Đỗ Nguyễn Khánh Linh; Đỗ Ngọc Anh")</f>
        <v>Nguyễn Thị Hải Anh; Đỗ Nguyễn Khánh Linh; Đỗ Ngọc Anh</v>
      </c>
      <c r="E42" s="4" t="str">
        <f>IFERROR(__xludf.DUMMYFUNCTION("""COMPUTED_VALUE"""),"Đại học Phenikaa")</f>
        <v>Đại học Phenikaa</v>
      </c>
      <c r="F42" s="4" t="str">
        <f>IFERROR(__xludf.DUMMYFUNCTION("""COMPUTED_VALUE"""),"CNTP2026-041.png")</f>
        <v>CNTP2026-041.png</v>
      </c>
    </row>
    <row r="43">
      <c r="A43" s="4" t="str">
        <f>IFERROR(__xludf.DUMMYFUNCTION("""COMPUTED_VALUE"""),"CNTP2026-042")</f>
        <v>CNTP2026-042</v>
      </c>
      <c r="B43" s="4" t="str">
        <f>IFERROR(__xludf.DUMMYFUNCTION("""COMPUTED_VALUE"""),"Công nghệ thực phẩm")</f>
        <v>Công nghệ thực phẩm</v>
      </c>
      <c r="C43" s="4" t="str">
        <f>IFERROR(__xludf.DUMMYFUNCTION("""COMPUTED_VALUE"""),"Nghiên cứu, tuyển chọn và đánh giá đặc tính các chủng vi sinh vật tiềm năng trong quá trình lên men rau cải bẹ xanh (BRASSICA JUNCEA)")</f>
        <v>Nghiên cứu, tuyển chọn và đánh giá đặc tính các chủng vi sinh vật tiềm năng trong quá trình lên men rau cải bẹ xanh (BRASSICA JUNCEA)</v>
      </c>
      <c r="D43" s="4" t="str">
        <f>IFERROR(__xludf.DUMMYFUNCTION("""COMPUTED_VALUE"""),"Trần Thanh Thư; Nguyễn Đào Hạnh Nguyên; K Uân; Phạm Kiên")</f>
        <v>Trần Thanh Thư; Nguyễn Đào Hạnh Nguyên; K Uân; Phạm Kiên</v>
      </c>
      <c r="E43" s="4" t="str">
        <f>IFERROR(__xludf.DUMMYFUNCTION("""COMPUTED_VALUE"""),"Trường Đại học Đà Lạt")</f>
        <v>Trường Đại học Đà Lạt</v>
      </c>
      <c r="F43" s="4" t="str">
        <f>IFERROR(__xludf.DUMMYFUNCTION("""COMPUTED_VALUE"""),"CNTP2026-042.png")</f>
        <v>CNTP2026-042.png</v>
      </c>
    </row>
    <row r="44">
      <c r="A44" s="4" t="str">
        <f>IFERROR(__xludf.DUMMYFUNCTION("""COMPUTED_VALUE"""),"CNTP2026-043")</f>
        <v>CNTP2026-043</v>
      </c>
      <c r="B44" s="4" t="str">
        <f>IFERROR(__xludf.DUMMYFUNCTION("""COMPUTED_VALUE"""),"Công nghệ thực phẩm")</f>
        <v>Công nghệ thực phẩm</v>
      </c>
      <c r="C44" s="4" t="str">
        <f>IFERROR(__xludf.DUMMYFUNCTION("""COMPUTED_VALUE"""),"Evaluation of the potential probiotic yeast strains isolated from Kefir milk")</f>
        <v>Evaluation of the potential probiotic yeast strains isolated from Kefir milk</v>
      </c>
      <c r="D44" s="4" t="str">
        <f>IFERROR(__xludf.DUMMYFUNCTION("""COMPUTED_VALUE"""),"Lý Ngọc Yến Vy; Nguyễn Hữu Thiện")</f>
        <v>Lý Ngọc Yến Vy; Nguyễn Hữu Thiện</v>
      </c>
      <c r="E44" s="4" t="str">
        <f>IFERROR(__xludf.DUMMYFUNCTION("""COMPUTED_VALUE"""),"Trường Đại học Nông Lâm TP. Hồ Chí Minh")</f>
        <v>Trường Đại học Nông Lâm TP. Hồ Chí Minh</v>
      </c>
      <c r="F44" s="4" t="str">
        <f>IFERROR(__xludf.DUMMYFUNCTION("""COMPUTED_VALUE"""),"CNTP2026-043.png")</f>
        <v>CNTP2026-043.png</v>
      </c>
    </row>
    <row r="45">
      <c r="A45" s="4" t="str">
        <f>IFERROR(__xludf.DUMMYFUNCTION("""COMPUTED_VALUE"""),"CNTP2026-044")</f>
        <v>CNTP2026-044</v>
      </c>
      <c r="B45" s="4" t="str">
        <f>IFERROR(__xludf.DUMMYFUNCTION("""COMPUTED_VALUE"""),"Công nghệ thực phẩm")</f>
        <v>Công nghệ thực phẩm</v>
      </c>
      <c r="C45" s="4" t="str">
        <f>IFERROR(__xludf.DUMMYFUNCTION("""COMPUTED_VALUE"""),"Ảnh hưởng của hàm lượng hỗn hợp nấm ăn nuôi trồng tại Thái Nguyên đến quá trình lên men và chất lượng bia,cider và kombucha")</f>
        <v>Ảnh hưởng của hàm lượng hỗn hợp nấm ăn nuôi trồng tại Thái Nguyên đến quá trình lên men và chất lượng bia,cider và kombucha</v>
      </c>
      <c r="D45" s="4" t="str">
        <f>IFERROR(__xludf.DUMMYFUNCTION("""COMPUTED_VALUE"""),"Đỗ Minh Phương; Vũ Hồng Ngọc; Đặng Hồng Anh; Nguyễn Quang Trung")</f>
        <v>Đỗ Minh Phương; Vũ Hồng Ngọc; Đặng Hồng Anh; Nguyễn Quang Trung</v>
      </c>
      <c r="E45" s="4" t="str">
        <f>IFERROR(__xludf.DUMMYFUNCTION("""COMPUTED_VALUE"""),"Trường Đại học Nông Lâm, Đại học Thái Nguyên")</f>
        <v>Trường Đại học Nông Lâm, Đại học Thái Nguyên</v>
      </c>
      <c r="F45" s="4" t="str">
        <f>IFERROR(__xludf.DUMMYFUNCTION("""COMPUTED_VALUE"""),"CNTP2026-044.png")</f>
        <v>CNTP2026-044.png</v>
      </c>
    </row>
    <row r="46">
      <c r="A46" s="4" t="str">
        <f>IFERROR(__xludf.DUMMYFUNCTION("""COMPUTED_VALUE"""),"CNTP2026-045")</f>
        <v>CNTP2026-045</v>
      </c>
      <c r="B46" s="4" t="str">
        <f>IFERROR(__xludf.DUMMYFUNCTION("""COMPUTED_VALUE"""),"Công nghệ thực phẩm")</f>
        <v>Công nghệ thực phẩm</v>
      </c>
      <c r="C46" s="4" t="str">
        <f>IFERROR(__xludf.DUMMYFUNCTION("""COMPUTED_VALUE"""),"Nghiên cứu ảnh hưởng của điều kiện lên men và chế biến đến hàm lượng flavonoid và chất lượng trà túi lọc từ khổ qua (Momordica charantia L.)")</f>
        <v>Nghiên cứu ảnh hưởng của điều kiện lên men và chế biến đến hàm lượng flavonoid và chất lượng trà túi lọc từ khổ qua (Momordica charantia L.)</v>
      </c>
      <c r="D46" s="4" t="str">
        <f>IFERROR(__xludf.DUMMYFUNCTION("""COMPUTED_VALUE"""),"Thòng Trúc Phương; Nguyễn Thị Như Quỳnh; Phạm Văn Tuấn Anh; Lê Minh Quân; Trần Phạm Khánh Vy")</f>
        <v>Thòng Trúc Phương; Nguyễn Thị Như Quỳnh; Phạm Văn Tuấn Anh; Lê Minh Quân; Trần Phạm Khánh Vy</v>
      </c>
      <c r="E46" s="4" t="str">
        <f>IFERROR(__xludf.DUMMYFUNCTION("""COMPUTED_VALUE"""),"Trường Đại học Công nghệ Đồng Nai")</f>
        <v>Trường Đại học Công nghệ Đồng Nai</v>
      </c>
      <c r="F46" s="4" t="str">
        <f>IFERROR(__xludf.DUMMYFUNCTION("""COMPUTED_VALUE"""),"CNTP2026-045.png")</f>
        <v>CNTP2026-045.png</v>
      </c>
    </row>
    <row r="47">
      <c r="A47" s="4" t="str">
        <f>IFERROR(__xludf.DUMMYFUNCTION("""COMPUTED_VALUE"""),"CNTP2026-046")</f>
        <v>CNTP2026-046</v>
      </c>
      <c r="B47" s="4" t="str">
        <f>IFERROR(__xludf.DUMMYFUNCTION("""COMPUTED_VALUE"""),"Công nghệ thực phẩm")</f>
        <v>Công nghệ thực phẩm</v>
      </c>
      <c r="C47" s="4" t="str">
        <f>IFERROR(__xludf.DUMMYFUNCTION("""COMPUTED_VALUE"""),"TỐI ƯU HÓA ĐIỀU KIỆN QUY TRÌNH CHIẾT XUẤT CAO VỎ QUẢ TIÊU (Piper nigrum L., Piperaceae) GIÀU POLYPHENOL VÀ PIPERIN BẰNG PHƯƠNG PHÁP BỀ MẶT ĐÁP ỨNG")</f>
        <v>TỐI ƯU HÓA ĐIỀU KIỆN QUY TRÌNH CHIẾT XUẤT CAO VỎ QUẢ TIÊU (Piper nigrum L., Piperaceae) GIÀU POLYPHENOL VÀ PIPERIN BẰNG PHƯƠNG PHÁP BỀ MẶT ĐÁP ỨNG</v>
      </c>
      <c r="D47" s="4" t="str">
        <f>IFERROR(__xludf.DUMMYFUNCTION("""COMPUTED_VALUE"""),"Đặng Nguyễn Trúc Vy; Nguyễn Kim Ngọc; Lương Thị Kim Anh; Ngô Thị Thu Hà; Nguyễn Hồng Thái")</f>
        <v>Đặng Nguyễn Trúc Vy; Nguyễn Kim Ngọc; Lương Thị Kim Anh; Ngô Thị Thu Hà; Nguyễn Hồng Thái</v>
      </c>
      <c r="E47" s="4" t="str">
        <f>IFERROR(__xludf.DUMMYFUNCTION("""COMPUTED_VALUE"""),"Trường Đại học Nguyễn Tất Thành")</f>
        <v>Trường Đại học Nguyễn Tất Thành</v>
      </c>
      <c r="F47" s="4" t="str">
        <f>IFERROR(__xludf.DUMMYFUNCTION("""COMPUTED_VALUE"""),"CNTP2026-046.png")</f>
        <v>CNTP2026-046.png</v>
      </c>
    </row>
    <row r="48">
      <c r="A48" s="4" t="str">
        <f>IFERROR(__xludf.DUMMYFUNCTION("""COMPUTED_VALUE"""),"CNTP2026-047")</f>
        <v>CNTP2026-047</v>
      </c>
      <c r="B48" s="4" t="str">
        <f>IFERROR(__xludf.DUMMYFUNCTION("""COMPUTED_VALUE"""),"Công nghệ thực phẩm")</f>
        <v>Công nghệ thực phẩm</v>
      </c>
      <c r="C48" s="4" t="str">
        <f>IFERROR(__xludf.DUMMYFUNCTION("""COMPUTED_VALUE"""),"Nghiên cứu chế tạo hạt vi nang alginate chứa dịch chiết hoa đậu biếc làm chất chỉ thị màu theo dõi độ tươi sống của thịt tôm thẻ chân trắng")</f>
        <v>Nghiên cứu chế tạo hạt vi nang alginate chứa dịch chiết hoa đậu biếc làm chất chỉ thị màu theo dõi độ tươi sống của thịt tôm thẻ chân trắng</v>
      </c>
      <c r="D48" s="4" t="str">
        <f>IFERROR(__xludf.DUMMYFUNCTION("""COMPUTED_VALUE"""),"Đinh Thị Trinh; Trương Đoan Trang; Trần Yến Nhi; Võ Thị Trúc Quỳnh")</f>
        <v>Đinh Thị Trinh; Trương Đoan Trang; Trần Yến Nhi; Võ Thị Trúc Quỳnh</v>
      </c>
      <c r="E48" s="4" t="str">
        <f>IFERROR(__xludf.DUMMYFUNCTION("""COMPUTED_VALUE"""),"Trường Đại học Nguyễn Tất Thành")</f>
        <v>Trường Đại học Nguyễn Tất Thành</v>
      </c>
      <c r="F48" s="4" t="str">
        <f>IFERROR(__xludf.DUMMYFUNCTION("""COMPUTED_VALUE"""),"CNTP2026-047.png")</f>
        <v>CNTP2026-047.png</v>
      </c>
    </row>
    <row r="49">
      <c r="A49" s="4" t="str">
        <f>IFERROR(__xludf.DUMMYFUNCTION("""COMPUTED_VALUE"""),"CNTP2026-048")</f>
        <v>CNTP2026-048</v>
      </c>
      <c r="B49" s="4" t="str">
        <f>IFERROR(__xludf.DUMMYFUNCTION("""COMPUTED_VALUE"""),"Công nghệ thực phẩm")</f>
        <v>Công nghệ thực phẩm</v>
      </c>
      <c r="C49" s="4" t="str">
        <f>IFERROR(__xludf.DUMMYFUNCTION("""COMPUTED_VALUE"""),"NGHIÊN CỨU ỨNG DỤNG MÀNG BAO ĂN ĐƯỢC CARBOXYMETHYL CELLULOSE/ALGINATE BỔ SUNG DỊCH CHIẾT LÊN MEN LACTIC (CFS) ĐỂ KÉO DÀI THỜI GIAN BẢO QUẢN CÀ CHUA BI")</f>
        <v>NGHIÊN CỨU ỨNG DỤNG MÀNG BAO ĂN ĐƯỢC CARBOXYMETHYL CELLULOSE/ALGINATE BỔ SUNG DỊCH CHIẾT LÊN MEN LACTIC (CFS) ĐỂ KÉO DÀI THỜI GIAN BẢO QUẢN CÀ CHUA BI</v>
      </c>
      <c r="D49" s="4" t="str">
        <f>IFERROR(__xludf.DUMMYFUNCTION("""COMPUTED_VALUE"""),"Võ Lan Anh; Trần Thị Cẩm Nhung; Đỗ Thị Minh Thư; Võ Thị Kim Ngân")</f>
        <v>Võ Lan Anh; Trần Thị Cẩm Nhung; Đỗ Thị Minh Thư; Võ Thị Kim Ngân</v>
      </c>
      <c r="E49" s="4" t="str">
        <f>IFERROR(__xludf.DUMMYFUNCTION("""COMPUTED_VALUE"""),"Trường Đại học Nguyễn Tất Thành")</f>
        <v>Trường Đại học Nguyễn Tất Thành</v>
      </c>
      <c r="F49" s="4" t="str">
        <f>IFERROR(__xludf.DUMMYFUNCTION("""COMPUTED_VALUE"""),"CNTP2026-048.png")</f>
        <v>CNTP2026-048.png</v>
      </c>
    </row>
    <row r="50">
      <c r="A50" s="4" t="str">
        <f>IFERROR(__xludf.DUMMYFUNCTION("""COMPUTED_VALUE"""),"CNTP2026-049")</f>
        <v>CNTP2026-049</v>
      </c>
      <c r="B50" s="4" t="str">
        <f>IFERROR(__xludf.DUMMYFUNCTION("""COMPUTED_VALUE"""),"Công nghệ thực phẩm")</f>
        <v>Công nghệ thực phẩm</v>
      </c>
      <c r="C50" s="4" t="str">
        <f>IFERROR(__xludf.DUMMYFUNCTION("""COMPUTED_VALUE"""),"Development of gum arabic–gelatin composite films incorporating astaxanthin from Rhodosporidium toruloides G17 and lemongrass essential oil for cherry tomato preservation")</f>
        <v>Development of gum arabic–gelatin composite films incorporating astaxanthin from Rhodosporidium toruloides G17 and lemongrass essential oil for cherry tomato preservation</v>
      </c>
      <c r="D50" s="4" t="str">
        <f>IFERROR(__xludf.DUMMYFUNCTION("""COMPUTED_VALUE"""),"Tô Thành Đạt; Đỗ Thanh Như; Lê Thùy Mỹ Duyên")</f>
        <v>Tô Thành Đạt; Đỗ Thanh Như; Lê Thùy Mỹ Duyên</v>
      </c>
      <c r="E50" s="4" t="str">
        <f>IFERROR(__xludf.DUMMYFUNCTION("""COMPUTED_VALUE"""),"Trường Đại học Tôn Đức Thắng")</f>
        <v>Trường Đại học Tôn Đức Thắng</v>
      </c>
      <c r="F50" s="4" t="str">
        <f>IFERROR(__xludf.DUMMYFUNCTION("""COMPUTED_VALUE"""),"CNTP2026-049.png")</f>
        <v>CNTP2026-049.png</v>
      </c>
    </row>
    <row r="51">
      <c r="A51" s="4" t="str">
        <f>IFERROR(__xludf.DUMMYFUNCTION("""COMPUTED_VALUE"""),"CNTP2026-050")</f>
        <v>CNTP2026-050</v>
      </c>
      <c r="B51" s="4" t="str">
        <f>IFERROR(__xludf.DUMMYFUNCTION("""COMPUTED_VALUE"""),"Công nghệ thực phẩm")</f>
        <v>Công nghệ thực phẩm</v>
      </c>
      <c r="C51" s="4" t="str">
        <f>IFERROR(__xludf.DUMMYFUNCTION("""COMPUTED_VALUE"""),"Nghiên cứu chế tạo màng nanocomposite sinh học từ konjac glucomannan kết hợp nanolignin và cao chiết lá ổi ứng dụng trong bảo quản cà chua bi")</f>
        <v>Nghiên cứu chế tạo màng nanocomposite sinh học từ konjac glucomannan kết hợp nanolignin và cao chiết lá ổi ứng dụng trong bảo quản cà chua bi</v>
      </c>
      <c r="D51" s="4" t="str">
        <f>IFERROR(__xludf.DUMMYFUNCTION("""COMPUTED_VALUE"""),"Phạm Thị Ngọc Linh; Lê Nguyễn Tuệ Vy; Trần Minh Mẫn; Phan Thanh Trâm; Nguyễn Thị Linh Nhã")</f>
        <v>Phạm Thị Ngọc Linh; Lê Nguyễn Tuệ Vy; Trần Minh Mẫn; Phan Thanh Trâm; Nguyễn Thị Linh Nhã</v>
      </c>
      <c r="E51" s="4" t="str">
        <f>IFERROR(__xludf.DUMMYFUNCTION("""COMPUTED_VALUE"""),"Trường Đại học Tôn Đức Thắng")</f>
        <v>Trường Đại học Tôn Đức Thắng</v>
      </c>
      <c r="F51" s="4" t="str">
        <f>IFERROR(__xludf.DUMMYFUNCTION("""COMPUTED_VALUE"""),"CNTP2026-050.png")</f>
        <v>CNTP2026-050.png</v>
      </c>
    </row>
    <row r="52">
      <c r="A52" s="4" t="str">
        <f>IFERROR(__xludf.DUMMYFUNCTION("""COMPUTED_VALUE"""),"CNTP2026-051")</f>
        <v>CNTP2026-051</v>
      </c>
      <c r="B52" s="4" t="str">
        <f>IFERROR(__xludf.DUMMYFUNCTION("""COMPUTED_VALUE"""),"Công nghệ thực phẩm")</f>
        <v>Công nghệ thực phẩm</v>
      </c>
      <c r="C52" s="4" t="str">
        <f>IFERROR(__xludf.DUMMYFUNCTION("""COMPUTED_VALUE"""),"Nghiên cứu thu hồi silica từ vỏ trấu và chế tạo vật liệu xerogel mang tinh dầu quế (Cinnamomum aromaticum) ứng dụng bảo quản gạo chống mọt và nấm mốc sinh độc tố Aflatoxin")</f>
        <v>Nghiên cứu thu hồi silica từ vỏ trấu và chế tạo vật liệu xerogel mang tinh dầu quế (Cinnamomum aromaticum) ứng dụng bảo quản gạo chống mọt và nấm mốc sinh độc tố Aflatoxin</v>
      </c>
      <c r="D52" s="4" t="str">
        <f>IFERROR(__xludf.DUMMYFUNCTION("""COMPUTED_VALUE"""),"Lê Thanh Thảo; Nguyễn Huyền Trâm; Phan Ngô Thuận")</f>
        <v>Lê Thanh Thảo; Nguyễn Huyền Trâm; Phan Ngô Thuận</v>
      </c>
      <c r="E52" s="4" t="str">
        <f>IFERROR(__xludf.DUMMYFUNCTION("""COMPUTED_VALUE"""),"Trường Đại học Tôn Đức Thắng")</f>
        <v>Trường Đại học Tôn Đức Thắng</v>
      </c>
      <c r="F52" s="4" t="str">
        <f>IFERROR(__xludf.DUMMYFUNCTION("""COMPUTED_VALUE"""),"CNTP2026-051.png")</f>
        <v>CNTP2026-051.png</v>
      </c>
    </row>
    <row r="53">
      <c r="A53" s="4" t="str">
        <f>IFERROR(__xludf.DUMMYFUNCTION("""COMPUTED_VALUE"""),"CNTP2026-052")</f>
        <v>CNTP2026-052</v>
      </c>
      <c r="B53" s="4" t="str">
        <f>IFERROR(__xludf.DUMMYFUNCTION("""COMPUTED_VALUE"""),"Công nghệ thực phẩm")</f>
        <v>Công nghệ thực phẩm</v>
      </c>
      <c r="C53" s="4" t="str">
        <f>IFERROR(__xludf.DUMMYFUNCTION("""COMPUTED_VALUE"""),"Khảo sát hiệu quả của lớp phủ CaCO3 hình thành tự nhiên lên chất lượng và thời gian bảo quản tỏi (Allium sativum L.)")</f>
        <v>Khảo sát hiệu quả của lớp phủ CaCO3 hình thành tự nhiên lên chất lượng và thời gian bảo quản tỏi (Allium sativum L.)</v>
      </c>
      <c r="D53" s="4" t="str">
        <f>IFERROR(__xludf.DUMMYFUNCTION("""COMPUTED_VALUE"""),"Lê Đức Triều; Trương Huỳnh Thu Thảo; Phạm Thị Thủy Tiên")</f>
        <v>Lê Đức Triều; Trương Huỳnh Thu Thảo; Phạm Thị Thủy Tiên</v>
      </c>
      <c r="E53" s="4" t="str">
        <f>IFERROR(__xludf.DUMMYFUNCTION("""COMPUTED_VALUE"""),"Trường Đại học Đông Á")</f>
        <v>Trường Đại học Đông Á</v>
      </c>
      <c r="F53" s="4" t="str">
        <f>IFERROR(__xludf.DUMMYFUNCTION("""COMPUTED_VALUE"""),"CNTP2026-052.png")</f>
        <v>CNTP2026-052.png</v>
      </c>
    </row>
    <row r="54">
      <c r="A54" s="4" t="str">
        <f>IFERROR(__xludf.DUMMYFUNCTION("""COMPUTED_VALUE"""),"CNTP2026-053")</f>
        <v>CNTP2026-053</v>
      </c>
      <c r="B54" s="4" t="str">
        <f>IFERROR(__xludf.DUMMYFUNCTION("""COMPUTED_VALUE"""),"Công nghệ thực phẩm")</f>
        <v>Công nghệ thực phẩm</v>
      </c>
      <c r="C54" s="4" t="str">
        <f>IFERROR(__xludf.DUMMYFUNCTION("""COMPUTED_VALUE"""),"Nghiên cứu tách chiết và đánh giá hoạt tính sinh học từ cây phặc phà (Pluchea Indica).")</f>
        <v>Nghiên cứu tách chiết và đánh giá hoạt tính sinh học từ cây phặc phà (Pluchea Indica).</v>
      </c>
      <c r="D54" s="4" t="str">
        <f>IFERROR(__xludf.DUMMYFUNCTION("""COMPUTED_VALUE"""),"Nguyễn Mai Anh; Đỗ Như Quỳnh; Bùi Nguyễn Thu Hà; Dương Bích Thuỳ; Đỗ Tuệ Nhi")</f>
        <v>Nguyễn Mai Anh; Đỗ Như Quỳnh; Bùi Nguyễn Thu Hà; Dương Bích Thuỳ; Đỗ Tuệ Nhi</v>
      </c>
      <c r="E54" s="4" t="str">
        <f>IFERROR(__xludf.DUMMYFUNCTION("""COMPUTED_VALUE"""),"Trường Đại học Nông Lâm, Đại học Thái Nguyên")</f>
        <v>Trường Đại học Nông Lâm, Đại học Thái Nguyên</v>
      </c>
      <c r="F54" s="4" t="str">
        <f>IFERROR(__xludf.DUMMYFUNCTION("""COMPUTED_VALUE"""),"CNTP2026-053.png")</f>
        <v>CNTP2026-053.png</v>
      </c>
    </row>
    <row r="55">
      <c r="A55" s="4" t="str">
        <f>IFERROR(__xludf.DUMMYFUNCTION("""COMPUTED_VALUE"""),"CNTP2026-054")</f>
        <v>CNTP2026-054</v>
      </c>
      <c r="B55" s="4" t="str">
        <f>IFERROR(__xludf.DUMMYFUNCTION("""COMPUTED_VALUE"""),"Công nghệ thực phẩm")</f>
        <v>Công nghệ thực phẩm</v>
      </c>
      <c r="C55" s="4" t="str">
        <f>IFERROR(__xludf.DUMMYFUNCTION("""COMPUTED_VALUE"""),"Nghiên cứu ảnh hưởng của bột đậu ngự (Phaseolus lunatus) nảy mầm hồ hóa và maltitol đến đặc tính hóa lý, vi cấu trúc và cảm quan của chocolate")</f>
        <v>Nghiên cứu ảnh hưởng của bột đậu ngự (Phaseolus lunatus) nảy mầm hồ hóa và maltitol đến đặc tính hóa lý, vi cấu trúc và cảm quan của chocolate</v>
      </c>
      <c r="D55" s="4" t="str">
        <f>IFERROR(__xludf.DUMMYFUNCTION("""COMPUTED_VALUE"""),"Nguyễn Phước Đức; Nguyễn Đặng Nguyên Chương; Võ Ngọc Linh; Mai Đại Hải")</f>
        <v>Nguyễn Phước Đức; Nguyễn Đặng Nguyên Chương; Võ Ngọc Linh; Mai Đại Hải</v>
      </c>
      <c r="E55" s="4" t="str">
        <f>IFERROR(__xludf.DUMMYFUNCTION("""COMPUTED_VALUE"""),"Trường Đại học Công nghệ Kỹ thuật TP. Hồ Chí Minh")</f>
        <v>Trường Đại học Công nghệ Kỹ thuật TP. Hồ Chí Minh</v>
      </c>
      <c r="F55" s="4" t="str">
        <f>IFERROR(__xludf.DUMMYFUNCTION("""COMPUTED_VALUE"""),"CNTP2026-054.png")</f>
        <v>CNTP2026-054.png</v>
      </c>
    </row>
    <row r="56">
      <c r="A56" s="4" t="str">
        <f>IFERROR(__xludf.DUMMYFUNCTION("""COMPUTED_VALUE"""),"CNTP2026-055")</f>
        <v>CNTP2026-055</v>
      </c>
      <c r="B56" s="4" t="str">
        <f>IFERROR(__xludf.DUMMYFUNCTION("""COMPUTED_VALUE"""),"Công nghệ thực phẩm")</f>
        <v>Công nghệ thực phẩm</v>
      </c>
      <c r="C56" s="4" t="str">
        <f>IFERROR(__xludf.DUMMYFUNCTION("""COMPUTED_VALUE"""),"Đánh giá khả năng bảo quản cà chua bi (Solanum lycopersicum var. Cerasiforme) của màng PVA kết hợp nanocellulose tách từ vỏ trấu")</f>
        <v>Đánh giá khả năng bảo quản cà chua bi (Solanum lycopersicum var. Cerasiforme) của màng PVA kết hợp nanocellulose tách từ vỏ trấu</v>
      </c>
      <c r="D56" s="4" t="str">
        <f>IFERROR(__xludf.DUMMYFUNCTION("""COMPUTED_VALUE"""),"Nguyễn Thị Huyền Trang; Đoàn Thị Thu Trang; Phạm Minh Ngọc")</f>
        <v>Nguyễn Thị Huyền Trang; Đoàn Thị Thu Trang; Phạm Minh Ngọc</v>
      </c>
      <c r="E56" s="4" t="str">
        <f>IFERROR(__xludf.DUMMYFUNCTION("""COMPUTED_VALUE"""),"Trường Đại học Tài nguyên và Môi trường Hà Nội")</f>
        <v>Trường Đại học Tài nguyên và Môi trường Hà Nội</v>
      </c>
      <c r="F56" s="4" t="str">
        <f>IFERROR(__xludf.DUMMYFUNCTION("""COMPUTED_VALUE"""),"CNTP2026-055.png")</f>
        <v>CNTP2026-055.png</v>
      </c>
    </row>
    <row r="57">
      <c r="A57" s="4" t="str">
        <f>IFERROR(__xludf.DUMMYFUNCTION("""COMPUTED_VALUE"""),"CNTP2026-056")</f>
        <v>CNTP2026-056</v>
      </c>
      <c r="B57" s="4" t="str">
        <f>IFERROR(__xludf.DUMMYFUNCTION("""COMPUTED_VALUE"""),"Công nghệ thực phẩm")</f>
        <v>Công nghệ thực phẩm</v>
      </c>
      <c r="C57" s="4" t="str">
        <f>IFERROR(__xludf.DUMMYFUNCTION("""COMPUTED_VALUE"""),"NGHIÊN CỨU ẢNH HƯỞNG CÁC PHƯƠNG PHÁP SẤY ĐẾN THÀNH PHẦN HÓA HỌC VÀ HOẠT TÍNH SINH HỌC CỦA BỘT VỎ TRẮNG SẦU RIÊNG (DURIO ZIBETHINUS)")</f>
        <v>NGHIÊN CỨU ẢNH HƯỞNG CÁC PHƯƠNG PHÁP SẤY ĐẾN THÀNH PHẦN HÓA HỌC VÀ HOẠT TÍNH SINH HỌC CỦA BỘT VỎ TRẮNG SẦU RIÊNG (DURIO ZIBETHINUS)</v>
      </c>
      <c r="D57" s="4" t="str">
        <f>IFERROR(__xludf.DUMMYFUNCTION("""COMPUTED_VALUE"""),"Nguyễn Hồ Tá; Lê Quốc Anh")</f>
        <v>Nguyễn Hồ Tá; Lê Quốc Anh</v>
      </c>
      <c r="E57" s="4" t="str">
        <f>IFERROR(__xludf.DUMMYFUNCTION("""COMPUTED_VALUE"""),"Trường Đại học Nông Lâm TP. Hồ Chí Minh")</f>
        <v>Trường Đại học Nông Lâm TP. Hồ Chí Minh</v>
      </c>
      <c r="F57" s="4" t="str">
        <f>IFERROR(__xludf.DUMMYFUNCTION("""COMPUTED_VALUE"""),"CNTP2026-056.png")</f>
        <v>CNTP2026-056.png</v>
      </c>
    </row>
    <row r="58">
      <c r="A58" s="4" t="str">
        <f>IFERROR(__xludf.DUMMYFUNCTION("""COMPUTED_VALUE"""),"CNTP2026-057")</f>
        <v>CNTP2026-057</v>
      </c>
      <c r="B58" s="4" t="str">
        <f>IFERROR(__xludf.DUMMYFUNCTION("""COMPUTED_VALUE"""),"Công nghệ thực phẩm")</f>
        <v>Công nghệ thực phẩm</v>
      </c>
      <c r="C58" s="4" t="str">
        <f>IFERROR(__xludf.DUMMYFUNCTION("""COMPUTED_VALUE"""),"Nghiên cứu tách chiết, xác định thành phần hóa học và đánh giá một số hoạt tính sinh học có lợi và thử nghiệm bảo quản thịt lợn tươi của tinh dầu màng tang (litsea cubeba (lour.) Pers.) Tại Phường Sa Pa, Tỉnh Lào Cai.")</f>
        <v>Nghiên cứu tách chiết, xác định thành phần hóa học và đánh giá một số hoạt tính sinh học có lợi và thử nghiệm bảo quản thịt lợn tươi của tinh dầu màng tang (litsea cubeba (lour.) Pers.) Tại Phường Sa Pa, Tỉnh Lào Cai.</v>
      </c>
      <c r="D58" s="4" t="str">
        <f>IFERROR(__xludf.DUMMYFUNCTION("""COMPUTED_VALUE"""),"Nguyễn Ngọc Mai; Nguyễn Đình Mạnh; Phạm Hồng Hạnh; Bùi Thùy Linh; Đỗ Tuệ Nhi")</f>
        <v>Nguyễn Ngọc Mai; Nguyễn Đình Mạnh; Phạm Hồng Hạnh; Bùi Thùy Linh; Đỗ Tuệ Nhi</v>
      </c>
      <c r="E58" s="4" t="str">
        <f>IFERROR(__xludf.DUMMYFUNCTION("""COMPUTED_VALUE"""),"Trường Đại học Nông Lâm, Đại học Thái Nguyên")</f>
        <v>Trường Đại học Nông Lâm, Đại học Thái Nguyên</v>
      </c>
      <c r="F58" s="4" t="str">
        <f>IFERROR(__xludf.DUMMYFUNCTION("""COMPUTED_VALUE"""),"CNTP2026-057.png")</f>
        <v>CNTP2026-057.png</v>
      </c>
    </row>
    <row r="59">
      <c r="A59" s="4" t="str">
        <f>IFERROR(__xludf.DUMMYFUNCTION("""COMPUTED_VALUE"""),"CNTP2026-058")</f>
        <v>CNTP2026-058</v>
      </c>
      <c r="B59" s="4" t="str">
        <f>IFERROR(__xludf.DUMMYFUNCTION("""COMPUTED_VALUE"""),"Công nghệ thực phẩm")</f>
        <v>Công nghệ thực phẩm</v>
      </c>
      <c r="C59" s="4" t="str">
        <f>IFERROR(__xludf.DUMMYFUNCTION("""COMPUTED_VALUE"""),"Nghiên cứu chế tạo và đánh giá đặc tính của lớp màng sinh học từ keratin và tinh bột sắn, ứng dụng trong bảo quản xoài sau thu hoạch")</f>
        <v>Nghiên cứu chế tạo và đánh giá đặc tính của lớp màng sinh học từ keratin và tinh bột sắn, ứng dụng trong bảo quản xoài sau thu hoạch</v>
      </c>
      <c r="D59" s="4" t="str">
        <f>IFERROR(__xludf.DUMMYFUNCTION("""COMPUTED_VALUE"""),"Trân Minh Khuê; Lê Viết Anh Khoa; Nguyễn Huỳnh Thông; Cao Thị Hương Thi")</f>
        <v>Trân Minh Khuê; Lê Viết Anh Khoa; Nguyễn Huỳnh Thông; Cao Thị Hương Thi</v>
      </c>
      <c r="E59" s="4" t="str">
        <f>IFERROR(__xludf.DUMMYFUNCTION("""COMPUTED_VALUE"""),"Trường Đại học Sư phạm Kỹ thuật, Đại học Đà Nẵng")</f>
        <v>Trường Đại học Sư phạm Kỹ thuật, Đại học Đà Nẵng</v>
      </c>
      <c r="F59" s="4" t="str">
        <f>IFERROR(__xludf.DUMMYFUNCTION("""COMPUTED_VALUE"""),"CNTP2026-058.png")</f>
        <v>CNTP2026-058.png</v>
      </c>
    </row>
    <row r="60">
      <c r="A60" s="4" t="str">
        <f>IFERROR(__xludf.DUMMYFUNCTION("""COMPUTED_VALUE"""),"CNTP2026-059")</f>
        <v>CNTP2026-059</v>
      </c>
      <c r="B60" s="4" t="str">
        <f>IFERROR(__xludf.DUMMYFUNCTION("""COMPUTED_VALUE"""),"Công nghệ thực phẩm")</f>
        <v>Công nghệ thực phẩm</v>
      </c>
      <c r="C60" s="4" t="str">
        <f>IFERROR(__xludf.DUMMYFUNCTION("""COMPUTED_VALUE"""),"Nghiên cứu phát triển vật liệu bao gói thông minh BioHydrogel ứng dụng trong bảo quản trái cây tươi từ phụ phẩm thân cây chuối")</f>
        <v>Nghiên cứu phát triển vật liệu bao gói thông minh BioHydrogel ứng dụng trong bảo quản trái cây tươi từ phụ phẩm thân cây chuối</v>
      </c>
      <c r="D60" s="4" t="str">
        <f>IFERROR(__xludf.DUMMYFUNCTION("""COMPUTED_VALUE"""),"Đình Mai Linh")</f>
        <v>Đình Mai Linh</v>
      </c>
      <c r="E60" s="4" t="str">
        <f>IFERROR(__xludf.DUMMYFUNCTION("""COMPUTED_VALUE"""),"Trường Hóa và Khoa học Sự sống, Đại học Bách Khoa Hà Nội")</f>
        <v>Trường Hóa và Khoa học Sự sống, Đại học Bách Khoa Hà Nội</v>
      </c>
      <c r="F60" s="4" t="str">
        <f>IFERROR(__xludf.DUMMYFUNCTION("""COMPUTED_VALUE"""),"CNTP2026-059.png")</f>
        <v>CNTP2026-059.png</v>
      </c>
    </row>
    <row r="61">
      <c r="A61" s="4" t="str">
        <f>IFERROR(__xludf.DUMMYFUNCTION("""COMPUTED_VALUE"""),"CNTP2026-060")</f>
        <v>CNTP2026-060</v>
      </c>
      <c r="B61" s="4" t="str">
        <f>IFERROR(__xludf.DUMMYFUNCTION("""COMPUTED_VALUE"""),"Công nghệ thực phẩm")</f>
        <v>Công nghệ thực phẩm</v>
      </c>
      <c r="C61" s="4" t="str">
        <f>IFERROR(__xludf.DUMMYFUNCTION("""COMPUTED_VALUE"""),"BAP-induced enhancement of saponin biosynthesis in Antrodia cinnamomea G0.3-2 and development of a smart saponin-loaded hydrogel for colitis therapy")</f>
        <v>BAP-induced enhancement of saponin biosynthesis in Antrodia cinnamomea G0.3-2 and development of a smart saponin-loaded hydrogel for colitis therapy</v>
      </c>
      <c r="D61" s="4" t="str">
        <f>IFERROR(__xludf.DUMMYFUNCTION("""COMPUTED_VALUE"""),"Nguyễn Thị Cẩm Uyên; Trần Huỳnh Ánh Mai; Cung Vũ Uyên Nhi")</f>
        <v>Nguyễn Thị Cẩm Uyên; Trần Huỳnh Ánh Mai; Cung Vũ Uyên Nhi</v>
      </c>
      <c r="E61" s="4" t="str">
        <f>IFERROR(__xludf.DUMMYFUNCTION("""COMPUTED_VALUE"""),"Trường Đại học Tôn Đức Thắng")</f>
        <v>Trường Đại học Tôn Đức Thắng</v>
      </c>
      <c r="F61" s="4" t="str">
        <f>IFERROR(__xludf.DUMMYFUNCTION("""COMPUTED_VALUE"""),"CNTP2026-060.png")</f>
        <v>CNTP2026-060.png</v>
      </c>
    </row>
    <row r="62">
      <c r="A62" s="4" t="str">
        <f>IFERROR(__xludf.DUMMYFUNCTION("""COMPUTED_VALUE"""),"CNTP2026-061")</f>
        <v>CNTP2026-061</v>
      </c>
      <c r="B62" s="4" t="str">
        <f>IFERROR(__xludf.DUMMYFUNCTION("""COMPUTED_VALUE"""),"Công nghệ thực phẩm")</f>
        <v>Công nghệ thực phẩm</v>
      </c>
      <c r="C62" s="4" t="str">
        <f>IFERROR(__xludf.DUMMYFUNCTION("""COMPUTED_VALUE"""),"Tỷ lệ thừa cân béo phì và mối liên quan đến mức độ tiêu thụ thực phẩm siêu chế biến ở sinh viên khoa Y tế Công cộng, Đại học Y Dược Thành phố Hồ Chí Minh năm 2026.")</f>
        <v>Tỷ lệ thừa cân béo phì và mối liên quan đến mức độ tiêu thụ thực phẩm siêu chế biến ở sinh viên khoa Y tế Công cộng, Đại học Y Dược Thành phố Hồ Chí Minh năm 2026.</v>
      </c>
      <c r="D62" s="4" t="str">
        <f>IFERROR(__xludf.DUMMYFUNCTION("""COMPUTED_VALUE"""),"Đoàn Quốc Huy; Nguyễn Ngọc Mai Anh")</f>
        <v>Đoàn Quốc Huy; Nguyễn Ngọc Mai Anh</v>
      </c>
      <c r="E62" s="4" t="str">
        <f>IFERROR(__xludf.DUMMYFUNCTION("""COMPUTED_VALUE"""),"Đại học Y Dược TP. Hồ Chí Minh")</f>
        <v>Đại học Y Dược TP. Hồ Chí Minh</v>
      </c>
      <c r="F62" s="4" t="str">
        <f>IFERROR(__xludf.DUMMYFUNCTION("""COMPUTED_VALUE"""),"CNTP2026-061.png")</f>
        <v>CNTP2026-061.png</v>
      </c>
    </row>
    <row r="63">
      <c r="A63" s="4" t="str">
        <f>IFERROR(__xludf.DUMMYFUNCTION("""COMPUTED_VALUE"""),"CNTP2026-062")</f>
        <v>CNTP2026-062</v>
      </c>
      <c r="B63" s="4" t="str">
        <f>IFERROR(__xludf.DUMMYFUNCTION("""COMPUTED_VALUE"""),"Công nghệ thực phẩm")</f>
        <v>Công nghệ thực phẩm</v>
      </c>
      <c r="C63" s="4" t="str">
        <f>IFERROR(__xludf.DUMMYFUNCTION("""COMPUTED_VALUE"""),"Tối ưu công thức sữa hạt điều kết hợp gạo lứt và cải thiện hương vị bằng enzyme tự nhiên từ nước ép dứa")</f>
        <v>Tối ưu công thức sữa hạt điều kết hợp gạo lứt và cải thiện hương vị bằng enzyme tự nhiên từ nước ép dứa</v>
      </c>
      <c r="D63" s="4" t="str">
        <f>IFERROR(__xludf.DUMMYFUNCTION("""COMPUTED_VALUE"""),"Nguyễn Ngọc Minh Thư; Huỳnh Kim Phụng; Võ Minh Phú; Lê Hoàng Lam")</f>
        <v>Nguyễn Ngọc Minh Thư; Huỳnh Kim Phụng; Võ Minh Phú; Lê Hoàng Lam</v>
      </c>
      <c r="E63" s="4" t="str">
        <f>IFERROR(__xludf.DUMMYFUNCTION("""COMPUTED_VALUE"""),"Trường Đại học Công Thương TP. Hồ Chí Minh")</f>
        <v>Trường Đại học Công Thương TP. Hồ Chí Minh</v>
      </c>
      <c r="F63" s="4" t="str">
        <f>IFERROR(__xludf.DUMMYFUNCTION("""COMPUTED_VALUE"""),"CNTP2026-062.png")</f>
        <v>CNTP2026-062.png</v>
      </c>
    </row>
    <row r="64">
      <c r="A64" s="4" t="str">
        <f>IFERROR(__xludf.DUMMYFUNCTION("""COMPUTED_VALUE"""),"CNTP2026-063")</f>
        <v>CNTP2026-063</v>
      </c>
      <c r="B64" s="4" t="str">
        <f>IFERROR(__xludf.DUMMYFUNCTION("""COMPUTED_VALUE"""),"Công nghệ thực phẩm")</f>
        <v>Công nghệ thực phẩm</v>
      </c>
      <c r="C64" s="4" t="str">
        <f>IFERROR(__xludf.DUMMYFUNCTION("""COMPUTED_VALUE"""),"Nghiên cứu quy trình thu nhận chất xơ thực phẩm và tạo tinh bột kháng từ khoai lang dùng cho chế biến thực phẩm bảo vệ sức khỏe")</f>
        <v>Nghiên cứu quy trình thu nhận chất xơ thực phẩm và tạo tinh bột kháng từ khoai lang dùng cho chế biến thực phẩm bảo vệ sức khỏe</v>
      </c>
      <c r="D64" s="4" t="str">
        <f>IFERROR(__xludf.DUMMYFUNCTION("""COMPUTED_VALUE"""),"Trần Văn Được; Hoàng Khánh Duyên")</f>
        <v>Trần Văn Được; Hoàng Khánh Duyên</v>
      </c>
      <c r="E64" s="4" t="str">
        <f>IFERROR(__xludf.DUMMYFUNCTION("""COMPUTED_VALUE"""),"Trường Đại học Khoa học Tự nhiên, ĐHQG-HCM")</f>
        <v>Trường Đại học Khoa học Tự nhiên, ĐHQG-HCM</v>
      </c>
      <c r="F64" s="4" t="str">
        <f>IFERROR(__xludf.DUMMYFUNCTION("""COMPUTED_VALUE"""),"CNTP2026-063.png")</f>
        <v>CNTP2026-063.png</v>
      </c>
    </row>
    <row r="65">
      <c r="A65" s="4" t="str">
        <f>IFERROR(__xludf.DUMMYFUNCTION("""COMPUTED_VALUE"""),"CNTP2026-064")</f>
        <v>CNTP2026-064</v>
      </c>
      <c r="B65" s="4" t="str">
        <f>IFERROR(__xludf.DUMMYFUNCTION("""COMPUTED_VALUE"""),"Công nghệ thực phẩm")</f>
        <v>Công nghệ thực phẩm</v>
      </c>
      <c r="C65" s="4" t="str">
        <f>IFERROR(__xludf.DUMMYFUNCTION("""COMPUTED_VALUE"""),"EXTRACTION AND OPTIMIZATION OF POLYPHENOLS FROM BLACK SESAME CAKE USING ULTRASOUND-ASSISTED METHOD AND ETHANOL SOLVENT")</f>
        <v>EXTRACTION AND OPTIMIZATION OF POLYPHENOLS FROM BLACK SESAME CAKE USING ULTRASOUND-ASSISTED METHOD AND ETHANOL SOLVENT</v>
      </c>
      <c r="D65" s="4" t="str">
        <f>IFERROR(__xludf.DUMMYFUNCTION("""COMPUTED_VALUE"""),"Nguyễn Khanh Nhi")</f>
        <v>Nguyễn Khanh Nhi</v>
      </c>
      <c r="E65" s="4" t="str">
        <f>IFERROR(__xludf.DUMMYFUNCTION("""COMPUTED_VALUE"""),"Trường Đại học Quốc Tế, ĐHQG-HCM")</f>
        <v>Trường Đại học Quốc Tế, ĐHQG-HCM</v>
      </c>
      <c r="F65" s="4" t="str">
        <f>IFERROR(__xludf.DUMMYFUNCTION("""COMPUTED_VALUE"""),"CNTP2026-064.png")</f>
        <v>CNTP2026-064.png</v>
      </c>
    </row>
    <row r="66">
      <c r="A66" s="4" t="str">
        <f>IFERROR(__xludf.DUMMYFUNCTION("""COMPUTED_VALUE"""),"CNTP2026-065")</f>
        <v>CNTP2026-065</v>
      </c>
      <c r="B66" s="4" t="str">
        <f>IFERROR(__xludf.DUMMYFUNCTION("""COMPUTED_VALUE"""),"Công nghệ thực phẩm")</f>
        <v>Công nghệ thực phẩm</v>
      </c>
      <c r="C66" s="4" t="str">
        <f>IFERROR(__xludf.DUMMYFUNCTION("""COMPUTED_VALUE"""),"Nghiên cứu thu nhận, xác định hoạt tính sinh học và bước đầu nâng cao hoạt tính kháng viêm của glucosinolate từ cải bẹ xanh Brassica juncea")</f>
        <v>Nghiên cứu thu nhận, xác định hoạt tính sinh học và bước đầu nâng cao hoạt tính kháng viêm của glucosinolate từ cải bẹ xanh Brassica juncea</v>
      </c>
      <c r="D66" s="4" t="str">
        <f>IFERROR(__xludf.DUMMYFUNCTION("""COMPUTED_VALUE"""),"Nguyễn Thu Minh; Trương Nguyễn Việt Ngân; Võ Thị Kiều Tiên; Nguyễn Thị Thùy Trang; Nguyễn Thị Thế Ngọc Oanh")</f>
        <v>Nguyễn Thu Minh; Trương Nguyễn Việt Ngân; Võ Thị Kiều Tiên; Nguyễn Thị Thùy Trang; Nguyễn Thị Thế Ngọc Oanh</v>
      </c>
      <c r="E66" s="4" t="str">
        <f>IFERROR(__xludf.DUMMYFUNCTION("""COMPUTED_VALUE"""),"Trường Đại học Công Thương TP. Hồ Chí Minh")</f>
        <v>Trường Đại học Công Thương TP. Hồ Chí Minh</v>
      </c>
      <c r="F66" s="4" t="str">
        <f>IFERROR(__xludf.DUMMYFUNCTION("""COMPUTED_VALUE"""),"CNTP2026-065.png")</f>
        <v>CNTP2026-065.png</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29"/>
    <col customWidth="1" min="2" max="2" width="21.29"/>
    <col customWidth="1" min="3" max="3" width="213.29"/>
    <col customWidth="1" min="4" max="4" width="102.29"/>
    <col customWidth="1" min="5" max="5" width="45.86"/>
    <col customWidth="1" min="6" max="6" width="19.29"/>
  </cols>
  <sheetData>
    <row r="1">
      <c r="A1" s="1" t="s">
        <v>0</v>
      </c>
      <c r="B1" s="1" t="s">
        <v>1</v>
      </c>
      <c r="C1" s="1" t="s">
        <v>2</v>
      </c>
      <c r="D1" s="1" t="s">
        <v>3</v>
      </c>
      <c r="E1" s="1" t="s">
        <v>4</v>
      </c>
      <c r="F1" s="1" t="s">
        <v>5</v>
      </c>
    </row>
    <row r="2">
      <c r="A2" s="4" t="str">
        <f>IFERROR(__xludf.DUMMYFUNCTION("FILTER('Danh sach'!A2:F2184, 'Danh sach'!B2:B2184=""Khoa học nông nghiệp"")"),"KHNN2026-001")</f>
        <v>KHNN2026-001</v>
      </c>
      <c r="B2" s="4" t="str">
        <f>IFERROR(__xludf.DUMMYFUNCTION("""COMPUTED_VALUE"""),"Khoa học nông nghiệp")</f>
        <v>Khoa học nông nghiệp</v>
      </c>
      <c r="C2" s="4" t="str">
        <f>IFERROR(__xludf.DUMMYFUNCTION("""COMPUTED_VALUE"""),"Nghiên cứu phát triển phần mềm Forestry Watch System (FWS).")</f>
        <v>Nghiên cứu phát triển phần mềm Forestry Watch System (FWS).</v>
      </c>
      <c r="D2" s="4" t="str">
        <f>IFERROR(__xludf.DUMMYFUNCTION("""COMPUTED_VALUE"""),"Nguyễn Thế Trọng; Hà Duy Nghĩa")</f>
        <v>Nguyễn Thế Trọng; Hà Duy Nghĩa</v>
      </c>
      <c r="E2" s="4" t="str">
        <f>IFERROR(__xludf.DUMMYFUNCTION("""COMPUTED_VALUE"""),"Trường Đại học Nông Lâm, Đại học Thái Nguyên")</f>
        <v>Trường Đại học Nông Lâm, Đại học Thái Nguyên</v>
      </c>
      <c r="F2" s="4" t="str">
        <f>IFERROR(__xludf.DUMMYFUNCTION("""COMPUTED_VALUE"""),"KHNN2026-001.png")</f>
        <v>KHNN2026-001.png</v>
      </c>
    </row>
    <row r="3">
      <c r="A3" s="4" t="str">
        <f>IFERROR(__xludf.DUMMYFUNCTION("""COMPUTED_VALUE"""),"KHNN2026-002")</f>
        <v>KHNN2026-002</v>
      </c>
      <c r="B3" s="4" t="str">
        <f>IFERROR(__xludf.DUMMYFUNCTION("""COMPUTED_VALUE"""),"Khoa học nông nghiệp")</f>
        <v>Khoa học nông nghiệp</v>
      </c>
      <c r="C3" s="4" t="str">
        <f>IFERROR(__xludf.DUMMYFUNCTION("""COMPUTED_VALUE"""),"Ứng dụng AI trong chẩn đoán bệnh hại cây con trong giai đoạn vườn ươm")</f>
        <v>Ứng dụng AI trong chẩn đoán bệnh hại cây con trong giai đoạn vườn ươm</v>
      </c>
      <c r="D3" s="4" t="str">
        <f>IFERROR(__xludf.DUMMYFUNCTION("""COMPUTED_VALUE"""),"Phạm Nguyễn Nhật Thành; Lê Tuấn Anh")</f>
        <v>Phạm Nguyễn Nhật Thành; Lê Tuấn Anh</v>
      </c>
      <c r="E3" s="4" t="str">
        <f>IFERROR(__xludf.DUMMYFUNCTION("""COMPUTED_VALUE"""),"Trường Đại học Nông Lâm TP. Hồ Chí Minh")</f>
        <v>Trường Đại học Nông Lâm TP. Hồ Chí Minh</v>
      </c>
      <c r="F3" s="4" t="str">
        <f>IFERROR(__xludf.DUMMYFUNCTION("""COMPUTED_VALUE"""),"KHNN2026-002.png")</f>
        <v>KHNN2026-002.png</v>
      </c>
    </row>
    <row r="4">
      <c r="A4" s="4" t="str">
        <f>IFERROR(__xludf.DUMMYFUNCTION("""COMPUTED_VALUE"""),"KHNN2026-003")</f>
        <v>KHNN2026-003</v>
      </c>
      <c r="B4" s="4" t="str">
        <f>IFERROR(__xludf.DUMMYFUNCTION("""COMPUTED_VALUE"""),"Khoa học nông nghiệp")</f>
        <v>Khoa học nông nghiệp</v>
      </c>
      <c r="C4" s="4" t="str">
        <f>IFERROR(__xludf.DUMMYFUNCTION("""COMPUTED_VALUE"""),"Tạo chế phẩm dinh dưỡng cho ếch (Hoplobatrachus rugulosus) từ phụ phẩm nuôi đông trùng hạ thảo (Cordyceps militaris) và tỏi lên men Lactic")</f>
        <v>Tạo chế phẩm dinh dưỡng cho ếch (Hoplobatrachus rugulosus) từ phụ phẩm nuôi đông trùng hạ thảo (Cordyceps militaris) và tỏi lên men Lactic</v>
      </c>
      <c r="D4" s="4" t="str">
        <f>IFERROR(__xludf.DUMMYFUNCTION("""COMPUTED_VALUE"""),"Nguyễn Lâm Thành Long; Trần Thị Thu Diễn")</f>
        <v>Nguyễn Lâm Thành Long; Trần Thị Thu Diễn</v>
      </c>
      <c r="E4" s="4" t="str">
        <f>IFERROR(__xludf.DUMMYFUNCTION("""COMPUTED_VALUE"""),"Trường Đại học Công nghệ TP. Hồ Chí Minh")</f>
        <v>Trường Đại học Công nghệ TP. Hồ Chí Minh</v>
      </c>
      <c r="F4" s="4" t="str">
        <f>IFERROR(__xludf.DUMMYFUNCTION("""COMPUTED_VALUE"""),"KHNN2026-003.png")</f>
        <v>KHNN2026-003.png</v>
      </c>
    </row>
    <row r="5">
      <c r="A5" s="4" t="str">
        <f>IFERROR(__xludf.DUMMYFUNCTION("""COMPUTED_VALUE"""),"KHNN2026-004")</f>
        <v>KHNN2026-004</v>
      </c>
      <c r="B5" s="4" t="str">
        <f>IFERROR(__xludf.DUMMYFUNCTION("""COMPUTED_VALUE"""),"Khoa học nông nghiệp")</f>
        <v>Khoa học nông nghiệp</v>
      </c>
      <c r="C5" s="4" t="str">
        <f>IFERROR(__xludf.DUMMYFUNCTION("""COMPUTED_VALUE"""),"Nghiên cứu ảnh hưởng của các loại thức ăn khác nhau lên tăng trưởng, khả năng thích nghi của cua biển (Scylla paramamosain) nuôi vỗ trong hộp nhựa bằng hệ thống tuần hoàn RAS")</f>
        <v>Nghiên cứu ảnh hưởng của các loại thức ăn khác nhau lên tăng trưởng, khả năng thích nghi của cua biển (Scylla paramamosain) nuôi vỗ trong hộp nhựa bằng hệ thống tuần hoàn RAS</v>
      </c>
      <c r="D5" s="4" t="str">
        <f>IFERROR(__xludf.DUMMYFUNCTION("""COMPUTED_VALUE"""),"Lê Tuấn Kiệt; Nguyễn Hồng Mỵ")</f>
        <v>Lê Tuấn Kiệt; Nguyễn Hồng Mỵ</v>
      </c>
      <c r="E5" s="4" t="str">
        <f>IFERROR(__xludf.DUMMYFUNCTION("""COMPUTED_VALUE"""),"Trường Đại học Cửu Long")</f>
        <v>Trường Đại học Cửu Long</v>
      </c>
      <c r="F5" s="4" t="str">
        <f>IFERROR(__xludf.DUMMYFUNCTION("""COMPUTED_VALUE"""),"KHNN2026-004.png")</f>
        <v>KHNN2026-004.png</v>
      </c>
    </row>
    <row r="6">
      <c r="A6" s="4" t="str">
        <f>IFERROR(__xludf.DUMMYFUNCTION("""COMPUTED_VALUE"""),"KHNN2026-005")</f>
        <v>KHNN2026-005</v>
      </c>
      <c r="B6" s="4" t="str">
        <f>IFERROR(__xludf.DUMMYFUNCTION("""COMPUTED_VALUE"""),"Khoa học nông nghiệp")</f>
        <v>Khoa học nông nghiệp</v>
      </c>
      <c r="C6" s="4" t="str">
        <f>IFERROR(__xludf.DUMMYFUNCTION("""COMPUTED_VALUE"""),"Nghiên cứu bổ sung dịch ruồi lính đen (Hermetia illucens) và dịch trùn quế (Perionyx excavatus) vào thức ăn công nghiệp nuôi cá chình bông (Anguilla marmorata) trong hệ thống bể tuần hoàn")</f>
        <v>Nghiên cứu bổ sung dịch ruồi lính đen (Hermetia illucens) và dịch trùn quế (Perionyx excavatus) vào thức ăn công nghiệp nuôi cá chình bông (Anguilla marmorata) trong hệ thống bể tuần hoàn</v>
      </c>
      <c r="D6" s="4" t="str">
        <f>IFERROR(__xludf.DUMMYFUNCTION("""COMPUTED_VALUE"""),"Nguyễn Duy Đoan; Lê Tuấn Kiệt")</f>
        <v>Nguyễn Duy Đoan; Lê Tuấn Kiệt</v>
      </c>
      <c r="E6" s="4" t="str">
        <f>IFERROR(__xludf.DUMMYFUNCTION("""COMPUTED_VALUE"""),"Trường Đại học Cửu Long")</f>
        <v>Trường Đại học Cửu Long</v>
      </c>
      <c r="F6" s="4" t="str">
        <f>IFERROR(__xludf.DUMMYFUNCTION("""COMPUTED_VALUE"""),"KHNN2026-005.png")</f>
        <v>KHNN2026-005.png</v>
      </c>
    </row>
    <row r="7">
      <c r="A7" s="4" t="str">
        <f>IFERROR(__xludf.DUMMYFUNCTION("""COMPUTED_VALUE"""),"KHNN2026-006")</f>
        <v>KHNN2026-006</v>
      </c>
      <c r="B7" s="4" t="str">
        <f>IFERROR(__xludf.DUMMYFUNCTION("""COMPUTED_VALUE"""),"Khoa học nông nghiệp")</f>
        <v>Khoa học nông nghiệp</v>
      </c>
      <c r="C7" s="4" t="str">
        <f>IFERROR(__xludf.DUMMYFUNCTION("""COMPUTED_VALUE"""),"Nghiên cứu bổ sung nano astaxanthin lên tăng trưởng, màu sắc, chất lượng thịt và khả năng chống oxy hóa của tôm thẻ chân trắng (Litopenaeus vannamei)")</f>
        <v>Nghiên cứu bổ sung nano astaxanthin lên tăng trưởng, màu sắc, chất lượng thịt và khả năng chống oxy hóa của tôm thẻ chân trắng (Litopenaeus vannamei)</v>
      </c>
      <c r="D7" s="4" t="str">
        <f>IFERROR(__xludf.DUMMYFUNCTION("""COMPUTED_VALUE"""),"Nguyễn Hồng Mỵ; Lê Tuấn Kiệt")</f>
        <v>Nguyễn Hồng Mỵ; Lê Tuấn Kiệt</v>
      </c>
      <c r="E7" s="4" t="str">
        <f>IFERROR(__xludf.DUMMYFUNCTION("""COMPUTED_VALUE"""),"Trường Đại học Cửu Long")</f>
        <v>Trường Đại học Cửu Long</v>
      </c>
      <c r="F7" s="4" t="str">
        <f>IFERROR(__xludf.DUMMYFUNCTION("""COMPUTED_VALUE"""),"KHNN2026-006.png")</f>
        <v>KHNN2026-006.png</v>
      </c>
    </row>
    <row r="8">
      <c r="A8" s="4" t="str">
        <f>IFERROR(__xludf.DUMMYFUNCTION("""COMPUTED_VALUE"""),"KHNN2026-007")</f>
        <v>KHNN2026-007</v>
      </c>
      <c r="B8" s="4" t="str">
        <f>IFERROR(__xludf.DUMMYFUNCTION("""COMPUTED_VALUE"""),"Khoa học nông nghiệp")</f>
        <v>Khoa học nông nghiệp</v>
      </c>
      <c r="C8" s="4" t="str">
        <f>IFERROR(__xludf.DUMMYFUNCTION("""COMPUTED_VALUE"""),"Nghiên cứu hệ gen và đặc tính sinh học của các thực khuẩn thể mới hướng tới kiểm soát bệnh gan thận mủ do Edwardsiella ictaluri đa kháng kháng sinh")</f>
        <v>Nghiên cứu hệ gen và đặc tính sinh học của các thực khuẩn thể mới hướng tới kiểm soát bệnh gan thận mủ do Edwardsiella ictaluri đa kháng kháng sinh</v>
      </c>
      <c r="D8" s="4" t="str">
        <f>IFERROR(__xludf.DUMMYFUNCTION("""COMPUTED_VALUE"""),"Nguyễn Huỳnh Anh Thư; Huỳnh Phương Nhã; Trần Minh Thiên Bảo; Lê Trần Khánh Băng; Phạm Minh Phú")</f>
        <v>Nguyễn Huỳnh Anh Thư; Huỳnh Phương Nhã; Trần Minh Thiên Bảo; Lê Trần Khánh Băng; Phạm Minh Phú</v>
      </c>
      <c r="E8" s="4" t="str">
        <f>IFERROR(__xludf.DUMMYFUNCTION("""COMPUTED_VALUE"""),"Trường Đại học Văn Lang")</f>
        <v>Trường Đại học Văn Lang</v>
      </c>
      <c r="F8" s="4" t="str">
        <f>IFERROR(__xludf.DUMMYFUNCTION("""COMPUTED_VALUE"""),"KHNN2026-007.png")</f>
        <v>KHNN2026-007.png</v>
      </c>
    </row>
    <row r="9">
      <c r="A9" s="4" t="str">
        <f>IFERROR(__xludf.DUMMYFUNCTION("""COMPUTED_VALUE"""),"KHNN2026-008")</f>
        <v>KHNN2026-008</v>
      </c>
      <c r="B9" s="4" t="str">
        <f>IFERROR(__xludf.DUMMYFUNCTION("""COMPUTED_VALUE"""),"Khoa học nông nghiệp")</f>
        <v>Khoa học nông nghiệp</v>
      </c>
      <c r="C9" s="4" t="str">
        <f>IFERROR(__xludf.DUMMYFUNCTION("""COMPUTED_VALUE"""),"Đánh giá mức độ đáp ứng miễn dịch với vaccine đa giá phòng bệnh do streptococcus agalactiae và aeromonas veronii trên cá rô phi (oreochromis niloticus)")</f>
        <v>Đánh giá mức độ đáp ứng miễn dịch với vaccine đa giá phòng bệnh do streptococcus agalactiae và aeromonas veronii trên cá rô phi (oreochromis niloticus)</v>
      </c>
      <c r="D9" s="4" t="str">
        <f>IFERROR(__xludf.DUMMYFUNCTION("""COMPUTED_VALUE"""),"Nguyễn Ngọc Thảo My")</f>
        <v>Nguyễn Ngọc Thảo My</v>
      </c>
      <c r="E9" s="4" t="str">
        <f>IFERROR(__xludf.DUMMYFUNCTION("""COMPUTED_VALUE"""),"Trường Đại học Văn Lang")</f>
        <v>Trường Đại học Văn Lang</v>
      </c>
      <c r="F9" s="4" t="str">
        <f>IFERROR(__xludf.DUMMYFUNCTION("""COMPUTED_VALUE"""),"KHNN2026-008.png")</f>
        <v>KHNN2026-008.png</v>
      </c>
    </row>
    <row r="10">
      <c r="A10" s="4" t="str">
        <f>IFERROR(__xludf.DUMMYFUNCTION("""COMPUTED_VALUE"""),"KHNN2026-009")</f>
        <v>KHNN2026-009</v>
      </c>
      <c r="B10" s="4" t="str">
        <f>IFERROR(__xludf.DUMMYFUNCTION("""COMPUTED_VALUE"""),"Khoa học nông nghiệp")</f>
        <v>Khoa học nông nghiệp</v>
      </c>
      <c r="C10" s="4" t="str">
        <f>IFERROR(__xludf.DUMMYFUNCTION("""COMPUTED_VALUE"""),"Khảo sát đặc điểm hình thái, phân biệt giới tính và sinh học sinh sản của cá lìm kìm bên Hyporhamphus limbatus (Valenciennes, 1847) tại bán đảo Cà Mau")</f>
        <v>Khảo sát đặc điểm hình thái, phân biệt giới tính và sinh học sinh sản của cá lìm kìm bên Hyporhamphus limbatus (Valenciennes, 1847) tại bán đảo Cà Mau</v>
      </c>
      <c r="D10" s="4" t="str">
        <f>IFERROR(__xludf.DUMMYFUNCTION("""COMPUTED_VALUE"""),"Nguyễn Quốc Vinh; Lý Văn Vương; Nguyễn Lê Hoàng Phúc; Nguyễn Lê Quyết; Trần Thị Cẩm Ly")</f>
        <v>Nguyễn Quốc Vinh; Lý Văn Vương; Nguyễn Lê Hoàng Phúc; Nguyễn Lê Quyết; Trần Thị Cẩm Ly</v>
      </c>
      <c r="E10" s="4" t="str">
        <f>IFERROR(__xludf.DUMMYFUNCTION("""COMPUTED_VALUE"""),"Đại học Cần Thơ")</f>
        <v>Đại học Cần Thơ</v>
      </c>
      <c r="F10" s="4" t="str">
        <f>IFERROR(__xludf.DUMMYFUNCTION("""COMPUTED_VALUE"""),"KHNN2026-009.png")</f>
        <v>KHNN2026-009.png</v>
      </c>
    </row>
    <row r="11">
      <c r="A11" s="4" t="str">
        <f>IFERROR(__xludf.DUMMYFUNCTION("""COMPUTED_VALUE"""),"KHNN2026-010")</f>
        <v>KHNN2026-010</v>
      </c>
      <c r="B11" s="4" t="str">
        <f>IFERROR(__xludf.DUMMYFUNCTION("""COMPUTED_VALUE"""),"Khoa học nông nghiệp")</f>
        <v>Khoa học nông nghiệp</v>
      </c>
      <c r="C11" s="4" t="str">
        <f>IFERROR(__xludf.DUMMYFUNCTION("""COMPUTED_VALUE"""),"Nghiên cứu chế tạo Hydrogel siêu trương nở phân hủy sinh học phục vụ giữ ẩm đất và giải phóng chậm phân bón trong nông nghiệp.")</f>
        <v>Nghiên cứu chế tạo Hydrogel siêu trương nở phân hủy sinh học phục vụ giữ ẩm đất và giải phóng chậm phân bón trong nông nghiệp.</v>
      </c>
      <c r="D11" s="4" t="str">
        <f>IFERROR(__xludf.DUMMYFUNCTION("""COMPUTED_VALUE"""),"Trần Nguyễn Thùy Trang; Trần Kiều Tiên; Lê Võ Trâm Anh")</f>
        <v>Trần Nguyễn Thùy Trang; Trần Kiều Tiên; Lê Võ Trâm Anh</v>
      </c>
      <c r="E11" s="4" t="str">
        <f>IFERROR(__xludf.DUMMYFUNCTION("""COMPUTED_VALUE"""),"Trường Đại học Tôn Đức Thắng")</f>
        <v>Trường Đại học Tôn Đức Thắng</v>
      </c>
      <c r="F11" s="4" t="str">
        <f>IFERROR(__xludf.DUMMYFUNCTION("""COMPUTED_VALUE"""),"KHNN2026-010.png")</f>
        <v>KHNN2026-010.png</v>
      </c>
    </row>
    <row r="12">
      <c r="A12" s="4" t="str">
        <f>IFERROR(__xludf.DUMMYFUNCTION("""COMPUTED_VALUE"""),"KHNN2026-011")</f>
        <v>KHNN2026-011</v>
      </c>
      <c r="B12" s="4" t="str">
        <f>IFERROR(__xludf.DUMMYFUNCTION("""COMPUTED_VALUE"""),"Khoa học nông nghiệp")</f>
        <v>Khoa học nông nghiệp</v>
      </c>
      <c r="C12" s="4" t="str">
        <f>IFERROR(__xludf.DUMMYFUNCTION("""COMPUTED_VALUE"""),"Nghiên cứu sản xuất vật liệu cải tạo đất phèn nặng từ sinh khối cỏ năn kim (Eleocharis ochrostachys) nhằm nâng cao năng suất và chất lượng lúa (Oryza sativa L.)")</f>
        <v>Nghiên cứu sản xuất vật liệu cải tạo đất phèn nặng từ sinh khối cỏ năn kim (Eleocharis ochrostachys) nhằm nâng cao năng suất và chất lượng lúa (Oryza sativa L.)</v>
      </c>
      <c r="D12" s="4" t="str">
        <f>IFERROR(__xludf.DUMMYFUNCTION("""COMPUTED_VALUE"""),"Nguyễn Minh Phú; La Nguyễn Nhật Minh; Cao Đức Duy")</f>
        <v>Nguyễn Minh Phú; La Nguyễn Nhật Minh; Cao Đức Duy</v>
      </c>
      <c r="E12" s="4" t="str">
        <f>IFERROR(__xludf.DUMMYFUNCTION("""COMPUTED_VALUE"""),"Trường Đại học Tôn Đức Thắng")</f>
        <v>Trường Đại học Tôn Đức Thắng</v>
      </c>
      <c r="F12" s="4" t="str">
        <f>IFERROR(__xludf.DUMMYFUNCTION("""COMPUTED_VALUE"""),"KHNN2026-011.png")</f>
        <v>KHNN2026-011.png</v>
      </c>
    </row>
    <row r="13">
      <c r="A13" s="4" t="str">
        <f>IFERROR(__xludf.DUMMYFUNCTION("""COMPUTED_VALUE"""),"KHNN2026-012")</f>
        <v>KHNN2026-012</v>
      </c>
      <c r="B13" s="4" t="str">
        <f>IFERROR(__xludf.DUMMYFUNCTION("""COMPUTED_VALUE"""),"Khoa học nông nghiệp")</f>
        <v>Khoa học nông nghiệp</v>
      </c>
      <c r="C13" s="4" t="str">
        <f>IFERROR(__xludf.DUMMYFUNCTION("""COMPUTED_VALUE"""),"Nghiên cứu chế tạo hạt nén Trichoderma siêu hấp thụ nước (SAP) từ bã rau củ và polyacrylic acid")</f>
        <v>Nghiên cứu chế tạo hạt nén Trichoderma siêu hấp thụ nước (SAP) từ bã rau củ và polyacrylic acid</v>
      </c>
      <c r="D13" s="4" t="str">
        <f>IFERROR(__xludf.DUMMYFUNCTION("""COMPUTED_VALUE"""),"Trương Phúc Hậu; Trịnh Quang Minh Hiếu; Trần Tiến Đạt; Trần Bảo Khải")</f>
        <v>Trương Phúc Hậu; Trịnh Quang Minh Hiếu; Trần Tiến Đạt; Trần Bảo Khải</v>
      </c>
      <c r="E13" s="4" t="str">
        <f>IFERROR(__xludf.DUMMYFUNCTION("""COMPUTED_VALUE"""),"Trường Đại học Công nghiệp TP. Hồ Chí Minh")</f>
        <v>Trường Đại học Công nghiệp TP. Hồ Chí Minh</v>
      </c>
      <c r="F13" s="4" t="str">
        <f>IFERROR(__xludf.DUMMYFUNCTION("""COMPUTED_VALUE"""),"KHNN2026-012.png")</f>
        <v>KHNN2026-012.png</v>
      </c>
    </row>
    <row r="14">
      <c r="A14" s="4" t="str">
        <f>IFERROR(__xludf.DUMMYFUNCTION("""COMPUTED_VALUE"""),"KHNN2026-013")</f>
        <v>KHNN2026-013</v>
      </c>
      <c r="B14" s="4" t="str">
        <f>IFERROR(__xludf.DUMMYFUNCTION("""COMPUTED_VALUE"""),"Khoa học nông nghiệp")</f>
        <v>Khoa học nông nghiệp</v>
      </c>
      <c r="C14" s="4" t="str">
        <f>IFERROR(__xludf.DUMMYFUNCTION("""COMPUTED_VALUE"""),"Chiết xuất acid humic từ bã thải nấm hương lên men đến hiệu quả nông học của cây cải xanh và cây xà lách giai đoạn cây con và giai đoạn kinh doanh trong điều kiện nhà có mái che tại Lâm Đồng")</f>
        <v>Chiết xuất acid humic từ bã thải nấm hương lên men đến hiệu quả nông học của cây cải xanh và cây xà lách giai đoạn cây con và giai đoạn kinh doanh trong điều kiện nhà có mái che tại Lâm Đồng</v>
      </c>
      <c r="D14" s="4" t="str">
        <f>IFERROR(__xludf.DUMMYFUNCTION("""COMPUTED_VALUE"""),"Huỳnh Khánh Đoan; Nguyễn Quốc Hiếu; Vũ Thảo Thanh Khuyên; Hoàng Kim Thanh; Phan Thục Vy")</f>
        <v>Huỳnh Khánh Đoan; Nguyễn Quốc Hiếu; Vũ Thảo Thanh Khuyên; Hoàng Kim Thanh; Phan Thục Vy</v>
      </c>
      <c r="E14" s="4" t="str">
        <f>IFERROR(__xludf.DUMMYFUNCTION("""COMPUTED_VALUE"""),"Trường Đại học Đà Lạt")</f>
        <v>Trường Đại học Đà Lạt</v>
      </c>
      <c r="F14" s="4" t="str">
        <f>IFERROR(__xludf.DUMMYFUNCTION("""COMPUTED_VALUE"""),"KHNN2026-013.png")</f>
        <v>KHNN2026-013.png</v>
      </c>
    </row>
    <row r="15">
      <c r="A15" s="4" t="str">
        <f>IFERROR(__xludf.DUMMYFUNCTION("""COMPUTED_VALUE"""),"KHNN2026-014")</f>
        <v>KHNN2026-014</v>
      </c>
      <c r="B15" s="4" t="str">
        <f>IFERROR(__xludf.DUMMYFUNCTION("""COMPUTED_VALUE"""),"Khoa học nông nghiệp")</f>
        <v>Khoa học nông nghiệp</v>
      </c>
      <c r="C15" s="4" t="str">
        <f>IFERROR(__xludf.DUMMYFUNCTION("""COMPUTED_VALUE"""),"Endophytic bacteria from Portulaca oleracea L.: secondary metabolite profiling and antifungal activity against Fusarium oxysporum f. sp. cubense TR4")</f>
        <v>Endophytic bacteria from Portulaca oleracea L.: secondary metabolite profiling and antifungal activity against Fusarium oxysporum f. sp. cubense TR4</v>
      </c>
      <c r="D15" s="4" t="str">
        <f>IFERROR(__xludf.DUMMYFUNCTION("""COMPUTED_VALUE"""),"Hàng Ngọc Anh; Phạm Minh Anh; Nguyễn Thảo Vy")</f>
        <v>Hàng Ngọc Anh; Phạm Minh Anh; Nguyễn Thảo Vy</v>
      </c>
      <c r="E15" s="4" t="str">
        <f>IFERROR(__xludf.DUMMYFUNCTION("""COMPUTED_VALUE"""),"Trường Đại học Nông Lâm TP. Hồ Chí Minh")</f>
        <v>Trường Đại học Nông Lâm TP. Hồ Chí Minh</v>
      </c>
      <c r="F15" s="4" t="str">
        <f>IFERROR(__xludf.DUMMYFUNCTION("""COMPUTED_VALUE"""),"KHNN2026-014.png")</f>
        <v>KHNN2026-014.png</v>
      </c>
    </row>
    <row r="16">
      <c r="A16" s="4" t="str">
        <f>IFERROR(__xludf.DUMMYFUNCTION("""COMPUTED_VALUE"""),"KHNN2026-015")</f>
        <v>KHNN2026-015</v>
      </c>
      <c r="B16" s="4" t="str">
        <f>IFERROR(__xludf.DUMMYFUNCTION("""COMPUTED_VALUE"""),"Khoa học nông nghiệp")</f>
        <v>Khoa học nông nghiệp</v>
      </c>
      <c r="C16" s="4" t="str">
        <f>IFERROR(__xludf.DUMMYFUNCTION("""COMPUTED_VALUE"""),"Tăng cường khả năng chịu mặn của cây ớt (Capsicum frutescens L.) nhờ Bacillus amyloliquefaciens sinh exopolysaccharide và hình thành màng sinh học")</f>
        <v>Tăng cường khả năng chịu mặn của cây ớt (Capsicum frutescens L.) nhờ Bacillus amyloliquefaciens sinh exopolysaccharide và hình thành màng sinh học</v>
      </c>
      <c r="D16" s="4" t="str">
        <f>IFERROR(__xludf.DUMMYFUNCTION("""COMPUTED_VALUE"""),"HUỲNH THÀNH ĐẠT; HỒ THỊ THANH TRÚC")</f>
        <v>HUỲNH THÀNH ĐẠT; HỒ THỊ THANH TRÚC</v>
      </c>
      <c r="E16" s="4" t="str">
        <f>IFERROR(__xludf.DUMMYFUNCTION("""COMPUTED_VALUE"""),"Trường Đại học Nông Lâm TP. Hồ Chí Minh")</f>
        <v>Trường Đại học Nông Lâm TP. Hồ Chí Minh</v>
      </c>
      <c r="F16" s="4" t="str">
        <f>IFERROR(__xludf.DUMMYFUNCTION("""COMPUTED_VALUE"""),"KHNN2026-015.png")</f>
        <v>KHNN2026-015.png</v>
      </c>
    </row>
    <row r="17">
      <c r="A17" s="4" t="str">
        <f>IFERROR(__xludf.DUMMYFUNCTION("""COMPUTED_VALUE"""),"KHNN2026-016")</f>
        <v>KHNN2026-016</v>
      </c>
      <c r="B17" s="4" t="str">
        <f>IFERROR(__xludf.DUMMYFUNCTION("""COMPUTED_VALUE"""),"Khoa học nông nghiệp")</f>
        <v>Khoa học nông nghiệp</v>
      </c>
      <c r="C17" s="4" t="str">
        <f>IFERROR(__xludf.DUMMYFUNCTION("""COMPUTED_VALUE"""),"TUYỂN CHỌN VI SINH VẬT ĐA CHỨC NĂNG ĐỐI KHÁNG NẤM BỆNH VÀ ĐÁNH GIÁ KHẢ NĂNG LÊN MEN PHỤ PHẨM CÁ ĐỊNH HƯỚNG ỨNG DỤNG TRONG CANH TÁC SẦU RIÊNG")</f>
        <v>TUYỂN CHỌN VI SINH VẬT ĐA CHỨC NĂNG ĐỐI KHÁNG NẤM BỆNH VÀ ĐÁNH GIÁ KHẢ NĂNG LÊN MEN PHỤ PHẨM CÁ ĐỊNH HƯỚNG ỨNG DỤNG TRONG CANH TÁC SẦU RIÊNG</v>
      </c>
      <c r="D17" s="4" t="str">
        <f>IFERROR(__xludf.DUMMYFUNCTION("""COMPUTED_VALUE"""),"Đinh Thị Thảo Linh; Võ Thanh Hương; Nguyễn Trần Tường Vy; Nguyễn Bảo Nghi")</f>
        <v>Đinh Thị Thảo Linh; Võ Thanh Hương; Nguyễn Trần Tường Vy; Nguyễn Bảo Nghi</v>
      </c>
      <c r="E17" s="4" t="str">
        <f>IFERROR(__xludf.DUMMYFUNCTION("""COMPUTED_VALUE"""),"Trường Đại học Bách Khoa, ĐHQG-HCM")</f>
        <v>Trường Đại học Bách Khoa, ĐHQG-HCM</v>
      </c>
      <c r="F17" s="4" t="str">
        <f>IFERROR(__xludf.DUMMYFUNCTION("""COMPUTED_VALUE"""),"KHNN2026-016.png")</f>
        <v>KHNN2026-016.png</v>
      </c>
    </row>
    <row r="18">
      <c r="A18" s="4" t="str">
        <f>IFERROR(__xludf.DUMMYFUNCTION("""COMPUTED_VALUE"""),"KHNN2026-017")</f>
        <v>KHNN2026-017</v>
      </c>
      <c r="B18" s="4" t="str">
        <f>IFERROR(__xludf.DUMMYFUNCTION("""COMPUTED_VALUE"""),"Khoa học nông nghiệp")</f>
        <v>Khoa học nông nghiệp</v>
      </c>
      <c r="C18" s="4" t="str">
        <f>IFERROR(__xludf.DUMMYFUNCTION("""COMPUTED_VALUE"""),"Phát triển cao chiết lá ổi (Psidium guajava L.) và củ tỏi (Allium sativum L.) hướng đến chăn nuôi gia cầm bền vững: Từ trích ly đến kiểm soát vi khuẩn đường ruột và nâng cao năng suất")</f>
        <v>Phát triển cao chiết lá ổi (Psidium guajava L.) và củ tỏi (Allium sativum L.) hướng đến chăn nuôi gia cầm bền vững: Từ trích ly đến kiểm soát vi khuẩn đường ruột và nâng cao năng suất</v>
      </c>
      <c r="D18" s="4" t="str">
        <f>IFERROR(__xludf.DUMMYFUNCTION("""COMPUTED_VALUE"""),"Huỳnh Thị Thanh Trà; Nguyễn Khánh Vy; Phạm Ngọc Nhã Vy; Mạc Võ Gia Huy; Nguyễn Võ Hải Duy")</f>
        <v>Huỳnh Thị Thanh Trà; Nguyễn Khánh Vy; Phạm Ngọc Nhã Vy; Mạc Võ Gia Huy; Nguyễn Võ Hải Duy</v>
      </c>
      <c r="E18" s="4" t="str">
        <f>IFERROR(__xludf.DUMMYFUNCTION("""COMPUTED_VALUE"""),"Trường Đại học Công nghệ TP. Hồ Chí Minh")</f>
        <v>Trường Đại học Công nghệ TP. Hồ Chí Minh</v>
      </c>
      <c r="F18" s="4" t="str">
        <f>IFERROR(__xludf.DUMMYFUNCTION("""COMPUTED_VALUE"""),"KHNN2026-017.png")</f>
        <v>KHNN2026-017.png</v>
      </c>
    </row>
    <row r="19">
      <c r="A19" s="4" t="str">
        <f>IFERROR(__xludf.DUMMYFUNCTION("""COMPUTED_VALUE"""),"KHNN2026-018")</f>
        <v>KHNN2026-018</v>
      </c>
      <c r="B19" s="4" t="str">
        <f>IFERROR(__xludf.DUMMYFUNCTION("""COMPUTED_VALUE"""),"Khoa học nông nghiệp")</f>
        <v>Khoa học nông nghiệp</v>
      </c>
      <c r="C19" s="4" t="str">
        <f>IFERROR(__xludf.DUMMYFUNCTION("""COMPUTED_VALUE"""),"Nghiên cứu đặc tính hóa thực vật, hoạt tính kháng khuẩn và tiềm năng ứng dụng cao chiết lá trầu không (Piper betle) và lá chè xanh (Camellia sinensis) trong chăn nuôi gia cầm")</f>
        <v>Nghiên cứu đặc tính hóa thực vật, hoạt tính kháng khuẩn và tiềm năng ứng dụng cao chiết lá trầu không (Piper betle) và lá chè xanh (Camellia sinensis) trong chăn nuôi gia cầm</v>
      </c>
      <c r="D19" s="4" t="str">
        <f>IFERROR(__xludf.DUMMYFUNCTION("""COMPUTED_VALUE"""),"Lê Hoàng Long; Nguyễn Phúc Luân; Nguyễn Hoàng Minh Tâm; Nguyễn Ngọc Thanh Tâm; Thân Trọng Đức")</f>
        <v>Lê Hoàng Long; Nguyễn Phúc Luân; Nguyễn Hoàng Minh Tâm; Nguyễn Ngọc Thanh Tâm; Thân Trọng Đức</v>
      </c>
      <c r="E19" s="4" t="str">
        <f>IFERROR(__xludf.DUMMYFUNCTION("""COMPUTED_VALUE"""),"Trường Đại học Công nghệ TP. Hồ Chí Minh")</f>
        <v>Trường Đại học Công nghệ TP. Hồ Chí Minh</v>
      </c>
      <c r="F19" s="4" t="str">
        <f>IFERROR(__xludf.DUMMYFUNCTION("""COMPUTED_VALUE"""),"KHNN2026-018.png")</f>
        <v>KHNN2026-018.png</v>
      </c>
    </row>
    <row r="20">
      <c r="A20" s="4" t="str">
        <f>IFERROR(__xludf.DUMMYFUNCTION("""COMPUTED_VALUE"""),"KHNN2026-019")</f>
        <v>KHNN2026-019</v>
      </c>
      <c r="B20" s="4" t="str">
        <f>IFERROR(__xludf.DUMMYFUNCTION("""COMPUTED_VALUE"""),"Khoa học nông nghiệp")</f>
        <v>Khoa học nông nghiệp</v>
      </c>
      <c r="C20" s="4" t="str">
        <f>IFERROR(__xludf.DUMMYFUNCTION("""COMPUTED_VALUE"""),"Xây dựng bản đồ mẫn cảm IgE đặc hiệu với 64 dị nguyên ở chó nghi viêm da dị ứng tại Hà Nội")</f>
        <v>Xây dựng bản đồ mẫn cảm IgE đặc hiệu với 64 dị nguyên ở chó nghi viêm da dị ứng tại Hà Nội</v>
      </c>
      <c r="D20" s="4" t="str">
        <f>IFERROR(__xludf.DUMMYFUNCTION("""COMPUTED_VALUE"""),"Đào Vũ Thanh Mai; Hà Anh; Nguyễn Tất Đạt; Nguyễn Khánh Ly; Ngô Phương Anh")</f>
        <v>Đào Vũ Thanh Mai; Hà Anh; Nguyễn Tất Đạt; Nguyễn Khánh Ly; Ngô Phương Anh</v>
      </c>
      <c r="E20" s="4" t="str">
        <f>IFERROR(__xludf.DUMMYFUNCTION("""COMPUTED_VALUE"""),"Học viện Nông nghiệp Việt Nam")</f>
        <v>Học viện Nông nghiệp Việt Nam</v>
      </c>
      <c r="F20" s="4" t="str">
        <f>IFERROR(__xludf.DUMMYFUNCTION("""COMPUTED_VALUE"""),"KHNN2026-019.png")</f>
        <v>KHNN2026-019.png</v>
      </c>
    </row>
    <row r="21">
      <c r="A21" s="4" t="str">
        <f>IFERROR(__xludf.DUMMYFUNCTION("""COMPUTED_VALUE"""),"KHNN2026-020")</f>
        <v>KHNN2026-020</v>
      </c>
      <c r="B21" s="4" t="str">
        <f>IFERROR(__xludf.DUMMYFUNCTION("""COMPUTED_VALUE"""),"Khoa học nông nghiệp")</f>
        <v>Khoa học nông nghiệp</v>
      </c>
      <c r="C21" s="4" t="str">
        <f>IFERROR(__xludf.DUMMYFUNCTION("""COMPUTED_VALUE"""),"PETSAFE-ABCB1: BỘ KIT PCR SÀNG LỌC NGUY CƠ NHẠY CẢM IVERMECTIN Ở CHÓ VÀ MÈO")</f>
        <v>PETSAFE-ABCB1: BỘ KIT PCR SÀNG LỌC NGUY CƠ NHẠY CẢM IVERMECTIN Ở CHÓ VÀ MÈO</v>
      </c>
      <c r="D21" s="4" t="str">
        <f>IFERROR(__xludf.DUMMYFUNCTION("""COMPUTED_VALUE"""),"Phan Nhật Huỳnh; Nguyễn Văn Quí; Lê Hoàng Đăng Khoa")</f>
        <v>Phan Nhật Huỳnh; Nguyễn Văn Quí; Lê Hoàng Đăng Khoa</v>
      </c>
      <c r="E21" s="4" t="str">
        <f>IFERROR(__xludf.DUMMYFUNCTION("""COMPUTED_VALUE"""),"Trường Đại học Mở TP. Hồ Chí Minh")</f>
        <v>Trường Đại học Mở TP. Hồ Chí Minh</v>
      </c>
      <c r="F21" s="4" t="str">
        <f>IFERROR(__xludf.DUMMYFUNCTION("""COMPUTED_VALUE"""),"KHNN2026-020.png")</f>
        <v>KHNN2026-020.png</v>
      </c>
    </row>
    <row r="22">
      <c r="A22" s="4" t="str">
        <f>IFERROR(__xludf.DUMMYFUNCTION("""COMPUTED_VALUE"""),"KHNN2026-021")</f>
        <v>KHNN2026-021</v>
      </c>
      <c r="B22" s="4" t="str">
        <f>IFERROR(__xludf.DUMMYFUNCTION("""COMPUTED_VALUE"""),"Khoa học nông nghiệp")</f>
        <v>Khoa học nông nghiệp</v>
      </c>
      <c r="C22" s="4" t="str">
        <f>IFERROR(__xludf.DUMMYFUNCTION("""COMPUTED_VALUE"""),"Phát triển quy trình xét nghiệm virus dịch tả heo Châu Phi trong nguồn nước bằng hệ thống siêu lọc")</f>
        <v>Phát triển quy trình xét nghiệm virus dịch tả heo Châu Phi trong nguồn nước bằng hệ thống siêu lọc</v>
      </c>
      <c r="D22" s="4" t="str">
        <f>IFERROR(__xludf.DUMMYFUNCTION("""COMPUTED_VALUE"""),"Nguyễn Thị Thanh Huyền; Nguyễn Thị Hồng Ngọc; Nguyễn Thị Thùy Trang; Trần Hà Nhật Tân; Trần Tấn Phát")</f>
        <v>Nguyễn Thị Thanh Huyền; Nguyễn Thị Hồng Ngọc; Nguyễn Thị Thùy Trang; Trần Hà Nhật Tân; Trần Tấn Phát</v>
      </c>
      <c r="E22" s="4" t="str">
        <f>IFERROR(__xludf.DUMMYFUNCTION("""COMPUTED_VALUE"""),"Trường Đại học Nông Lâm TP. Hồ Chí Minh")</f>
        <v>Trường Đại học Nông Lâm TP. Hồ Chí Minh</v>
      </c>
      <c r="F22" s="4" t="str">
        <f>IFERROR(__xludf.DUMMYFUNCTION("""COMPUTED_VALUE"""),"KHNN2026-021.png")</f>
        <v>KHNN2026-021.png</v>
      </c>
    </row>
    <row r="23">
      <c r="A23" s="4" t="str">
        <f>IFERROR(__xludf.DUMMYFUNCTION("""COMPUTED_VALUE"""),"KHNN2026-022")</f>
        <v>KHNN2026-022</v>
      </c>
      <c r="B23" s="4" t="str">
        <f>IFERROR(__xludf.DUMMYFUNCTION("""COMPUTED_VALUE"""),"Khoa học nông nghiệp")</f>
        <v>Khoa học nông nghiệp</v>
      </c>
      <c r="C23" s="4" t="str">
        <f>IFERROR(__xludf.DUMMYFUNCTION("""COMPUTED_VALUE"""),"So sánh hiệu quả của Real-time PCR và PCR vi giọt kĩ thuật số p72 (B646L) và p30 (CP204L) trong phát hiện sớm dịch tả heo Châu Phi")</f>
        <v>So sánh hiệu quả của Real-time PCR và PCR vi giọt kĩ thuật số p72 (B646L) và p30 (CP204L) trong phát hiện sớm dịch tả heo Châu Phi</v>
      </c>
      <c r="D23" s="4" t="str">
        <f>IFERROR(__xludf.DUMMYFUNCTION("""COMPUTED_VALUE"""),"Trần Hà Nhật Tân; Nguyễn Thị Hồng Ngọc; Nguyễn Thị Thùy Trang; Trần Tấn Phát; Nguyễn Thị Thanh Huyền")</f>
        <v>Trần Hà Nhật Tân; Nguyễn Thị Hồng Ngọc; Nguyễn Thị Thùy Trang; Trần Tấn Phát; Nguyễn Thị Thanh Huyền</v>
      </c>
      <c r="E23" s="4" t="str">
        <f>IFERROR(__xludf.DUMMYFUNCTION("""COMPUTED_VALUE"""),"Trường Đại học Nông Lâm TP. Hồ Chí Minh")</f>
        <v>Trường Đại học Nông Lâm TP. Hồ Chí Minh</v>
      </c>
      <c r="F23" s="4" t="str">
        <f>IFERROR(__xludf.DUMMYFUNCTION("""COMPUTED_VALUE"""),"KHNN2026-022.png")</f>
        <v>KHNN2026-022.png</v>
      </c>
    </row>
    <row r="24">
      <c r="A24" s="4" t="str">
        <f>IFERROR(__xludf.DUMMYFUNCTION("""COMPUTED_VALUE"""),"KHNN2026-023")</f>
        <v>KHNN2026-023</v>
      </c>
      <c r="B24" s="4" t="str">
        <f>IFERROR(__xludf.DUMMYFUNCTION("""COMPUTED_VALUE"""),"Khoa học nông nghiệp")</f>
        <v>Khoa học nông nghiệp</v>
      </c>
      <c r="C24" s="4" t="str">
        <f>IFERROR(__xludf.DUMMYFUNCTION("""COMPUTED_VALUE"""),"Nghiên cứu tiềm năng ly giải của thực khuẩn thể đối với Escherichia coli phân lập từ chó viêm đường tiết niệu")</f>
        <v>Nghiên cứu tiềm năng ly giải của thực khuẩn thể đối với Escherichia coli phân lập từ chó viêm đường tiết niệu</v>
      </c>
      <c r="D24" s="4" t="str">
        <f>IFERROR(__xludf.DUMMYFUNCTION("""COMPUTED_VALUE"""),"Lương Ngọc Bảo Châu; Trần Huỳnh Đông Nghi; Lê Lâm Hải Triều")</f>
        <v>Lương Ngọc Bảo Châu; Trần Huỳnh Đông Nghi; Lê Lâm Hải Triều</v>
      </c>
      <c r="E24" s="4" t="str">
        <f>IFERROR(__xludf.DUMMYFUNCTION("""COMPUTED_VALUE"""),"Trường Đại học Nông Lâm TP. Hồ Chí Minh")</f>
        <v>Trường Đại học Nông Lâm TP. Hồ Chí Minh</v>
      </c>
      <c r="F24" s="4" t="str">
        <f>IFERROR(__xludf.DUMMYFUNCTION("""COMPUTED_VALUE"""),"KHNN2026-023.png")</f>
        <v>KHNN2026-023.png</v>
      </c>
    </row>
    <row r="25">
      <c r="A25" s="4" t="str">
        <f>IFERROR(__xludf.DUMMYFUNCTION("""COMPUTED_VALUE"""),"KHNN2026-024")</f>
        <v>KHNN2026-024</v>
      </c>
      <c r="B25" s="4" t="str">
        <f>IFERROR(__xludf.DUMMYFUNCTION("""COMPUTED_VALUE"""),"Khoa học nông nghiệp")</f>
        <v>Khoa học nông nghiệp</v>
      </c>
      <c r="C25" s="4" t="str">
        <f>IFERROR(__xludf.DUMMYFUNCTION("""COMPUTED_VALUE"""),"Một số đặc điểm của bệnh do Parvovirus gây ra ở chó đến khám và điều trị tại phòng khám thú y King pet - tỉnh Thái Nguyên")</f>
        <v>Một số đặc điểm của bệnh do Parvovirus gây ra ở chó đến khám và điều trị tại phòng khám thú y King pet - tỉnh Thái Nguyên</v>
      </c>
      <c r="D25" s="4" t="str">
        <f>IFERROR(__xludf.DUMMYFUNCTION("""COMPUTED_VALUE"""),"Bùi Phương Hoa")</f>
        <v>Bùi Phương Hoa</v>
      </c>
      <c r="E25" s="4" t="str">
        <f>IFERROR(__xludf.DUMMYFUNCTION("""COMPUTED_VALUE"""),"Trường Đại học Nông Lâm, Đại học Thái Nguyên")</f>
        <v>Trường Đại học Nông Lâm, Đại học Thái Nguyên</v>
      </c>
      <c r="F25" s="4" t="str">
        <f>IFERROR(__xludf.DUMMYFUNCTION("""COMPUTED_VALUE"""),"KHNN2026-024.png")</f>
        <v>KHNN2026-024.png</v>
      </c>
    </row>
    <row r="26">
      <c r="A26" s="4" t="str">
        <f>IFERROR(__xludf.DUMMYFUNCTION("""COMPUTED_VALUE"""),"KHNN2026-025")</f>
        <v>KHNN2026-025</v>
      </c>
      <c r="B26" s="4" t="str">
        <f>IFERROR(__xludf.DUMMYFUNCTION("""COMPUTED_VALUE"""),"Khoa học nông nghiệp")</f>
        <v>Khoa học nông nghiệp</v>
      </c>
      <c r="C26" s="4" t="str">
        <f>IFERROR(__xludf.DUMMYFUNCTION("""COMPUTED_VALUE"""),"Sản xuất bộ kit PCR sàng lọc sớm dòng gà vịt có khả năng tạo trứng vỏ xanh")</f>
        <v>Sản xuất bộ kit PCR sàng lọc sớm dòng gà vịt có khả năng tạo trứng vỏ xanh</v>
      </c>
      <c r="D26" s="4" t="str">
        <f>IFERROR(__xludf.DUMMYFUNCTION("""COMPUTED_VALUE"""),"Nguyễn Văn Quí; Nguyễn Văn Đại; Phan Nhật Huỳnh; Lê Hoàng Đăng Khoa; Nguyễn Đào Thái Bảo")</f>
        <v>Nguyễn Văn Quí; Nguyễn Văn Đại; Phan Nhật Huỳnh; Lê Hoàng Đăng Khoa; Nguyễn Đào Thái Bảo</v>
      </c>
      <c r="E26" s="4" t="str">
        <f>IFERROR(__xludf.DUMMYFUNCTION("""COMPUTED_VALUE"""),"Trường Đại học Mở TP. Hồ Chí Minh")</f>
        <v>Trường Đại học Mở TP. Hồ Chí Minh</v>
      </c>
      <c r="F26" s="4" t="str">
        <f>IFERROR(__xludf.DUMMYFUNCTION("""COMPUTED_VALUE"""),"KHNN2026-025.png")</f>
        <v>KHNN2026-025.png</v>
      </c>
    </row>
    <row r="27">
      <c r="A27" s="4" t="str">
        <f>IFERROR(__xludf.DUMMYFUNCTION("""COMPUTED_VALUE"""),"KHNN2026-026")</f>
        <v>KHNN2026-026</v>
      </c>
      <c r="B27" s="4" t="str">
        <f>IFERROR(__xludf.DUMMYFUNCTION("""COMPUTED_VALUE"""),"Khoa học nông nghiệp")</f>
        <v>Khoa học nông nghiệp</v>
      </c>
      <c r="C27" s="4" t="str">
        <f>IFERROR(__xludf.DUMMYFUNCTION("""COMPUTED_VALUE"""),"Nghiên cứu giá trị hóa phụ phẩm vỏ táo (Malus domestica Borkh.) thông qua xác định hàm lượng polyphenol, flavonoid và đánh giá một số hoạt tính sinh học")</f>
        <v>Nghiên cứu giá trị hóa phụ phẩm vỏ táo (Malus domestica Borkh.) thông qua xác định hàm lượng polyphenol, flavonoid và đánh giá một số hoạt tính sinh học</v>
      </c>
      <c r="D27" s="4" t="str">
        <f>IFERROR(__xludf.DUMMYFUNCTION("""COMPUTED_VALUE"""),"Nguyễn Thị Kim Toàn; Nguyễn Thị Việt Anh; Phạm Nguyễn Trà Giang; Lê Thị Lan Anh; Hồ Thị Thuận Ánh")</f>
        <v>Nguyễn Thị Kim Toàn; Nguyễn Thị Việt Anh; Phạm Nguyễn Trà Giang; Lê Thị Lan Anh; Hồ Thị Thuận Ánh</v>
      </c>
      <c r="E27" s="4" t="str">
        <f>IFERROR(__xludf.DUMMYFUNCTION("""COMPUTED_VALUE"""),"Trường Đại học Nguyễn Tất Thành")</f>
        <v>Trường Đại học Nguyễn Tất Thành</v>
      </c>
      <c r="F27" s="4" t="str">
        <f>IFERROR(__xludf.DUMMYFUNCTION("""COMPUTED_VALUE"""),"KHNN2026-026.png")</f>
        <v>KHNN2026-026.png</v>
      </c>
    </row>
    <row r="28">
      <c r="A28" s="4" t="str">
        <f>IFERROR(__xludf.DUMMYFUNCTION("""COMPUTED_VALUE"""),"KHNN2026-027")</f>
        <v>KHNN2026-027</v>
      </c>
      <c r="B28" s="4" t="str">
        <f>IFERROR(__xludf.DUMMYFUNCTION("""COMPUTED_VALUE"""),"Khoa học nông nghiệp")</f>
        <v>Khoa học nông nghiệp</v>
      </c>
      <c r="C28" s="4" t="str">
        <f>IFERROR(__xludf.DUMMYFUNCTION("""COMPUTED_VALUE"""),"Nghiên cứu tối ưu hóa sinh tổng hợp trên phụ phẩm nông nghiệp, tinh sạch laccase từ Penicillium citrinum M5 và đánh giá khả năng phân hủy thuốc nhuộm công nghiệp")</f>
        <v>Nghiên cứu tối ưu hóa sinh tổng hợp trên phụ phẩm nông nghiệp, tinh sạch laccase từ Penicillium citrinum M5 và đánh giá khả năng phân hủy thuốc nhuộm công nghiệp</v>
      </c>
      <c r="D28" s="4" t="str">
        <f>IFERROR(__xludf.DUMMYFUNCTION("""COMPUTED_VALUE"""),"Nguyễn Bằng Gia Bảo; Huỳnh Bảo Trân; Nguyễn Ngọc Trường Giang")</f>
        <v>Nguyễn Bằng Gia Bảo; Huỳnh Bảo Trân; Nguyễn Ngọc Trường Giang</v>
      </c>
      <c r="E28" s="4" t="str">
        <f>IFERROR(__xludf.DUMMYFUNCTION("""COMPUTED_VALUE"""),"Trường Đại học Tôn Đức Thắng")</f>
        <v>Trường Đại học Tôn Đức Thắng</v>
      </c>
      <c r="F28" s="4" t="str">
        <f>IFERROR(__xludf.DUMMYFUNCTION("""COMPUTED_VALUE"""),"KHNN2026-027.png")</f>
        <v>KHNN2026-027.png</v>
      </c>
    </row>
    <row r="29">
      <c r="A29" s="4" t="str">
        <f>IFERROR(__xludf.DUMMYFUNCTION("""COMPUTED_VALUE"""),"KHNN2026-028")</f>
        <v>KHNN2026-028</v>
      </c>
      <c r="B29" s="4" t="str">
        <f>IFERROR(__xludf.DUMMYFUNCTION("""COMPUTED_VALUE"""),"Khoa học nông nghiệp")</f>
        <v>Khoa học nông nghiệp</v>
      </c>
      <c r="C29" s="4" t="str">
        <f>IFERROR(__xludf.DUMMYFUNCTION("""COMPUTED_VALUE"""),"NGHIÊN CỨU NHÂN NUÔI CÀ CUỐNG (LETHOCERUS INDICUS) TRONG ĐIỀU KIỆN NHÂN TẠO")</f>
        <v>NGHIÊN CỨU NHÂN NUÔI CÀ CUỐNG (LETHOCERUS INDICUS) TRONG ĐIỀU KIỆN NHÂN TẠO</v>
      </c>
      <c r="D29" s="4" t="str">
        <f>IFERROR(__xludf.DUMMYFUNCTION("""COMPUTED_VALUE"""),"Nguyễn Thị Ánh Ngọc; Bùi Thanh Kiệt; Lợi Tấn Lộc")</f>
        <v>Nguyễn Thị Ánh Ngọc; Bùi Thanh Kiệt; Lợi Tấn Lộc</v>
      </c>
      <c r="E29" s="4" t="str">
        <f>IFERROR(__xludf.DUMMYFUNCTION("""COMPUTED_VALUE"""),"Trường Đại học Nguyễn Tất Thành")</f>
        <v>Trường Đại học Nguyễn Tất Thành</v>
      </c>
      <c r="F29" s="4" t="str">
        <f>IFERROR(__xludf.DUMMYFUNCTION("""COMPUTED_VALUE"""),"KHNN2026-028.png")</f>
        <v>KHNN2026-028.png</v>
      </c>
    </row>
    <row r="30">
      <c r="A30" s="4" t="str">
        <f>IFERROR(__xludf.DUMMYFUNCTION("""COMPUTED_VALUE"""),"KHNN2026-029")</f>
        <v>KHNN2026-029</v>
      </c>
      <c r="B30" s="4" t="str">
        <f>IFERROR(__xludf.DUMMYFUNCTION("""COMPUTED_VALUE"""),"Khoa học nông nghiệp")</f>
        <v>Khoa học nông nghiệp</v>
      </c>
      <c r="C30" s="4" t="str">
        <f>IFERROR(__xludf.DUMMYFUNCTION("""COMPUTED_VALUE"""),"PHÂN TÍCH GENOME LỤC LẠP VÀ PHÁT TRIỂN CHỈ THỊ PHÂN TỬ PHỤC VỤ NHẬN DẠNG, BẢO TỒN NGUỒN GEN CÂY DƯỢC LIỆU LƯỠI RẮN (Oldenlandia corymbosa) TẠI VIỆT NAM")</f>
        <v>PHÂN TÍCH GENOME LỤC LẠP VÀ PHÁT TRIỂN CHỈ THỊ PHÂN TỬ PHỤC VỤ NHẬN DẠNG, BẢO TỒN NGUỒN GEN CÂY DƯỢC LIỆU LƯỠI RẮN (Oldenlandia corymbosa) TẠI VIỆT NAM</v>
      </c>
      <c r="D30" s="4" t="str">
        <f>IFERROR(__xludf.DUMMYFUNCTION("""COMPUTED_VALUE"""),"Dương Hiền Thảo Hân")</f>
        <v>Dương Hiền Thảo Hân</v>
      </c>
      <c r="E30" s="4" t="str">
        <f>IFERROR(__xludf.DUMMYFUNCTION("""COMPUTED_VALUE"""),"Trường Đại học Nguyễn Tất Thành")</f>
        <v>Trường Đại học Nguyễn Tất Thành</v>
      </c>
      <c r="F30" s="4" t="str">
        <f>IFERROR(__xludf.DUMMYFUNCTION("""COMPUTED_VALUE"""),"KHNN2026-029.png")</f>
        <v>KHNN2026-029.png</v>
      </c>
    </row>
    <row r="31">
      <c r="A31" s="4" t="str">
        <f>IFERROR(__xludf.DUMMYFUNCTION("""COMPUTED_VALUE"""),"KHNN2026-030")</f>
        <v>KHNN2026-030</v>
      </c>
      <c r="B31" s="4" t="str">
        <f>IFERROR(__xludf.DUMMYFUNCTION("""COMPUTED_VALUE"""),"Khoa học nông nghiệp")</f>
        <v>Khoa học nông nghiệp</v>
      </c>
      <c r="C31" s="4" t="str">
        <f>IFERROR(__xludf.DUMMYFUNCTION("""COMPUTED_VALUE"""),"Nghiên cứu tác động của môi trường khoáng, chất điều hòa sinh trưởng đến sinh trưởng và phát triển của cây Sâm Bố Chính (Hibiscus sagittifolius KURZ.) in vitro")</f>
        <v>Nghiên cứu tác động của môi trường khoáng, chất điều hòa sinh trưởng đến sinh trưởng và phát triển của cây Sâm Bố Chính (Hibiscus sagittifolius KURZ.) in vitro</v>
      </c>
      <c r="D31" s="4" t="str">
        <f>IFERROR(__xludf.DUMMYFUNCTION("""COMPUTED_VALUE"""),"Nguyễn Ngọc Như Quỳnh")</f>
        <v>Nguyễn Ngọc Như Quỳnh</v>
      </c>
      <c r="E31" s="4" t="str">
        <f>IFERROR(__xludf.DUMMYFUNCTION("""COMPUTED_VALUE"""),"Trường Đại học Nguyễn Tất Thành")</f>
        <v>Trường Đại học Nguyễn Tất Thành</v>
      </c>
      <c r="F31" s="4" t="str">
        <f>IFERROR(__xludf.DUMMYFUNCTION("""COMPUTED_VALUE"""),"KHNN2026-030.png")</f>
        <v>KHNN2026-030.png</v>
      </c>
    </row>
    <row r="32">
      <c r="A32" s="4" t="str">
        <f>IFERROR(__xludf.DUMMYFUNCTION("""COMPUTED_VALUE"""),"KHNN2026-031")</f>
        <v>KHNN2026-031</v>
      </c>
      <c r="B32" s="4" t="str">
        <f>IFERROR(__xludf.DUMMYFUNCTION("""COMPUTED_VALUE"""),"Khoa học nông nghiệp")</f>
        <v>Khoa học nông nghiệp</v>
      </c>
      <c r="C32" s="4" t="str">
        <f>IFERROR(__xludf.DUMMYFUNCTION("""COMPUTED_VALUE"""),"Tiềm năng ứng dụng sinh khối vi tảo Chlorella Vulgaris trong sản xuất thức ăn thủy sản")</f>
        <v>Tiềm năng ứng dụng sinh khối vi tảo Chlorella Vulgaris trong sản xuất thức ăn thủy sản</v>
      </c>
      <c r="D32" s="4" t="str">
        <f>IFERROR(__xludf.DUMMYFUNCTION("""COMPUTED_VALUE"""),"Nguyễn Phan Minh An; Nguyễn Minh Thuận")</f>
        <v>Nguyễn Phan Minh An; Nguyễn Minh Thuận</v>
      </c>
      <c r="E32" s="4" t="str">
        <f>IFERROR(__xludf.DUMMYFUNCTION("""COMPUTED_VALUE"""),"Trường Đại học Nguyễn Tất Thành")</f>
        <v>Trường Đại học Nguyễn Tất Thành</v>
      </c>
      <c r="F32" s="4" t="str">
        <f>IFERROR(__xludf.DUMMYFUNCTION("""COMPUTED_VALUE"""),"KHNN2026-031.png")</f>
        <v>KHNN2026-031.png</v>
      </c>
    </row>
    <row r="33">
      <c r="A33" s="4" t="str">
        <f>IFERROR(__xludf.DUMMYFUNCTION("""COMPUTED_VALUE"""),"KHNN2026-032")</f>
        <v>KHNN2026-032</v>
      </c>
      <c r="B33" s="4" t="str">
        <f>IFERROR(__xludf.DUMMYFUNCTION("""COMPUTED_VALUE"""),"Khoa học nông nghiệp")</f>
        <v>Khoa học nông nghiệp</v>
      </c>
      <c r="C33" s="4" t="str">
        <f>IFERROR(__xludf.DUMMYFUNCTION("""COMPUTED_VALUE"""),"Đánh giá hiệu quả đối kháng của một số chủng vi sinh vật với nấm bệnh Fusarium oxysporum f. sp. cubense gây bệnh vàng lá, thối rễ chuối già Nam Mỹ trồng tại Đồng Nai")</f>
        <v>Đánh giá hiệu quả đối kháng của một số chủng vi sinh vật với nấm bệnh Fusarium oxysporum f. sp. cubense gây bệnh vàng lá, thối rễ chuối già Nam Mỹ trồng tại Đồng Nai</v>
      </c>
      <c r="D33" s="4" t="str">
        <f>IFERROR(__xludf.DUMMYFUNCTION("""COMPUTED_VALUE"""),"Mai Nhật Hòa")</f>
        <v>Mai Nhật Hòa</v>
      </c>
      <c r="E33" s="4" t="str">
        <f>IFERROR(__xludf.DUMMYFUNCTION("""COMPUTED_VALUE"""),"Trường Đại học Nguyễn Tất Thành")</f>
        <v>Trường Đại học Nguyễn Tất Thành</v>
      </c>
      <c r="F33" s="4" t="str">
        <f>IFERROR(__xludf.DUMMYFUNCTION("""COMPUTED_VALUE"""),"KHNN2026-032.png")</f>
        <v>KHNN2026-032.png</v>
      </c>
    </row>
    <row r="34">
      <c r="A34" s="4" t="str">
        <f>IFERROR(__xludf.DUMMYFUNCTION("""COMPUTED_VALUE"""),"KHNN2026-033")</f>
        <v>KHNN2026-033</v>
      </c>
      <c r="B34" s="4" t="str">
        <f>IFERROR(__xludf.DUMMYFUNCTION("""COMPUTED_VALUE"""),"Khoa học nông nghiệp")</f>
        <v>Khoa học nông nghiệp</v>
      </c>
      <c r="C34" s="4" t="str">
        <f>IFERROR(__xludf.DUMMYFUNCTION("""COMPUTED_VALUE"""),"Ghi nhận đầu tiên về một số loại nấm gây bệnh sau thu hoạch trên nho mẫu đơn tại Việt Nam và hiệu quả kiểm soát chúng bằng hợp chất bay hơi từ Trichoderma koningiopsis")</f>
        <v>Ghi nhận đầu tiên về một số loại nấm gây bệnh sau thu hoạch trên nho mẫu đơn tại Việt Nam và hiệu quả kiểm soát chúng bằng hợp chất bay hơi từ Trichoderma koningiopsis</v>
      </c>
      <c r="D34" s="4" t="str">
        <f>IFERROR(__xludf.DUMMYFUNCTION("""COMPUTED_VALUE"""),"Tăng Viễn Đông; Nguyễn Thị Kiều My; Châu Phạm Thành Phú; Phạm Trần Vân Anh; Trương Bùi Ngọc Minh")</f>
        <v>Tăng Viễn Đông; Nguyễn Thị Kiều My; Châu Phạm Thành Phú; Phạm Trần Vân Anh; Trương Bùi Ngọc Minh</v>
      </c>
      <c r="E34" s="4" t="str">
        <f>IFERROR(__xludf.DUMMYFUNCTION("""COMPUTED_VALUE"""),"Trường Đại học Tôn Đức Thắng")</f>
        <v>Trường Đại học Tôn Đức Thắng</v>
      </c>
      <c r="F34" s="4" t="str">
        <f>IFERROR(__xludf.DUMMYFUNCTION("""COMPUTED_VALUE"""),"KHNN2026-033.png")</f>
        <v>KHNN2026-033.png</v>
      </c>
    </row>
    <row r="35">
      <c r="A35" s="4" t="str">
        <f>IFERROR(__xludf.DUMMYFUNCTION("""COMPUTED_VALUE"""),"KHNN2026-034")</f>
        <v>KHNN2026-034</v>
      </c>
      <c r="B35" s="4" t="str">
        <f>IFERROR(__xludf.DUMMYFUNCTION("""COMPUTED_VALUE"""),"Khoa học nông nghiệp")</f>
        <v>Khoa học nông nghiệp</v>
      </c>
      <c r="C35" s="4" t="str">
        <f>IFERROR(__xludf.DUMMYFUNCTION("""COMPUTED_VALUE"""),"Nghiên cứu đặc tính sinh học, làm giàu hợp chất có hoạt tính từ xạ khuẩn Amycolatopsis orientalis HC2.7 và đánh giá khả năng kiểm soát một số bệnh hại cây trồng in vivo")</f>
        <v>Nghiên cứu đặc tính sinh học, làm giàu hợp chất có hoạt tính từ xạ khuẩn Amycolatopsis orientalis HC2.7 và đánh giá khả năng kiểm soát một số bệnh hại cây trồng in vivo</v>
      </c>
      <c r="D35" s="4" t="str">
        <f>IFERROR(__xludf.DUMMYFUNCTION("""COMPUTED_VALUE"""),"Nguyễn Đình Văn; Trịnh Thoại Như; Ôn Phát Đạt; Nguyễn Chí Minh")</f>
        <v>Nguyễn Đình Văn; Trịnh Thoại Như; Ôn Phát Đạt; Nguyễn Chí Minh</v>
      </c>
      <c r="E35" s="4" t="str">
        <f>IFERROR(__xludf.DUMMYFUNCTION("""COMPUTED_VALUE"""),"Trường Đại học Tôn Đức Thắng")</f>
        <v>Trường Đại học Tôn Đức Thắng</v>
      </c>
      <c r="F35" s="4" t="str">
        <f>IFERROR(__xludf.DUMMYFUNCTION("""COMPUTED_VALUE"""),"KHNN2026-034.png")</f>
        <v>KHNN2026-034.png</v>
      </c>
    </row>
    <row r="36">
      <c r="A36" s="4" t="str">
        <f>IFERROR(__xludf.DUMMYFUNCTION("""COMPUTED_VALUE"""),"KHNN2026-035")</f>
        <v>KHNN2026-035</v>
      </c>
      <c r="B36" s="4" t="str">
        <f>IFERROR(__xludf.DUMMYFUNCTION("""COMPUTED_VALUE"""),"Khoa học nông nghiệp")</f>
        <v>Khoa học nông nghiệp</v>
      </c>
      <c r="C36" s="4" t="str">
        <f>IFERROR(__xludf.DUMMYFUNCTION("""COMPUTED_VALUE"""),"TUYỂN CHỌN VI KHUẨN NỘI SINH CÓ HOẠT TÍNH HỖ TRỢ SINH TRƯỞNG THỰC VẬT TRONG RỄ CÂY SÂM BỐ CHÍNH (ABELMOSCHUS SAGITTIFOLIUS (KURZ) MERR.) THU THẬP TẠI VƯỜN QUỐC GIA YOK ĐÔN")</f>
        <v>TUYỂN CHỌN VI KHUẨN NỘI SINH CÓ HOẠT TÍNH HỖ TRỢ SINH TRƯỞNG THỰC VẬT TRONG RỄ CÂY SÂM BỐ CHÍNH (ABELMOSCHUS SAGITTIFOLIUS (KURZ) MERR.) THU THẬP TẠI VƯỜN QUỐC GIA YOK ĐÔN</v>
      </c>
      <c r="D36" s="4" t="str">
        <f>IFERROR(__xludf.DUMMYFUNCTION("""COMPUTED_VALUE"""),"Lê Ngọc Bảo Châu; Nguyễn Ngọc Bảo Trân; Trần Thị Bích Ngọc")</f>
        <v>Lê Ngọc Bảo Châu; Nguyễn Ngọc Bảo Trân; Trần Thị Bích Ngọc</v>
      </c>
      <c r="E36" s="4" t="str">
        <f>IFERROR(__xludf.DUMMYFUNCTION("""COMPUTED_VALUE"""),"Trường Đại học Tây Nguyên")</f>
        <v>Trường Đại học Tây Nguyên</v>
      </c>
      <c r="F36" s="4" t="str">
        <f>IFERROR(__xludf.DUMMYFUNCTION("""COMPUTED_VALUE"""),"KHNN2026-035.png")</f>
        <v>KHNN2026-035.png</v>
      </c>
    </row>
    <row r="37">
      <c r="A37" s="4" t="str">
        <f>IFERROR(__xludf.DUMMYFUNCTION("""COMPUTED_VALUE"""),"KHNN2026-036")</f>
        <v>KHNN2026-036</v>
      </c>
      <c r="B37" s="4" t="str">
        <f>IFERROR(__xludf.DUMMYFUNCTION("""COMPUTED_VALUE"""),"Khoa học nông nghiệp")</f>
        <v>Khoa học nông nghiệp</v>
      </c>
      <c r="C37" s="4" t="str">
        <f>IFERROR(__xludf.DUMMYFUNCTION("""COMPUTED_VALUE"""),"SO SÁNH ĐẶC ĐIỂM THỰC VẬT MỘT SỐ LOÀI THUỘC HỌ RAU DỀN (AMARANTHACEAE) PHỤC VỤ PHÂN LOẠI VÀ SẢN XUẤT NÔNG NGHIỆP.")</f>
        <v>SO SÁNH ĐẶC ĐIỂM THỰC VẬT MỘT SỐ LOÀI THUỘC HỌ RAU DỀN (AMARANTHACEAE) PHỤC VỤ PHÂN LOẠI VÀ SẢN XUẤT NÔNG NGHIỆP.</v>
      </c>
      <c r="D37" s="4" t="str">
        <f>IFERROR(__xludf.DUMMYFUNCTION("""COMPUTED_VALUE"""),"Huỳnh Ngọc Mỹ Duyên; Nguyễn Thị Ánh Dương; Vũ Phương Nhi")</f>
        <v>Huỳnh Ngọc Mỹ Duyên; Nguyễn Thị Ánh Dương; Vũ Phương Nhi</v>
      </c>
      <c r="E37" s="4" t="str">
        <f>IFERROR(__xludf.DUMMYFUNCTION("""COMPUTED_VALUE"""),"Trường Đại học Nguyễn Tất Thành")</f>
        <v>Trường Đại học Nguyễn Tất Thành</v>
      </c>
      <c r="F37" s="4" t="str">
        <f>IFERROR(__xludf.DUMMYFUNCTION("""COMPUTED_VALUE"""),"KHNN2026-036.png")</f>
        <v>KHNN2026-036.png</v>
      </c>
    </row>
    <row r="38">
      <c r="A38" s="4" t="str">
        <f>IFERROR(__xludf.DUMMYFUNCTION("""COMPUTED_VALUE"""),"KHNN2026-037")</f>
        <v>KHNN2026-037</v>
      </c>
      <c r="B38" s="4" t="str">
        <f>IFERROR(__xludf.DUMMYFUNCTION("""COMPUTED_VALUE"""),"Khoa học nông nghiệp")</f>
        <v>Khoa học nông nghiệp</v>
      </c>
      <c r="C38" s="4" t="str">
        <f>IFERROR(__xludf.DUMMYFUNCTION("""COMPUTED_VALUE"""),"NGHIÊN CỨU ĐỊNH HƯỚNG KHAI THÁC VÀ PHÁT TRIỂN CÂY TRÁI NỔ (RUELLIA TUBEROSA L.) MỌC HOANG TẠI VIỆT NAM LÀM NGUỒN DƯỢC LIỆU CÓ TÁC DỤNG GIẢM ĐAU")</f>
        <v>NGHIÊN CỨU ĐỊNH HƯỚNG KHAI THÁC VÀ PHÁT TRIỂN CÂY TRÁI NỔ (RUELLIA TUBEROSA L.) MỌC HOANG TẠI VIỆT NAM LÀM NGUỒN DƯỢC LIỆU CÓ TÁC DỤNG GIẢM ĐAU</v>
      </c>
      <c r="D38" s="4" t="str">
        <f>IFERROR(__xludf.DUMMYFUNCTION("""COMPUTED_VALUE"""),"Nguyễn Việt Trung; Lê Nguyễn Hoàng Phát; Nguyễn Công Toại; Huỳnh Ngọc Huyền Trang; Đặng Thị Quỳnh Duyên")</f>
        <v>Nguyễn Việt Trung; Lê Nguyễn Hoàng Phát; Nguyễn Công Toại; Huỳnh Ngọc Huyền Trang; Đặng Thị Quỳnh Duyên</v>
      </c>
      <c r="E38" s="4" t="str">
        <f>IFERROR(__xludf.DUMMYFUNCTION("""COMPUTED_VALUE"""),"Trường Đại học Nguyễn Tất Thành")</f>
        <v>Trường Đại học Nguyễn Tất Thành</v>
      </c>
      <c r="F38" s="4" t="str">
        <f>IFERROR(__xludf.DUMMYFUNCTION("""COMPUTED_VALUE"""),"KHNN2026-037.png")</f>
        <v>KHNN2026-037.png</v>
      </c>
    </row>
    <row r="39">
      <c r="A39" s="4" t="str">
        <f>IFERROR(__xludf.DUMMYFUNCTION("""COMPUTED_VALUE"""),"KHNN2026-038")</f>
        <v>KHNN2026-038</v>
      </c>
      <c r="B39" s="4" t="str">
        <f>IFERROR(__xludf.DUMMYFUNCTION("""COMPUTED_VALUE"""),"Khoa học nông nghiệp")</f>
        <v>Khoa học nông nghiệp</v>
      </c>
      <c r="C39" s="4" t="str">
        <f>IFERROR(__xludf.DUMMYFUNCTION("""COMPUTED_VALUE"""),"Ứng dụng siêu âm trong chẩn đoán bệnh viêm tử cung tích mủ trên chó và theo dõi hiệu quả điều trị tại một số phòng khám thú y Phường/ Xã Tỉnh Nghệ An")</f>
        <v>Ứng dụng siêu âm trong chẩn đoán bệnh viêm tử cung tích mủ trên chó và theo dõi hiệu quả điều trị tại một số phòng khám thú y Phường/ Xã Tỉnh Nghệ An</v>
      </c>
      <c r="D39" s="4" t="str">
        <f>IFERROR(__xludf.DUMMYFUNCTION("""COMPUTED_VALUE"""),"Võ Thị Tú; Nguyễn Trọng Tú; Trương Thị Hải Yến; Phùng Hương Giang")</f>
        <v>Võ Thị Tú; Nguyễn Trọng Tú; Trương Thị Hải Yến; Phùng Hương Giang</v>
      </c>
      <c r="E39" s="4" t="str">
        <f>IFERROR(__xludf.DUMMYFUNCTION("""COMPUTED_VALUE"""),"Trường Đại học Nghệ An")</f>
        <v>Trường Đại học Nghệ An</v>
      </c>
      <c r="F39" s="4" t="str">
        <f>IFERROR(__xludf.DUMMYFUNCTION("""COMPUTED_VALUE"""),"KHNN2026-038.png")</f>
        <v>KHNN2026-038.png</v>
      </c>
    </row>
    <row r="40">
      <c r="A40" s="4" t="str">
        <f>IFERROR(__xludf.DUMMYFUNCTION("""COMPUTED_VALUE"""),"KHNN2026-039")</f>
        <v>KHNN2026-039</v>
      </c>
      <c r="B40" s="4" t="str">
        <f>IFERROR(__xludf.DUMMYFUNCTION("""COMPUTED_VALUE"""),"Khoa học nông nghiệp")</f>
        <v>Khoa học nông nghiệp</v>
      </c>
      <c r="C40" s="4" t="str">
        <f>IFERROR(__xludf.DUMMYFUNCTION("""COMPUTED_VALUE"""),"Nghiên cứu quá trình vi bao astaxanthin từ vỏ tôm và bước đầu ứng dụng chế phẩm astaxanthin trong thực phẩm")</f>
        <v>Nghiên cứu quá trình vi bao astaxanthin từ vỏ tôm và bước đầu ứng dụng chế phẩm astaxanthin trong thực phẩm</v>
      </c>
      <c r="D40" s="4" t="str">
        <f>IFERROR(__xludf.DUMMYFUNCTION("""COMPUTED_VALUE"""),"Lê Văn Hiếu; Trương Công Nhật Tùng; Huỳnh Đặng Quỳnh Trâm; Trần Thùy Phúc")</f>
        <v>Lê Văn Hiếu; Trương Công Nhật Tùng; Huỳnh Đặng Quỳnh Trâm; Trần Thùy Phúc</v>
      </c>
      <c r="E40" s="4" t="str">
        <f>IFERROR(__xludf.DUMMYFUNCTION("""COMPUTED_VALUE"""),"Trường Đại học Công Thương TP. Hồ Chí Minh")</f>
        <v>Trường Đại học Công Thương TP. Hồ Chí Minh</v>
      </c>
      <c r="F40" s="4" t="str">
        <f>IFERROR(__xludf.DUMMYFUNCTION("""COMPUTED_VALUE"""),"KHNN2026-039.png")</f>
        <v>KHNN2026-039.png</v>
      </c>
    </row>
    <row r="41">
      <c r="A41" s="4" t="str">
        <f>IFERROR(__xludf.DUMMYFUNCTION("""COMPUTED_VALUE"""),"KHNN2026-040")</f>
        <v>KHNN2026-040</v>
      </c>
      <c r="B41" s="4" t="str">
        <f>IFERROR(__xludf.DUMMYFUNCTION("""COMPUTED_VALUE"""),"Khoa học nông nghiệp")</f>
        <v>Khoa học nông nghiệp</v>
      </c>
      <c r="C41" s="4" t="str">
        <f>IFERROR(__xludf.DUMMYFUNCTION("""COMPUTED_VALUE"""),"Đánh giá ảnh hưởng của tỷ lệ phối trộn bã hèm bia kết hợp rau thải và bổ sung Trichoderma đến chất lượng và khối lượng phân hữu cơ thành phẩm")</f>
        <v>Đánh giá ảnh hưởng của tỷ lệ phối trộn bã hèm bia kết hợp rau thải và bổ sung Trichoderma đến chất lượng và khối lượng phân hữu cơ thành phẩm</v>
      </c>
      <c r="D41" s="4" t="str">
        <f>IFERROR(__xludf.DUMMYFUNCTION("""COMPUTED_VALUE"""),"Phạm Trung Kiên")</f>
        <v>Phạm Trung Kiên</v>
      </c>
      <c r="E41" s="4" t="str">
        <f>IFERROR(__xludf.DUMMYFUNCTION("""COMPUTED_VALUE"""),"Trường Đại học Cửu Long")</f>
        <v>Trường Đại học Cửu Long</v>
      </c>
      <c r="F41" s="4" t="str">
        <f>IFERROR(__xludf.DUMMYFUNCTION("""COMPUTED_VALUE"""),"KHNN2026-040.png")</f>
        <v>KHNN2026-040.png</v>
      </c>
    </row>
    <row r="42">
      <c r="A42" s="4" t="str">
        <f>IFERROR(__xludf.DUMMYFUNCTION("""COMPUTED_VALUE"""),"KHNN2026-041")</f>
        <v>KHNN2026-041</v>
      </c>
      <c r="B42" s="4" t="str">
        <f>IFERROR(__xludf.DUMMYFUNCTION("""COMPUTED_VALUE"""),"Khoa học nông nghiệp")</f>
        <v>Khoa học nông nghiệp</v>
      </c>
      <c r="C42" s="4" t="str">
        <f>IFERROR(__xludf.DUMMYFUNCTION("""COMPUTED_VALUE"""),"Tổng hợp vật liệu Hydrogel dùng trong sơn phủ nhà kính dựa trên PVA và GQDs tăng cường khả năng chống nóng và giảm bức xạ UV cho cây trồng")</f>
        <v>Tổng hợp vật liệu Hydrogel dùng trong sơn phủ nhà kính dựa trên PVA và GQDs tăng cường khả năng chống nóng và giảm bức xạ UV cho cây trồng</v>
      </c>
      <c r="D42" s="4" t="str">
        <f>IFERROR(__xludf.DUMMYFUNCTION("""COMPUTED_VALUE"""),"Lê Phạm Lan Hà; Hà Hải Đăng; Huỳnh Lê Nhựt Thủy")</f>
        <v>Lê Phạm Lan Hà; Hà Hải Đăng; Huỳnh Lê Nhựt Thủy</v>
      </c>
      <c r="E42" s="4" t="str">
        <f>IFERROR(__xludf.DUMMYFUNCTION("""COMPUTED_VALUE"""),"Trường Đại học Khoa học Tự nhiên, ĐHQG-HCM")</f>
        <v>Trường Đại học Khoa học Tự nhiên, ĐHQG-HCM</v>
      </c>
      <c r="F42" s="4" t="str">
        <f>IFERROR(__xludf.DUMMYFUNCTION("""COMPUTED_VALUE"""),"KHNN2026-041.png")</f>
        <v>KHNN2026-041.png</v>
      </c>
    </row>
    <row r="43">
      <c r="A43" s="4" t="str">
        <f>IFERROR(__xludf.DUMMYFUNCTION("""COMPUTED_VALUE"""),"KHNN2026-042")</f>
        <v>KHNN2026-042</v>
      </c>
      <c r="B43" s="4" t="str">
        <f>IFERROR(__xludf.DUMMYFUNCTION("""COMPUTED_VALUE"""),"Khoa học nông nghiệp")</f>
        <v>Khoa học nông nghiệp</v>
      </c>
      <c r="C43" s="4" t="str">
        <f>IFERROR(__xludf.DUMMYFUNCTION("""COMPUTED_VALUE"""),"BATS-AGRIGUARD: HỆ THỐNG PHÁT HIỆN VÀ CẢNH BÁO NGUY CƠ LẠM DỤNG MÃ SỐ VÙNG TRỒNG TRONG TRUY XUẤT NGUỒN GỐC CHUỖI NÔNG SẢN")</f>
        <v>BATS-AGRIGUARD: HỆ THỐNG PHÁT HIỆN VÀ CẢNH BÁO NGUY CƠ LẠM DỤNG MÃ SỐ VÙNG TRỒNG TRONG TRUY XUẤT NGUỒN GỐC CHUỖI NÔNG SẢN</v>
      </c>
      <c r="D43" s="4" t="str">
        <f>IFERROR(__xludf.DUMMYFUNCTION("""COMPUTED_VALUE"""),"Nguyễn Đình Khang; Võ Minh An")</f>
        <v>Nguyễn Đình Khang; Võ Minh An</v>
      </c>
      <c r="E43" s="4" t="str">
        <f>IFERROR(__xludf.DUMMYFUNCTION("""COMPUTED_VALUE"""),"Trường Đại học Công nghệ Thông tin, ĐHQG-HCM")</f>
        <v>Trường Đại học Công nghệ Thông tin, ĐHQG-HCM</v>
      </c>
      <c r="F43" s="4" t="str">
        <f>IFERROR(__xludf.DUMMYFUNCTION("""COMPUTED_VALUE"""),"KHNN2026-042.png")</f>
        <v>KHNN2026-042.png</v>
      </c>
    </row>
    <row r="44">
      <c r="A44" s="4" t="str">
        <f>IFERROR(__xludf.DUMMYFUNCTION("""COMPUTED_VALUE"""),"KHNN2026-043")</f>
        <v>KHNN2026-043</v>
      </c>
      <c r="B44" s="4" t="str">
        <f>IFERROR(__xludf.DUMMYFUNCTION("""COMPUTED_VALUE"""),"Khoa học nông nghiệp")</f>
        <v>Khoa học nông nghiệp</v>
      </c>
      <c r="C44" s="4" t="str">
        <f>IFERROR(__xludf.DUMMYFUNCTION("""COMPUTED_VALUE"""),"TỔNG HỢP PMD TỪ TINH DẦU SẢ JAVA ỨNG DỤNG TRONG VIỆC XUA DIỆT MUỖI")</f>
        <v>TỔNG HỢP PMD TỪ TINH DẦU SẢ JAVA ỨNG DỤNG TRONG VIỆC XUA DIỆT MUỖI</v>
      </c>
      <c r="D44" s="4" t="str">
        <f>IFERROR(__xludf.DUMMYFUNCTION("""COMPUTED_VALUE"""),"Ngô Nguyễn Minh Thư; Phạm Ngọc Trinh; Trần Thị Trang; Đinh Trọng Hoàng; Nguyễn Hữu Anh Tuấn")</f>
        <v>Ngô Nguyễn Minh Thư; Phạm Ngọc Trinh; Trần Thị Trang; Đinh Trọng Hoàng; Nguyễn Hữu Anh Tuấn</v>
      </c>
      <c r="E44" s="4" t="str">
        <f>IFERROR(__xludf.DUMMYFUNCTION("""COMPUTED_VALUE"""),"Trường Đại học Sài Gòn")</f>
        <v>Trường Đại học Sài Gòn</v>
      </c>
      <c r="F44" s="4" t="str">
        <f>IFERROR(__xludf.DUMMYFUNCTION("""COMPUTED_VALUE"""),"KHNN2026-043.png")</f>
        <v>KHNN2026-043.png</v>
      </c>
    </row>
    <row r="45">
      <c r="A45" s="4" t="str">
        <f>IFERROR(__xludf.DUMMYFUNCTION("""COMPUTED_VALUE"""),"KHNN2026-044")</f>
        <v>KHNN2026-044</v>
      </c>
      <c r="B45" s="4" t="str">
        <f>IFERROR(__xludf.DUMMYFUNCTION("""COMPUTED_VALUE"""),"Khoa học nông nghiệp")</f>
        <v>Khoa học nông nghiệp</v>
      </c>
      <c r="C45" s="4" t="str">
        <f>IFERROR(__xludf.DUMMYFUNCTION("""COMPUTED_VALUE"""),"Ảnh hưởng của stress nacl kết hợp bổ sung phytohormone đến quá trình sinh tổng hợp phycocyanin ở tảo xoắn Arthrospira platensis")</f>
        <v>Ảnh hưởng của stress nacl kết hợp bổ sung phytohormone đến quá trình sinh tổng hợp phycocyanin ở tảo xoắn Arthrospira platensis</v>
      </c>
      <c r="D45" s="4" t="str">
        <f>IFERROR(__xludf.DUMMYFUNCTION("""COMPUTED_VALUE"""),"Cao Thị Uyển Nhi; Phạm Thị Thục Quyên; Nguyễn Tấn Tiến; Nguyễn Viễn Chí")</f>
        <v>Cao Thị Uyển Nhi; Phạm Thị Thục Quyên; Nguyễn Tấn Tiến; Nguyễn Viễn Chí</v>
      </c>
      <c r="E45" s="4" t="str">
        <f>IFERROR(__xludf.DUMMYFUNCTION("""COMPUTED_VALUE"""),"Trường Đại học Nông Lâm TP. Hồ Chí Minh")</f>
        <v>Trường Đại học Nông Lâm TP. Hồ Chí Minh</v>
      </c>
      <c r="F45" s="4" t="str">
        <f>IFERROR(__xludf.DUMMYFUNCTION("""COMPUTED_VALUE"""),"KHNN2026-044.png")</f>
        <v>KHNN2026-044.png</v>
      </c>
    </row>
    <row r="46">
      <c r="A46" s="4" t="str">
        <f>IFERROR(__xludf.DUMMYFUNCTION("""COMPUTED_VALUE"""),"KHNN2026-045")</f>
        <v>KHNN2026-045</v>
      </c>
      <c r="B46" s="4" t="str">
        <f>IFERROR(__xludf.DUMMYFUNCTION("""COMPUTED_VALUE"""),"Khoa học nông nghiệp")</f>
        <v>Khoa học nông nghiệp</v>
      </c>
      <c r="C46" s="4" t="str">
        <f>IFERROR(__xludf.DUMMYFUNCTION("""COMPUTED_VALUE"""),"Antifungal properties of Chromolaena odorata extracts and nano-emulsion formulations")</f>
        <v>Antifungal properties of Chromolaena odorata extracts and nano-emulsion formulations</v>
      </c>
      <c r="D46" s="4" t="str">
        <f>IFERROR(__xludf.DUMMYFUNCTION("""COMPUTED_VALUE"""),"Trần Văn Trọng; Trần Quốc Thịnh; Phạm Công Thắng; Mai Hoa Hương; Nguyễn Đỗ Thiên Triều")</f>
        <v>Trần Văn Trọng; Trần Quốc Thịnh; Phạm Công Thắng; Mai Hoa Hương; Nguyễn Đỗ Thiên Triều</v>
      </c>
      <c r="E46" s="4" t="str">
        <f>IFERROR(__xludf.DUMMYFUNCTION("""COMPUTED_VALUE"""),"Trường Đại học Nông Lâm TP. Hồ Chí Minh")</f>
        <v>Trường Đại học Nông Lâm TP. Hồ Chí Minh</v>
      </c>
      <c r="F46" s="4" t="str">
        <f>IFERROR(__xludf.DUMMYFUNCTION("""COMPUTED_VALUE"""),"KHNN2026-045.png")</f>
        <v>KHNN2026-045.png</v>
      </c>
    </row>
    <row r="47">
      <c r="A47" s="4" t="str">
        <f>IFERROR(__xludf.DUMMYFUNCTION("""COMPUTED_VALUE"""),"KHNN2026-046")</f>
        <v>KHNN2026-046</v>
      </c>
      <c r="B47" s="4" t="str">
        <f>IFERROR(__xludf.DUMMYFUNCTION("""COMPUTED_VALUE"""),"Khoa học nông nghiệp")</f>
        <v>Khoa học nông nghiệp</v>
      </c>
      <c r="C47" s="4" t="str">
        <f>IFERROR(__xludf.DUMMYFUNCTION("""COMPUTED_VALUE"""),"NGHIÊN CỨU PHÁT TRIỂN VẬT LIỆU GIÁ TRỊ CAO TỪ SẢN PHẨM NÔNG NGHIỆP VIỆT NAM: CHUYỂN HÓA NƯỚC DỪA THÀNH CARBON AEROGEL BA CHIỀU ĐỊNH HƯỚNG ỨNG DỤNG XỬ LÝ SỰ CỐ TRÀN DẦU")</f>
        <v>NGHIÊN CỨU PHÁT TRIỂN VẬT LIỆU GIÁ TRỊ CAO TỪ SẢN PHẨM NÔNG NGHIỆP VIỆT NAM: CHUYỂN HÓA NƯỚC DỪA THÀNH CARBON AEROGEL BA CHIỀU ĐỊNH HƯỚNG ỨNG DỤNG XỬ LÝ SỰ CỐ TRÀN DẦU</v>
      </c>
      <c r="D47" s="4" t="str">
        <f>IFERROR(__xludf.DUMMYFUNCTION("""COMPUTED_VALUE"""),"Phạm Nam Anh; Trần Huỳnh Mai Khanh")</f>
        <v>Phạm Nam Anh; Trần Huỳnh Mai Khanh</v>
      </c>
      <c r="E47" s="4" t="str">
        <f>IFERROR(__xludf.DUMMYFUNCTION("""COMPUTED_VALUE"""),"Trường Đại học Bách Khoa, ĐHQG-HCM")</f>
        <v>Trường Đại học Bách Khoa, ĐHQG-HCM</v>
      </c>
      <c r="F47" s="4" t="str">
        <f>IFERROR(__xludf.DUMMYFUNCTION("""COMPUTED_VALUE"""),"KHNN2026-046.png")</f>
        <v>KHNN2026-046.png</v>
      </c>
    </row>
    <row r="48">
      <c r="A48" s="4" t="str">
        <f>IFERROR(__xludf.DUMMYFUNCTION("""COMPUTED_VALUE"""),"KHNN2026-047")</f>
        <v>KHNN2026-047</v>
      </c>
      <c r="B48" s="4" t="str">
        <f>IFERROR(__xludf.DUMMYFUNCTION("""COMPUTED_VALUE"""),"Khoa học nông nghiệp")</f>
        <v>Khoa học nông nghiệp</v>
      </c>
      <c r="C48" s="4" t="str">
        <f>IFERROR(__xludf.DUMMYFUNCTION("""COMPUTED_VALUE"""),"Nghiên cứu quy trình sản xuất bột hạt mít (Artocarpus heterophyllus Lam.) lên men probiotic xử lý bằng enzyme ứng dụng vào thức ăn chăn nuôi")</f>
        <v>Nghiên cứu quy trình sản xuất bột hạt mít (Artocarpus heterophyllus Lam.) lên men probiotic xử lý bằng enzyme ứng dụng vào thức ăn chăn nuôi</v>
      </c>
      <c r="D48" s="4" t="str">
        <f>IFERROR(__xludf.DUMMYFUNCTION("""COMPUTED_VALUE"""),"Nguyễn Thị Minh Thư; Trần Lê Phương Thùy")</f>
        <v>Nguyễn Thị Minh Thư; Trần Lê Phương Thùy</v>
      </c>
      <c r="E48" s="4" t="str">
        <f>IFERROR(__xludf.DUMMYFUNCTION("""COMPUTED_VALUE"""),"Trường Đại học Tôn Đức Thắng")</f>
        <v>Trường Đại học Tôn Đức Thắng</v>
      </c>
      <c r="F48" s="4" t="str">
        <f>IFERROR(__xludf.DUMMYFUNCTION("""COMPUTED_VALUE"""),"KHNN2026-047.png")</f>
        <v>KHNN2026-047.png</v>
      </c>
    </row>
    <row r="49">
      <c r="A49" s="4" t="str">
        <f>IFERROR(__xludf.DUMMYFUNCTION("""COMPUTED_VALUE"""),"KHNN2026-048")</f>
        <v>KHNN2026-048</v>
      </c>
      <c r="B49" s="4" t="str">
        <f>IFERROR(__xludf.DUMMYFUNCTION("""COMPUTED_VALUE"""),"Khoa học nông nghiệp")</f>
        <v>Khoa học nông nghiệp</v>
      </c>
      <c r="C49" s="4" t="str">
        <f>IFERROR(__xludf.DUMMYFUNCTION("""COMPUTED_VALUE"""),"Đánh giá hiệu quả sử dụng lá húng chanh (plectranthus amboinicus) và mơ lông (paederia tomentosa) làm phụ gia sinh học trong chăn nuôi gà ác")</f>
        <v>Đánh giá hiệu quả sử dụng lá húng chanh (plectranthus amboinicus) và mơ lông (paederia tomentosa) làm phụ gia sinh học trong chăn nuôi gà ác</v>
      </c>
      <c r="D49" s="4" t="str">
        <f>IFERROR(__xludf.DUMMYFUNCTION("""COMPUTED_VALUE"""),"Hồ Quốc Truyện; Đồng Tuấn Duy; Huỳnh Hữu Nhã; Trần Tiến Đạt; Huỳnh Nguyễn Đức Duy")</f>
        <v>Hồ Quốc Truyện; Đồng Tuấn Duy; Huỳnh Hữu Nhã; Trần Tiến Đạt; Huỳnh Nguyễn Đức Duy</v>
      </c>
      <c r="E49" s="4" t="str">
        <f>IFERROR(__xludf.DUMMYFUNCTION("""COMPUTED_VALUE"""),"Trường Đại học Bạc Liêu")</f>
        <v>Trường Đại học Bạc Liêu</v>
      </c>
      <c r="F49" s="4" t="str">
        <f>IFERROR(__xludf.DUMMYFUNCTION("""COMPUTED_VALUE"""),"KHNN2026-048.png")</f>
        <v>KHNN2026-048.png</v>
      </c>
    </row>
    <row r="50">
      <c r="A50" s="4" t="str">
        <f>IFERROR(__xludf.DUMMYFUNCTION("""COMPUTED_VALUE"""),"KHNN2026-049")</f>
        <v>KHNN2026-049</v>
      </c>
      <c r="B50" s="4" t="str">
        <f>IFERROR(__xludf.DUMMYFUNCTION("""COMPUTED_VALUE"""),"Khoa học nông nghiệp")</f>
        <v>Khoa học nông nghiệp</v>
      </c>
      <c r="C50" s="4" t="str">
        <f>IFERROR(__xludf.DUMMYFUNCTION("""COMPUTED_VALUE"""),"Nghiên cứu tình trạng chậm động dục sau khi đẻ và hiệu quả sử dụng hormone trên đàn bò cái Lai Sind sinh sản tại một số xã của tỉnh Nghệ An.")</f>
        <v>Nghiên cứu tình trạng chậm động dục sau khi đẻ và hiệu quả sử dụng hormone trên đàn bò cái Lai Sind sinh sản tại một số xã của tỉnh Nghệ An.</v>
      </c>
      <c r="D50" s="4" t="str">
        <f>IFERROR(__xludf.DUMMYFUNCTION("""COMPUTED_VALUE"""),"Nguyễn Thị Huệ; Lê Văn Hoàng; Nguyễn Thị Lam; Cao Tiến Văn")</f>
        <v>Nguyễn Thị Huệ; Lê Văn Hoàng; Nguyễn Thị Lam; Cao Tiến Văn</v>
      </c>
      <c r="E50" s="4" t="str">
        <f>IFERROR(__xludf.DUMMYFUNCTION("""COMPUTED_VALUE"""),"Trường Đại học Nghệ An")</f>
        <v>Trường Đại học Nghệ An</v>
      </c>
      <c r="F50" s="4" t="str">
        <f>IFERROR(__xludf.DUMMYFUNCTION("""COMPUTED_VALUE"""),"KHNN2026-049.png")</f>
        <v>KHNN2026-049.png</v>
      </c>
    </row>
    <row r="51">
      <c r="A51" s="4" t="str">
        <f>IFERROR(__xludf.DUMMYFUNCTION("""COMPUTED_VALUE"""),"KHNN2026-050")</f>
        <v>KHNN2026-050</v>
      </c>
      <c r="B51" s="4" t="str">
        <f>IFERROR(__xludf.DUMMYFUNCTION("""COMPUTED_VALUE"""),"Khoa học nông nghiệp")</f>
        <v>Khoa học nông nghiệp</v>
      </c>
      <c r="C51" s="4" t="str">
        <f>IFERROR(__xludf.DUMMYFUNCTION("""COMPUTED_VALUE"""),"Nghiên cứu quy trình chiết xuất Pectin từ phụ phẩm nông nghiệp")</f>
        <v>Nghiên cứu quy trình chiết xuất Pectin từ phụ phẩm nông nghiệp</v>
      </c>
      <c r="D51" s="4" t="str">
        <f>IFERROR(__xludf.DUMMYFUNCTION("""COMPUTED_VALUE"""),"Trần Nguyễn Anh Chi; Đặng Vân Anh; Hoàng Quốc Toản; Bùi Bích Ngọc Nguyên; Nguyễn Bảo Thanh Ngọc")</f>
        <v>Trần Nguyễn Anh Chi; Đặng Vân Anh; Hoàng Quốc Toản; Bùi Bích Ngọc Nguyên; Nguyễn Bảo Thanh Ngọc</v>
      </c>
      <c r="E51" s="4" t="str">
        <f>IFERROR(__xludf.DUMMYFUNCTION("""COMPUTED_VALUE"""),"Trường Đại học Công Thương TP. Hồ Chí Minh")</f>
        <v>Trường Đại học Công Thương TP. Hồ Chí Minh</v>
      </c>
      <c r="F51" s="4" t="str">
        <f>IFERROR(__xludf.DUMMYFUNCTION("""COMPUTED_VALUE"""),"KHNN2026-050.png")</f>
        <v>KHNN2026-050.png</v>
      </c>
    </row>
    <row r="52">
      <c r="A52" s="4" t="str">
        <f>IFERROR(__xludf.DUMMYFUNCTION("""COMPUTED_VALUE"""),"KHNN2026-051")</f>
        <v>KHNN2026-051</v>
      </c>
      <c r="B52" s="4" t="str">
        <f>IFERROR(__xludf.DUMMYFUNCTION("""COMPUTED_VALUE"""),"Khoa học nông nghiệp")</f>
        <v>Khoa học nông nghiệp</v>
      </c>
      <c r="C52" s="4" t="str">
        <f>IFERROR(__xludf.DUMMYFUNCTION("""COMPUTED_VALUE"""),"Ứng dụng multiplex PCR phát hiện nhanh và đồng thời các loài tảo lam (Cyanobacteria) tại khu vực Rừng Sác, Cần Giờ, Thành phố Hồ Chí Minh")</f>
        <v>Ứng dụng multiplex PCR phát hiện nhanh và đồng thời các loài tảo lam (Cyanobacteria) tại khu vực Rừng Sác, Cần Giờ, Thành phố Hồ Chí Minh</v>
      </c>
      <c r="D52" s="4" t="str">
        <f>IFERROR(__xludf.DUMMYFUNCTION("""COMPUTED_VALUE"""),"Nguyễn Hương Giang; Cao Ngọc Lê Huy; Huỳnh Ngọc Băng; Nguyễn Thành Phát; Hồ Đặng Minh Trâm")</f>
        <v>Nguyễn Hương Giang; Cao Ngọc Lê Huy; Huỳnh Ngọc Băng; Nguyễn Thành Phát; Hồ Đặng Minh Trâm</v>
      </c>
      <c r="E52" s="4" t="str">
        <f>IFERROR(__xludf.DUMMYFUNCTION("""COMPUTED_VALUE"""),"Trường Đại học Công Thương TP. Hồ Chí Minh")</f>
        <v>Trường Đại học Công Thương TP. Hồ Chí Minh</v>
      </c>
      <c r="F52" s="4" t="str">
        <f>IFERROR(__xludf.DUMMYFUNCTION("""COMPUTED_VALUE"""),"KHNN2026-051.png")</f>
        <v>KHNN2026-051.png</v>
      </c>
    </row>
    <row r="53">
      <c r="A53" s="4" t="str">
        <f>IFERROR(__xludf.DUMMYFUNCTION("""COMPUTED_VALUE"""),"KHNN2026-052")</f>
        <v>KHNN2026-052</v>
      </c>
      <c r="B53" s="4" t="str">
        <f>IFERROR(__xludf.DUMMYFUNCTION("""COMPUTED_VALUE"""),"Khoa học nông nghiệp")</f>
        <v>Khoa học nông nghiệp</v>
      </c>
      <c r="C53" s="4" t="str">
        <f>IFERROR(__xludf.DUMMYFUNCTION("""COMPUTED_VALUE"""),"Nghiên cứu khả năng tận dụng cám lúa mì làm môi trường nuôi cấy Bacillus megaterium nhằm thu nhận sinh khối ứng dụng trong công nghiệp sản xuất thức ăn chăn nuôi")</f>
        <v>Nghiên cứu khả năng tận dụng cám lúa mì làm môi trường nuôi cấy Bacillus megaterium nhằm thu nhận sinh khối ứng dụng trong công nghiệp sản xuất thức ăn chăn nuôi</v>
      </c>
      <c r="D53" s="4" t="str">
        <f>IFERROR(__xludf.DUMMYFUNCTION("""COMPUTED_VALUE"""),"Trần Thanh Giàu; Nguyễn Thị Ngọc Hiếu; Hồ Xuân Hương; Trần Thanh Phúc")</f>
        <v>Trần Thanh Giàu; Nguyễn Thị Ngọc Hiếu; Hồ Xuân Hương; Trần Thanh Phúc</v>
      </c>
      <c r="E53" s="4" t="str">
        <f>IFERROR(__xludf.DUMMYFUNCTION("""COMPUTED_VALUE"""),"Trường Đại học Công Thương TP. Hồ Chí Minh")</f>
        <v>Trường Đại học Công Thương TP. Hồ Chí Minh</v>
      </c>
      <c r="F53" s="4" t="str">
        <f>IFERROR(__xludf.DUMMYFUNCTION("""COMPUTED_VALUE"""),"KHNN2026-052.png")</f>
        <v>KHNN2026-052.png</v>
      </c>
    </row>
    <row r="54">
      <c r="A54" s="4" t="str">
        <f>IFERROR(__xludf.DUMMYFUNCTION("""COMPUTED_VALUE"""),"KHNN2026-053")</f>
        <v>KHNN2026-053</v>
      </c>
      <c r="B54" s="4" t="str">
        <f>IFERROR(__xludf.DUMMYFUNCTION("""COMPUTED_VALUE"""),"Khoa học nông nghiệp")</f>
        <v>Khoa học nông nghiệp</v>
      </c>
      <c r="C54" s="4" t="str">
        <f>IFERROR(__xludf.DUMMYFUNCTION("""COMPUTED_VALUE"""),"CHẾ TẠO CẢM BIẾN SIÊU NHẠY TỪ GIẤY ĐỂ NHẬN DIỆN CHẤT HỮU CƠ ĐỘC HẠI TRÊN NÔNG PHẨM VÀ NGUỒN NƯỚC")</f>
        <v>CHẾ TẠO CẢM BIẾN SIÊU NHẠY TỪ GIẤY ĐỂ NHẬN DIỆN CHẤT HỮU CƠ ĐỘC HẠI TRÊN NÔNG PHẨM VÀ NGUỒN NƯỚC</v>
      </c>
      <c r="D54" s="4" t="str">
        <f>IFERROR(__xludf.DUMMYFUNCTION("""COMPUTED_VALUE"""),"Nguyễn Tấn Đạt; Trần Anh Khoa; Ông Hoàng Phúc; Nguyễn Tấn Thống")</f>
        <v>Nguyễn Tấn Đạt; Trần Anh Khoa; Ông Hoàng Phúc; Nguyễn Tấn Thống</v>
      </c>
      <c r="E54" s="4" t="str">
        <f>IFERROR(__xludf.DUMMYFUNCTION("""COMPUTED_VALUE"""),"Trường Đại học Bách Khoa, ĐHQG-HCM")</f>
        <v>Trường Đại học Bách Khoa, ĐHQG-HCM</v>
      </c>
      <c r="F54" s="4" t="str">
        <f>IFERROR(__xludf.DUMMYFUNCTION("""COMPUTED_VALUE"""),"KHNN2026-053.png")</f>
        <v>KHNN2026-053.png</v>
      </c>
    </row>
    <row r="55">
      <c r="A55" s="4" t="str">
        <f>IFERROR(__xludf.DUMMYFUNCTION("""COMPUTED_VALUE"""),"KHNN2026-054")</f>
        <v>KHNN2026-054</v>
      </c>
      <c r="B55" s="4" t="str">
        <f>IFERROR(__xludf.DUMMYFUNCTION("""COMPUTED_VALUE"""),"Khoa học nông nghiệp")</f>
        <v>Khoa học nông nghiệp</v>
      </c>
      <c r="C55" s="4" t="str">
        <f>IFERROR(__xludf.DUMMYFUNCTION("""COMPUTED_VALUE"""),"Phân tích các chất chuyển hóa của Sâm cau Curculigo orchioides Gaertn theo các vùng canh tác ở Việt Nam và biến đổi các chất sinh học trong củ Sâm cau đen dựa trên phương pháp tiếp cận Untargeted Metabolomics")</f>
        <v>Phân tích các chất chuyển hóa của Sâm cau Curculigo orchioides Gaertn theo các vùng canh tác ở Việt Nam và biến đổi các chất sinh học trong củ Sâm cau đen dựa trên phương pháp tiếp cận Untargeted Metabolomics</v>
      </c>
      <c r="D55" s="4" t="str">
        <f>IFERROR(__xludf.DUMMYFUNCTION("""COMPUTED_VALUE"""),"Nguyễn Văn Bửu; Phạm Thành Nhân")</f>
        <v>Nguyễn Văn Bửu; Phạm Thành Nhân</v>
      </c>
      <c r="E55" s="4" t="str">
        <f>IFERROR(__xludf.DUMMYFUNCTION("""COMPUTED_VALUE"""),"Trường Đại học Công Thương TP. Hồ Chí Minh")</f>
        <v>Trường Đại học Công Thương TP. Hồ Chí Minh</v>
      </c>
      <c r="F55" s="4" t="str">
        <f>IFERROR(__xludf.DUMMYFUNCTION("""COMPUTED_VALUE"""),"KHNN2026-054.png")</f>
        <v>KHNN2026-054.png</v>
      </c>
    </row>
    <row r="56">
      <c r="A56" s="4" t="str">
        <f>IFERROR(__xludf.DUMMYFUNCTION("""COMPUTED_VALUE"""),"KHNN2026-055")</f>
        <v>KHNN2026-055</v>
      </c>
      <c r="B56" s="4" t="str">
        <f>IFERROR(__xludf.DUMMYFUNCTION("""COMPUTED_VALUE"""),"Khoa học nông nghiệp")</f>
        <v>Khoa học nông nghiệp</v>
      </c>
      <c r="C56" s="4" t="str">
        <f>IFERROR(__xludf.DUMMYFUNCTION("""COMPUTED_VALUE"""),"Bệnh đỏ chân và melanin hóa trên tôm thẻ chân trắng (Penaeus vannamei): Xác định tác nhân, nghiên cứu đặc điểm và kiểm chứng thực nghiệm")</f>
        <v>Bệnh đỏ chân và melanin hóa trên tôm thẻ chân trắng (Penaeus vannamei): Xác định tác nhân, nghiên cứu đặc điểm và kiểm chứng thực nghiệm</v>
      </c>
      <c r="D56" s="4" t="str">
        <f>IFERROR(__xludf.DUMMYFUNCTION("""COMPUTED_VALUE"""),"Phạm Hồng Sơn; Nguyễn Việt Hoàng; Đặng Hữu Huy; Nguyễn Đắc Đạt; Lê Ngọc Uyên Thy")</f>
        <v>Phạm Hồng Sơn; Nguyễn Việt Hoàng; Đặng Hữu Huy; Nguyễn Đắc Đạt; Lê Ngọc Uyên Thy</v>
      </c>
      <c r="E56" s="4" t="str">
        <f>IFERROR(__xludf.DUMMYFUNCTION("""COMPUTED_VALUE"""),"Học viện Nông nghiệp Việt Nam")</f>
        <v>Học viện Nông nghiệp Việt Nam</v>
      </c>
      <c r="F56" s="4" t="str">
        <f>IFERROR(__xludf.DUMMYFUNCTION("""COMPUTED_VALUE"""),"KHNN2026-055.png")</f>
        <v>KHNN2026-055.png</v>
      </c>
    </row>
    <row r="57">
      <c r="A57" s="4" t="str">
        <f>IFERROR(__xludf.DUMMYFUNCTION("""COMPUTED_VALUE"""),"KHNN2026-056")</f>
        <v>KHNN2026-056</v>
      </c>
      <c r="B57" s="4" t="str">
        <f>IFERROR(__xludf.DUMMYFUNCTION("""COMPUTED_VALUE"""),"Khoa học nông nghiệp")</f>
        <v>Khoa học nông nghiệp</v>
      </c>
      <c r="C57" s="4" t="str">
        <f>IFERROR(__xludf.DUMMYFUNCTION("""COMPUTED_VALUE"""),"Khảo sát kiến thức, thái độ và hành vi của người dân sinh sống tại thành phố hà nội đối với việc sử dụng các sản phẩm từ động vật hoang dã")</f>
        <v>Khảo sát kiến thức, thái độ và hành vi của người dân sinh sống tại thành phố hà nội đối với việc sử dụng các sản phẩm từ động vật hoang dã</v>
      </c>
      <c r="D57" s="4" t="str">
        <f>IFERROR(__xludf.DUMMYFUNCTION("""COMPUTED_VALUE"""),"Nguyễn Thị Thanh Thúy; Đỗ Lan Anh; Nguyễn Minh Phương; Bùi Minh Trí")</f>
        <v>Nguyễn Thị Thanh Thúy; Đỗ Lan Anh; Nguyễn Minh Phương; Bùi Minh Trí</v>
      </c>
      <c r="E57" s="4" t="str">
        <f>IFERROR(__xludf.DUMMYFUNCTION("""COMPUTED_VALUE"""),"Học viện Nông nghiệp Việt Nam")</f>
        <v>Học viện Nông nghiệp Việt Nam</v>
      </c>
      <c r="F57" s="4" t="str">
        <f>IFERROR(__xludf.DUMMYFUNCTION("""COMPUTED_VALUE"""),"KHNN2026-056.png")</f>
        <v>KHNN2026-056.png</v>
      </c>
    </row>
    <row r="58">
      <c r="A58" s="4" t="str">
        <f>IFERROR(__xludf.DUMMYFUNCTION("""COMPUTED_VALUE"""),"KHNN2026-057")</f>
        <v>KHNN2026-057</v>
      </c>
      <c r="B58" s="4" t="str">
        <f>IFERROR(__xludf.DUMMYFUNCTION("""COMPUTED_VALUE"""),"Khoa học nông nghiệp")</f>
        <v>Khoa học nông nghiệp</v>
      </c>
      <c r="C58" s="4" t="str">
        <f>IFERROR(__xludf.DUMMYFUNCTION("""COMPUTED_VALUE"""),"Tìm hiểu kiến thức, thái độ và hành vi của người dân nuôi mèo tại xã Gia Lâm trong phòng bệnh do Toxoplasma gondii trên người")</f>
        <v>Tìm hiểu kiến thức, thái độ và hành vi của người dân nuôi mèo tại xã Gia Lâm trong phòng bệnh do Toxoplasma gondii trên người</v>
      </c>
      <c r="D58" s="4" t="str">
        <f>IFERROR(__xludf.DUMMYFUNCTION("""COMPUTED_VALUE"""),"Trần Thị Mỹ Linh; Nông Thị Lan Hương; Nguyễn Trần Diệu Linh; Hà Khánh Linh")</f>
        <v>Trần Thị Mỹ Linh; Nông Thị Lan Hương; Nguyễn Trần Diệu Linh; Hà Khánh Linh</v>
      </c>
      <c r="E58" s="4" t="str">
        <f>IFERROR(__xludf.DUMMYFUNCTION("""COMPUTED_VALUE"""),"Học viện Nông nghiệp Việt Nam")</f>
        <v>Học viện Nông nghiệp Việt Nam</v>
      </c>
      <c r="F58" s="4" t="str">
        <f>IFERROR(__xludf.DUMMYFUNCTION("""COMPUTED_VALUE"""),"KHNN2026-057.png")</f>
        <v>KHNN2026-057.png</v>
      </c>
    </row>
    <row r="59">
      <c r="A59" s="4" t="str">
        <f>IFERROR(__xludf.DUMMYFUNCTION("""COMPUTED_VALUE"""),"KHNN2026-058")</f>
        <v>KHNN2026-058</v>
      </c>
      <c r="B59" s="4" t="str">
        <f>IFERROR(__xludf.DUMMYFUNCTION("""COMPUTED_VALUE"""),"Khoa học nông nghiệp")</f>
        <v>Khoa học nông nghiệp</v>
      </c>
      <c r="C59" s="4" t="str">
        <f>IFERROR(__xludf.DUMMYFUNCTION("""COMPUTED_VALUE"""),"Phân lập, tuyển chọn một số chủng Bacillus sp. có hoạt tính sinh học và đánh giá ảnh hưởng đến sinh trưởng cây cà chua (Solanum lycopersicum)")</f>
        <v>Phân lập, tuyển chọn một số chủng Bacillus sp. có hoạt tính sinh học và đánh giá ảnh hưởng đến sinh trưởng cây cà chua (Solanum lycopersicum)</v>
      </c>
      <c r="D59" s="4" t="str">
        <f>IFERROR(__xludf.DUMMYFUNCTION("""COMPUTED_VALUE"""),"Nguyễn Ngọc Bảo Đăng; Nguyễn Lê Thanh Hương; Trần Anh Thư; Nguyễn Thị Kiều My; Nguyễn Ngọc Quỳnh Như")</f>
        <v>Nguyễn Ngọc Bảo Đăng; Nguyễn Lê Thanh Hương; Trần Anh Thư; Nguyễn Thị Kiều My; Nguyễn Ngọc Quỳnh Như</v>
      </c>
      <c r="E59" s="4" t="str">
        <f>IFERROR(__xludf.DUMMYFUNCTION("""COMPUTED_VALUE"""),"Trường Đại học Công Thương TP. Hồ Chí Minh")</f>
        <v>Trường Đại học Công Thương TP. Hồ Chí Minh</v>
      </c>
      <c r="F59" s="4" t="str">
        <f>IFERROR(__xludf.DUMMYFUNCTION("""COMPUTED_VALUE"""),"KHNN2026-058.png")</f>
        <v>KHNN2026-058.png</v>
      </c>
    </row>
    <row r="60">
      <c r="A60" s="4" t="str">
        <f>IFERROR(__xludf.DUMMYFUNCTION("""COMPUTED_VALUE"""),"KHNN2026-059")</f>
        <v>KHNN2026-059</v>
      </c>
      <c r="B60" s="4" t="str">
        <f>IFERROR(__xludf.DUMMYFUNCTION("""COMPUTED_VALUE"""),"Khoa học nông nghiệp")</f>
        <v>Khoa học nông nghiệp</v>
      </c>
      <c r="C60" s="4" t="str">
        <f>IFERROR(__xludf.DUMMYFUNCTION("""COMPUTED_VALUE"""),"Nghiên cứu ứng dụng thị giác máy tính trong phân loại độ chín và đánh giá tự động chất lượng quả chanh dây RP9")</f>
        <v>Nghiên cứu ứng dụng thị giác máy tính trong phân loại độ chín và đánh giá tự động chất lượng quả chanh dây RP9</v>
      </c>
      <c r="D60" s="4" t="str">
        <f>IFERROR(__xludf.DUMMYFUNCTION("""COMPUTED_VALUE"""),"Phạm Thị Ngọc Hằng; Nguyễn Minh Chí")</f>
        <v>Phạm Thị Ngọc Hằng; Nguyễn Minh Chí</v>
      </c>
      <c r="E60" s="4" t="str">
        <f>IFERROR(__xludf.DUMMYFUNCTION("""COMPUTED_VALUE"""),"Trường Đại học Khoa học Tự nhiên, ĐHQG-HCM")</f>
        <v>Trường Đại học Khoa học Tự nhiên, ĐHQG-HCM</v>
      </c>
      <c r="F60" s="4" t="str">
        <f>IFERROR(__xludf.DUMMYFUNCTION("""COMPUTED_VALUE"""),"KHNN2026-059.png")</f>
        <v>KHNN2026-059.png</v>
      </c>
    </row>
    <row r="61">
      <c r="A61" s="4" t="str">
        <f>IFERROR(__xludf.DUMMYFUNCTION("""COMPUTED_VALUE"""),"KHNN2026-060")</f>
        <v>KHNN2026-060</v>
      </c>
      <c r="B61" s="4" t="str">
        <f>IFERROR(__xludf.DUMMYFUNCTION("""COMPUTED_VALUE"""),"Khoa học nông nghiệp")</f>
        <v>Khoa học nông nghiệp</v>
      </c>
      <c r="C61" s="4" t="str">
        <f>IFERROR(__xludf.DUMMYFUNCTION("""COMPUTED_VALUE"""),"Tận dụng phụ phẩm chuối sản xuất compost bằng chế phẩm vi sinh và đánh giá hiệu quả trên cây cải xanh (Brassic a juncea L.)")</f>
        <v>Tận dụng phụ phẩm chuối sản xuất compost bằng chế phẩm vi sinh và đánh giá hiệu quả trên cây cải xanh (Brassic a juncea L.)</v>
      </c>
      <c r="D61" s="4" t="str">
        <f>IFERROR(__xludf.DUMMYFUNCTION("""COMPUTED_VALUE"""),"Lâm Tuấn Sang")</f>
        <v>Lâm Tuấn Sang</v>
      </c>
      <c r="E61" s="4" t="str">
        <f>IFERROR(__xludf.DUMMYFUNCTION("""COMPUTED_VALUE"""),"Trường Đại học Kiên Giang")</f>
        <v>Trường Đại học Kiên Giang</v>
      </c>
      <c r="F61" s="4" t="str">
        <f>IFERROR(__xludf.DUMMYFUNCTION("""COMPUTED_VALUE"""),"KHNN2026-060.png")</f>
        <v>KHNN2026-060.png</v>
      </c>
    </row>
    <row r="62">
      <c r="A62" s="4" t="str">
        <f>IFERROR(__xludf.DUMMYFUNCTION("""COMPUTED_VALUE"""),"KHNN2026-061")</f>
        <v>KHNN2026-061</v>
      </c>
      <c r="B62" s="4" t="str">
        <f>IFERROR(__xludf.DUMMYFUNCTION("""COMPUTED_VALUE"""),"Khoa học nông nghiệp")</f>
        <v>Khoa học nông nghiệp</v>
      </c>
      <c r="C62" s="4" t="str">
        <f>IFERROR(__xludf.DUMMYFUNCTION("""COMPUTED_VALUE"""),"Phân lập và khảo sát khả năng kháng kháng sinh trên các chủng Bacillus không gây bệnh trong môi trường sinh hoạt của chó")</f>
        <v>Phân lập và khảo sát khả năng kháng kháng sinh trên các chủng Bacillus không gây bệnh trong môi trường sinh hoạt của chó</v>
      </c>
      <c r="D62" s="4" t="str">
        <f>IFERROR(__xludf.DUMMYFUNCTION("""COMPUTED_VALUE"""),"Nguyễn Huỳnh Như Tâm; Lê Thị Cẩm Huyền; Trương Ngọc Phương Linh")</f>
        <v>Nguyễn Huỳnh Như Tâm; Lê Thị Cẩm Huyền; Trương Ngọc Phương Linh</v>
      </c>
      <c r="E62" s="4" t="str">
        <f>IFERROR(__xludf.DUMMYFUNCTION("""COMPUTED_VALUE"""),"Trường Đại học Tôn Đức Thắng")</f>
        <v>Trường Đại học Tôn Đức Thắng</v>
      </c>
      <c r="F62" s="4" t="str">
        <f>IFERROR(__xludf.DUMMYFUNCTION("""COMPUTED_VALUE"""),"KHNN2026-061.png")</f>
        <v>KHNN2026-061.png</v>
      </c>
    </row>
    <row r="63">
      <c r="A63" s="4" t="str">
        <f>IFERROR(__xludf.DUMMYFUNCTION("""COMPUTED_VALUE"""),"KHNN2026-062")</f>
        <v>KHNN2026-062</v>
      </c>
      <c r="B63" s="4" t="str">
        <f>IFERROR(__xludf.DUMMYFUNCTION("""COMPUTED_VALUE"""),"Khoa học nông nghiệp")</f>
        <v>Khoa học nông nghiệp</v>
      </c>
      <c r="C63" s="4" t="str">
        <f>IFERROR(__xludf.DUMMYFUNCTION("""COMPUTED_VALUE"""),"Tìm hiểu kiến thức, thái độ và hành vi của người dân khu vực 4 xã ở Hà Nội: Thuận An, Bát Tràng, Gia Lâm và Phù Đổng trong việc phòng chống bệnh liên cầu khuẩn lợn trên người")</f>
        <v>Tìm hiểu kiến thức, thái độ và hành vi của người dân khu vực 4 xã ở Hà Nội: Thuận An, Bát Tràng, Gia Lâm và Phù Đổng trong việc phòng chống bệnh liên cầu khuẩn lợn trên người</v>
      </c>
      <c r="D63" s="4" t="str">
        <f>IFERROR(__xludf.DUMMYFUNCTION("""COMPUTED_VALUE"""),"Đinh Mỹ Duyên; Nguyễn Thị Kiều Anh; Vũ Quang Công")</f>
        <v>Đinh Mỹ Duyên; Nguyễn Thị Kiều Anh; Vũ Quang Công</v>
      </c>
      <c r="E63" s="4" t="str">
        <f>IFERROR(__xludf.DUMMYFUNCTION("""COMPUTED_VALUE"""),"Học viện Nông nghiệp Việt Nam")</f>
        <v>Học viện Nông nghiệp Việt Nam</v>
      </c>
      <c r="F63" s="4" t="str">
        <f>IFERROR(__xludf.DUMMYFUNCTION("""COMPUTED_VALUE"""),"KHNN2026-062.png")</f>
        <v>KHNN2026-062.png</v>
      </c>
    </row>
    <row r="64">
      <c r="A64" s="4" t="str">
        <f>IFERROR(__xludf.DUMMYFUNCTION("""COMPUTED_VALUE"""),"KHNN2026-063")</f>
        <v>KHNN2026-063</v>
      </c>
      <c r="B64" s="4" t="str">
        <f>IFERROR(__xludf.DUMMYFUNCTION("""COMPUTED_VALUE"""),"Khoa học nông nghiệp")</f>
        <v>Khoa học nông nghiệp</v>
      </c>
      <c r="C64" s="4" t="str">
        <f>IFERROR(__xludf.DUMMYFUNCTION("""COMPUTED_VALUE"""),"NGHIÊN CỨU TUYỂN CHỌN CÁC CHỦNG LACTOBACILLUS SPP. CÓ NGUỒN GỐC TỪ SỮA KEFIR ĐỐI KHÁNG VỚI VIBRIO PARAHAEMOLYTICUS GÂY BỆNH GAN TỤY CẤP TRÊN TÔM THẺ CHÂN TRẮNG TẠI ĐỒNG BẰNG SÔNG CỬU LONG")</f>
        <v>NGHIÊN CỨU TUYỂN CHỌN CÁC CHỦNG LACTOBACILLUS SPP. CÓ NGUỒN GỐC TỪ SỮA KEFIR ĐỐI KHÁNG VỚI VIBRIO PARAHAEMOLYTICUS GÂY BỆNH GAN TỤY CẤP TRÊN TÔM THẺ CHÂN TRẮNG TẠI ĐỒNG BẰNG SÔNG CỬU LONG</v>
      </c>
      <c r="D64" s="4" t="str">
        <f>IFERROR(__xludf.DUMMYFUNCTION("""COMPUTED_VALUE"""),"Võ A Tỷ; Lê Khánh Băng; Nguyễn Hoàng An; Nguyễn Phi Phùng")</f>
        <v>Võ A Tỷ; Lê Khánh Băng; Nguyễn Hoàng An; Nguyễn Phi Phùng</v>
      </c>
      <c r="E64" s="4" t="str">
        <f>IFERROR(__xludf.DUMMYFUNCTION("""COMPUTED_VALUE"""),"Trường Đại học Nông Lâm TP. Hồ Chí Minh")</f>
        <v>Trường Đại học Nông Lâm TP. Hồ Chí Minh</v>
      </c>
      <c r="F64" s="4" t="str">
        <f>IFERROR(__xludf.DUMMYFUNCTION("""COMPUTED_VALUE"""),"KHNN2026-063.png")</f>
        <v>KHNN2026-063.png</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8.86"/>
    <col customWidth="1" min="3" max="3" width="196.29"/>
    <col customWidth="1" min="4" max="4" width="96.0"/>
    <col customWidth="1" min="5" max="5" width="55.0"/>
    <col customWidth="1" min="6" max="6" width="16.0"/>
  </cols>
  <sheetData>
    <row r="1">
      <c r="A1" s="1" t="s">
        <v>0</v>
      </c>
      <c r="B1" s="1" t="s">
        <v>1</v>
      </c>
      <c r="C1" s="1" t="s">
        <v>2</v>
      </c>
      <c r="D1" s="1" t="s">
        <v>3</v>
      </c>
      <c r="E1" s="1" t="s">
        <v>4</v>
      </c>
      <c r="F1" s="1" t="s">
        <v>5</v>
      </c>
    </row>
    <row r="2">
      <c r="A2" s="4" t="str">
        <f>IFERROR(__xludf.DUMMYFUNCTION("FILTER('Danh sach'!A2:F2184, 'Danh sach'!B2:B2184=""Vật lý"")"),"VL2026-001")</f>
        <v>VL2026-001</v>
      </c>
      <c r="B2" s="4" t="str">
        <f>IFERROR(__xludf.DUMMYFUNCTION("""COMPUTED_VALUE"""),"Vật lý")</f>
        <v>Vật lý</v>
      </c>
      <c r="C2" s="4" t="str">
        <f>IFERROR(__xludf.DUMMYFUNCTION("""COMPUTED_VALUE"""),"Nghiên cứu chế tạo vật liệu phát quang CaAl4O7 pha tạp Mn4+ phát xạ đỏ mạnh ứng dụng trong đèn LED trắng ấm và LED đỏ chuyên dụng cho cây trồng.")</f>
        <v>Nghiên cứu chế tạo vật liệu phát quang CaAl4O7 pha tạp Mn4+ phát xạ đỏ mạnh ứng dụng trong đèn LED trắng ấm và LED đỏ chuyên dụng cho cây trồng.</v>
      </c>
      <c r="D2" s="4" t="str">
        <f>IFERROR(__xludf.DUMMYFUNCTION("""COMPUTED_VALUE"""),"Vũ Hồng Đăng; Dương Thị Hảo Dung; Nguyễn Khắc Quyết; Mai Ảnh; Trần Việt Hùng")</f>
        <v>Vũ Hồng Đăng; Dương Thị Hảo Dung; Nguyễn Khắc Quyết; Mai Ảnh; Trần Việt Hùng</v>
      </c>
      <c r="E2" s="4" t="str">
        <f>IFERROR(__xludf.DUMMYFUNCTION("""COMPUTED_VALUE"""),"Trường Đại học Sư phạm Hà Nội 2")</f>
        <v>Trường Đại học Sư phạm Hà Nội 2</v>
      </c>
      <c r="F2" s="4" t="str">
        <f>IFERROR(__xludf.DUMMYFUNCTION("""COMPUTED_VALUE"""),"VL2026-001.png")</f>
        <v>VL2026-001.png</v>
      </c>
    </row>
    <row r="3">
      <c r="A3" s="4" t="str">
        <f>IFERROR(__xludf.DUMMYFUNCTION("""COMPUTED_VALUE"""),"VL2026-002")</f>
        <v>VL2026-002</v>
      </c>
      <c r="B3" s="4" t="str">
        <f>IFERROR(__xludf.DUMMYFUNCTION("""COMPUTED_VALUE"""),"Vật lý")</f>
        <v>Vật lý</v>
      </c>
      <c r="C3" s="4" t="str">
        <f>IFERROR(__xludf.DUMMYFUNCTION("""COMPUTED_VALUE"""),"NGHIÊN CỨU CHẾ TẠO MÀNG PLASMONIC PVA/Csx WO3/ZnO GỐC NƯỚC ỨNG DỤNG TRÊN KÍNH CÁCH NHIỆT TIẾT KIỆM NĂNG LƯỢNG")</f>
        <v>NGHIÊN CỨU CHẾ TẠO MÀNG PLASMONIC PVA/Csx WO3/ZnO GỐC NƯỚC ỨNG DỤNG TRÊN KÍNH CÁCH NHIỆT TIẾT KIỆM NĂNG LƯỢNG</v>
      </c>
      <c r="D3" s="4" t="str">
        <f>IFERROR(__xludf.DUMMYFUNCTION("""COMPUTED_VALUE"""),"Phùng Đức Cường; Trương Công Đạt; Đặng Thị Thanh Mai")</f>
        <v>Phùng Đức Cường; Trương Công Đạt; Đặng Thị Thanh Mai</v>
      </c>
      <c r="E3" s="4" t="str">
        <f>IFERROR(__xludf.DUMMYFUNCTION("""COMPUTED_VALUE"""),"Trường Đại học Bách Khoa, ĐHQG-HCM")</f>
        <v>Trường Đại học Bách Khoa, ĐHQG-HCM</v>
      </c>
      <c r="F3" s="4" t="str">
        <f>IFERROR(__xludf.DUMMYFUNCTION("""COMPUTED_VALUE"""),"VL2026-002.png")</f>
        <v>VL2026-002.png</v>
      </c>
    </row>
    <row r="4">
      <c r="A4" s="4" t="str">
        <f>IFERROR(__xludf.DUMMYFUNCTION("""COMPUTED_VALUE"""),"VL2026-003")</f>
        <v>VL2026-003</v>
      </c>
      <c r="B4" s="4" t="str">
        <f>IFERROR(__xludf.DUMMYFUNCTION("""COMPUTED_VALUE"""),"Vật lý")</f>
        <v>Vật lý</v>
      </c>
      <c r="C4" s="4" t="str">
        <f>IFERROR(__xludf.DUMMYFUNCTION("""COMPUTED_VALUE"""),"Nghiên cứu ảnh hưởng của hệ số phân bố rắn - lỏng và tính chất của đất lên sự vận chuyển các đồng vị phóng xạ tự nhiên từ đất lên cây rau muống")</f>
        <v>Nghiên cứu ảnh hưởng của hệ số phân bố rắn - lỏng và tính chất của đất lên sự vận chuyển các đồng vị phóng xạ tự nhiên từ đất lên cây rau muống</v>
      </c>
      <c r="D4" s="4" t="str">
        <f>IFERROR(__xludf.DUMMYFUNCTION("""COMPUTED_VALUE"""),"Nguyễn Đăng Khoa; Phan Đình Huy; Nguyễn Hoàng Nhật")</f>
        <v>Nguyễn Đăng Khoa; Phan Đình Huy; Nguyễn Hoàng Nhật</v>
      </c>
      <c r="E4" s="4" t="str">
        <f>IFERROR(__xludf.DUMMYFUNCTION("""COMPUTED_VALUE"""),"Trường Đại học Khoa học Tự nhiên, ĐHQG-HCM")</f>
        <v>Trường Đại học Khoa học Tự nhiên, ĐHQG-HCM</v>
      </c>
      <c r="F4" s="4" t="str">
        <f>IFERROR(__xludf.DUMMYFUNCTION("""COMPUTED_VALUE"""),"VL2026-003.png")</f>
        <v>VL2026-003.png</v>
      </c>
    </row>
    <row r="5">
      <c r="A5" s="4" t="str">
        <f>IFERROR(__xludf.DUMMYFUNCTION("""COMPUTED_VALUE"""),"VL2026-004")</f>
        <v>VL2026-004</v>
      </c>
      <c r="B5" s="4" t="str">
        <f>IFERROR(__xludf.DUMMYFUNCTION("""COMPUTED_VALUE"""),"Vật lý")</f>
        <v>Vật lý</v>
      </c>
      <c r="C5" s="4" t="str">
        <f>IFERROR(__xludf.DUMMYFUNCTION("""COMPUTED_VALUE"""),"Xác định bề dày lớp chết của hệ HPGe bằng phương pháp truyền thống và phương pháp học máy")</f>
        <v>Xác định bề dày lớp chết của hệ HPGe bằng phương pháp truyền thống và phương pháp học máy</v>
      </c>
      <c r="D5" s="4" t="str">
        <f>IFERROR(__xludf.DUMMYFUNCTION("""COMPUTED_VALUE"""),"Lê Nhật Duy Uyên; Nguyễn Văn Thiêm")</f>
        <v>Lê Nhật Duy Uyên; Nguyễn Văn Thiêm</v>
      </c>
      <c r="E5" s="4" t="str">
        <f>IFERROR(__xludf.DUMMYFUNCTION("""COMPUTED_VALUE"""),"Trường Đại học Khoa học Tự nhiên, ĐHQG-HCM")</f>
        <v>Trường Đại học Khoa học Tự nhiên, ĐHQG-HCM</v>
      </c>
      <c r="F5" s="4" t="str">
        <f>IFERROR(__xludf.DUMMYFUNCTION("""COMPUTED_VALUE"""),"VL2026-004.png")</f>
        <v>VL2026-004.png</v>
      </c>
    </row>
    <row r="6">
      <c r="A6" s="4" t="str">
        <f>IFERROR(__xludf.DUMMYFUNCTION("""COMPUTED_VALUE"""),"VL2026-005")</f>
        <v>VL2026-005</v>
      </c>
      <c r="B6" s="4" t="str">
        <f>IFERROR(__xludf.DUMMYFUNCTION("""COMPUTED_VALUE"""),"Vật lý")</f>
        <v>Vật lý</v>
      </c>
      <c r="C6" s="4" t="str">
        <f>IFERROR(__xludf.DUMMYFUNCTION("""COMPUTED_VALUE"""),"ROLE OF HEATING RATE IN CONTROLLING THE STRUCTURE AND MECHANICAL PROPERTIES OF TI55 POROUS MATERIALS FOR POTENTIAL IMPLANT APPLICATIONS")</f>
        <v>ROLE OF HEATING RATE IN CONTROLLING THE STRUCTURE AND MECHANICAL PROPERTIES OF TI55 POROUS MATERIALS FOR POTENTIAL IMPLANT APPLICATIONS</v>
      </c>
      <c r="D6" s="4" t="str">
        <f>IFERROR(__xludf.DUMMYFUNCTION("""COMPUTED_VALUE"""),"Lê Phạm Quỳnh Mai; Trần Ngọc Thư; Ngô Minh Ngọc; Phạm Thùy Dung; Nguyễn Công Hiếu")</f>
        <v>Lê Phạm Quỳnh Mai; Trần Ngọc Thư; Ngô Minh Ngọc; Phạm Thùy Dung; Nguyễn Công Hiếu</v>
      </c>
      <c r="E6" s="4" t="str">
        <f>IFERROR(__xludf.DUMMYFUNCTION("""COMPUTED_VALUE"""),"Trường Đại học Sư phạm Hà Nội 2")</f>
        <v>Trường Đại học Sư phạm Hà Nội 2</v>
      </c>
      <c r="F6" s="4" t="str">
        <f>IFERROR(__xludf.DUMMYFUNCTION("""COMPUTED_VALUE"""),"VL2026-005.png")</f>
        <v>VL2026-005.png</v>
      </c>
    </row>
    <row r="7">
      <c r="A7" s="4" t="str">
        <f>IFERROR(__xludf.DUMMYFUNCTION("""COMPUTED_VALUE"""),"VL2026-006")</f>
        <v>VL2026-006</v>
      </c>
      <c r="B7" s="4" t="str">
        <f>IFERROR(__xludf.DUMMYFUNCTION("""COMPUTED_VALUE"""),"Vật lý")</f>
        <v>Vật lý</v>
      </c>
      <c r="C7" s="4" t="str">
        <f>IFERROR(__xludf.DUMMYFUNCTION("""COMPUTED_VALUE"""),"FABRICATION AND CHARACTERIZATION OF POROUS TI55 BY SPARK PLASMA SINTERING AT 40 MPA FOR MARINE APPLICATIONS")</f>
        <v>FABRICATION AND CHARACTERIZATION OF POROUS TI55 BY SPARK PLASMA SINTERING AT 40 MPA FOR MARINE APPLICATIONS</v>
      </c>
      <c r="D7" s="4" t="str">
        <f>IFERROR(__xludf.DUMMYFUNCTION("""COMPUTED_VALUE"""),"Khương Khánh Linh; Nguyễn Thị Thuý Hiền; Nguyễn Phương Anh; Vũ Thành Khoa; Lưu Thị Nhật Ánh")</f>
        <v>Khương Khánh Linh; Nguyễn Thị Thuý Hiền; Nguyễn Phương Anh; Vũ Thành Khoa; Lưu Thị Nhật Ánh</v>
      </c>
      <c r="E7" s="4" t="str">
        <f>IFERROR(__xludf.DUMMYFUNCTION("""COMPUTED_VALUE"""),"Trường Đại học Sư phạm Hà Nội 2")</f>
        <v>Trường Đại học Sư phạm Hà Nội 2</v>
      </c>
      <c r="F7" s="4" t="str">
        <f>IFERROR(__xludf.DUMMYFUNCTION("""COMPUTED_VALUE"""),"VL2026-006.png")</f>
        <v>VL2026-006.png</v>
      </c>
    </row>
    <row r="8">
      <c r="A8" s="4" t="str">
        <f>IFERROR(__xludf.DUMMYFUNCTION("""COMPUTED_VALUE"""),"VL2026-007")</f>
        <v>VL2026-007</v>
      </c>
      <c r="B8" s="4" t="str">
        <f>IFERROR(__xludf.DUMMYFUNCTION("""COMPUTED_VALUE"""),"Vật lý")</f>
        <v>Vật lý</v>
      </c>
      <c r="C8" s="4" t="str">
        <f>IFERROR(__xludf.DUMMYFUNCTION("""COMPUTED_VALUE"""),"Tích hợp mô phỏng động lực học và AI để dự đoán động lực học phân tử của polymer")</f>
        <v>Tích hợp mô phỏng động lực học và AI để dự đoán động lực học phân tử của polymer</v>
      </c>
      <c r="D8" s="4" t="str">
        <f>IFERROR(__xludf.DUMMYFUNCTION("""COMPUTED_VALUE"""),"Nguyễn Thị Thảo Duyên")</f>
        <v>Nguyễn Thị Thảo Duyên</v>
      </c>
      <c r="E8" s="4" t="str">
        <f>IFERROR(__xludf.DUMMYFUNCTION("""COMPUTED_VALUE"""),"Đại học Phenikaa")</f>
        <v>Đại học Phenikaa</v>
      </c>
      <c r="F8" s="4" t="str">
        <f>IFERROR(__xludf.DUMMYFUNCTION("""COMPUTED_VALUE"""),"VL2026-007.png")</f>
        <v>VL2026-007.png</v>
      </c>
    </row>
    <row r="9">
      <c r="A9" s="4" t="str">
        <f>IFERROR(__xludf.DUMMYFUNCTION("""COMPUTED_VALUE"""),"VL2026-008")</f>
        <v>VL2026-008</v>
      </c>
      <c r="B9" s="4" t="str">
        <f>IFERROR(__xludf.DUMMYFUNCTION("""COMPUTED_VALUE"""),"Vật lý")</f>
        <v>Vật lý</v>
      </c>
      <c r="C9" s="4" t="str">
        <f>IFERROR(__xludf.DUMMYFUNCTION("""COMPUTED_VALUE"""),"CẤU TRÚC CẢM BIẾN Y SINH VỚI HÌNH DẠNG ĐIỆN CỰC ĐƯỢC TỐI ƯU HÓA CHO CÁC ỨNG DỤNG AN TOÀN THỰC PHẨM")</f>
        <v>CẤU TRÚC CẢM BIẾN Y SINH VỚI HÌNH DẠNG ĐIỆN CỰC ĐƯỢC TỐI ƯU HÓA CHO CÁC ỨNG DỤNG AN TOÀN THỰC PHẨM</v>
      </c>
      <c r="D9" s="4" t="str">
        <f>IFERROR(__xludf.DUMMYFUNCTION("""COMPUTED_VALUE"""),"Phan Thị Khánh Thuận")</f>
        <v>Phan Thị Khánh Thuận</v>
      </c>
      <c r="E9" s="4" t="str">
        <f>IFERROR(__xludf.DUMMYFUNCTION("""COMPUTED_VALUE"""),"Trường Đại học Khoa học Tự nhiên, ĐHQG-HCM")</f>
        <v>Trường Đại học Khoa học Tự nhiên, ĐHQG-HCM</v>
      </c>
      <c r="F9" s="4" t="str">
        <f>IFERROR(__xludf.DUMMYFUNCTION("""COMPUTED_VALUE"""),"VL2026-008.png")</f>
        <v>VL2026-008.png</v>
      </c>
    </row>
    <row r="10">
      <c r="A10" s="4" t="str">
        <f>IFERROR(__xludf.DUMMYFUNCTION("""COMPUTED_VALUE"""),"VL2026-009")</f>
        <v>VL2026-009</v>
      </c>
      <c r="B10" s="4" t="str">
        <f>IFERROR(__xludf.DUMMYFUNCTION("""COMPUTED_VALUE"""),"Vật lý")</f>
        <v>Vật lý</v>
      </c>
      <c r="C10" s="4" t="str">
        <f>IFERROR(__xludf.DUMMYFUNCTION("""COMPUTED_VALUE"""),"MÔ PHỎNG SỐ TRỰC TIẾP SỰ MẤT ỔN ĐỊNH TRONG TƯƠNG TÁC GIỮA CẶP XOÁY QUAY NGƯỢC CHIỀU VÀ BỀ MẶT TƯỜNG PHẲNG")</f>
        <v>MÔ PHỎNG SỐ TRỰC TIẾP SỰ MẤT ỔN ĐỊNH TRONG TƯƠNG TÁC GIỮA CẶP XOÁY QUAY NGƯỢC CHIỀU VÀ BỀ MẶT TƯỜNG PHẲNG</v>
      </c>
      <c r="D10" s="4" t="str">
        <f>IFERROR(__xludf.DUMMYFUNCTION("""COMPUTED_VALUE"""),"Võ Văn Quang Anh")</f>
        <v>Võ Văn Quang Anh</v>
      </c>
      <c r="E10" s="4" t="str">
        <f>IFERROR(__xludf.DUMMYFUNCTION("""COMPUTED_VALUE"""),"Học viện Hàng không Việt Nam")</f>
        <v>Học viện Hàng không Việt Nam</v>
      </c>
      <c r="F10" s="4" t="str">
        <f>IFERROR(__xludf.DUMMYFUNCTION("""COMPUTED_VALUE"""),"VL2026-009.png")</f>
        <v>VL2026-009.png</v>
      </c>
    </row>
    <row r="11">
      <c r="A11" s="4" t="str">
        <f>IFERROR(__xludf.DUMMYFUNCTION("""COMPUTED_VALUE"""),"VL2026-010")</f>
        <v>VL2026-010</v>
      </c>
      <c r="B11" s="4" t="str">
        <f>IFERROR(__xludf.DUMMYFUNCTION("""COMPUTED_VALUE"""),"Vật lý")</f>
        <v>Vật lý</v>
      </c>
      <c r="C11" s="4" t="str">
        <f>IFERROR(__xludf.DUMMYFUNCTION("""COMPUTED_VALUE"""),"Giải tích lồi và ứng dụng vào một số bài toán sơ cấp")</f>
        <v>Giải tích lồi và ứng dụng vào một số bài toán sơ cấp</v>
      </c>
      <c r="D11" s="4" t="str">
        <f>IFERROR(__xludf.DUMMYFUNCTION("""COMPUTED_VALUE"""),"Phạm Thị Hương Giang; Thái Huỳnh Trân")</f>
        <v>Phạm Thị Hương Giang; Thái Huỳnh Trân</v>
      </c>
      <c r="E11" s="4" t="str">
        <f>IFERROR(__xludf.DUMMYFUNCTION("""COMPUTED_VALUE"""),"Trường Đại học Phú Yên")</f>
        <v>Trường Đại học Phú Yên</v>
      </c>
      <c r="F11" s="4" t="str">
        <f>IFERROR(__xludf.DUMMYFUNCTION("""COMPUTED_VALUE"""),"VL2026-010.png")</f>
        <v>VL2026-010.png</v>
      </c>
    </row>
    <row r="12">
      <c r="A12" s="4" t="str">
        <f>IFERROR(__xludf.DUMMYFUNCTION("""COMPUTED_VALUE"""),"VL2026-011")</f>
        <v>VL2026-011</v>
      </c>
      <c r="B12" s="4" t="str">
        <f>IFERROR(__xludf.DUMMYFUNCTION("""COMPUTED_VALUE"""),"Vật lý")</f>
        <v>Vật lý</v>
      </c>
      <c r="C12" s="4" t="str">
        <f>IFERROR(__xludf.DUMMYFUNCTION("""COMPUTED_VALUE"""),"Nghiên cứu phương pháp lọc lai miền tần số - không gian nâng cao chất lượng ảnh siêu âm DBIM trong chẩn đoán sớm ung thư vú")</f>
        <v>Nghiên cứu phương pháp lọc lai miền tần số - không gian nâng cao chất lượng ảnh siêu âm DBIM trong chẩn đoán sớm ung thư vú</v>
      </c>
      <c r="D12" s="4" t="str">
        <f>IFERROR(__xludf.DUMMYFUNCTION("""COMPUTED_VALUE"""),"Tạ Bích Hồng; Lê Công Anh; Phạm Văn Kiên; Vũ Thị Nguyện; Nguyễn Trung Chiến")</f>
        <v>Tạ Bích Hồng; Lê Công Anh; Phạm Văn Kiên; Vũ Thị Nguyện; Nguyễn Trung Chiến</v>
      </c>
      <c r="E12" s="4" t="str">
        <f>IFERROR(__xludf.DUMMYFUNCTION("""COMPUTED_VALUE"""),"Trường Đại học Victoria Hòa Bình")</f>
        <v>Trường Đại học Victoria Hòa Bình</v>
      </c>
      <c r="F12" s="4" t="str">
        <f>IFERROR(__xludf.DUMMYFUNCTION("""COMPUTED_VALUE"""),"VL2026-011.png")</f>
        <v>VL2026-011.png</v>
      </c>
    </row>
    <row r="13">
      <c r="A13" s="4" t="str">
        <f>IFERROR(__xludf.DUMMYFUNCTION("""COMPUTED_VALUE"""),"VL2026-012")</f>
        <v>VL2026-012</v>
      </c>
      <c r="B13" s="4" t="str">
        <f>IFERROR(__xludf.DUMMYFUNCTION("""COMPUTED_VALUE"""),"Vật lý")</f>
        <v>Vật lý</v>
      </c>
      <c r="C13" s="4" t="str">
        <f>IFERROR(__xludf.DUMMYFUNCTION("""COMPUTED_VALUE"""),"Nghiên cứu mối tương quan giữa thành phần hóa học, cấu trúc và tính chất của hợp kim bằng mô phỏng và AI")</f>
        <v>Nghiên cứu mối tương quan giữa thành phần hóa học, cấu trúc và tính chất của hợp kim bằng mô phỏng và AI</v>
      </c>
      <c r="D13" s="4" t="str">
        <f>IFERROR(__xludf.DUMMYFUNCTION("""COMPUTED_VALUE"""),"Vũ Bích Hạnh")</f>
        <v>Vũ Bích Hạnh</v>
      </c>
      <c r="E13" s="4" t="str">
        <f>IFERROR(__xludf.DUMMYFUNCTION("""COMPUTED_VALUE"""),"Đại học Phenikaa")</f>
        <v>Đại học Phenikaa</v>
      </c>
      <c r="F13" s="4" t="str">
        <f>IFERROR(__xludf.DUMMYFUNCTION("""COMPUTED_VALUE"""),"VL2026-012.png")</f>
        <v>VL2026-012.png</v>
      </c>
    </row>
    <row r="14">
      <c r="A14" s="4" t="str">
        <f>IFERROR(__xludf.DUMMYFUNCTION("""COMPUTED_VALUE"""),"VL2026-013")</f>
        <v>VL2026-013</v>
      </c>
      <c r="B14" s="4" t="str">
        <f>IFERROR(__xludf.DUMMYFUNCTION("""COMPUTED_VALUE"""),"Vật lý")</f>
        <v>Vật lý</v>
      </c>
      <c r="C14" s="4" t="str">
        <f>IFERROR(__xludf.DUMMYFUNCTION("""COMPUTED_VALUE"""),"STUDY OF NONLINEAR TRANSPORT PROPERTIES OF SUPERCONDUCTING MATERIALS IN THE MIXED STATE")</f>
        <v>STUDY OF NONLINEAR TRANSPORT PROPERTIES OF SUPERCONDUCTING MATERIALS IN THE MIXED STATE</v>
      </c>
      <c r="D14" s="4" t="str">
        <f>IFERROR(__xludf.DUMMYFUNCTION("""COMPUTED_VALUE"""),"Ngô Quang Đức")</f>
        <v>Ngô Quang Đức</v>
      </c>
      <c r="E14" s="4" t="str">
        <f>IFERROR(__xludf.DUMMYFUNCTION("""COMPUTED_VALUE"""),"Trường Đại học Sư phạm Hà Nội")</f>
        <v>Trường Đại học Sư phạm Hà Nội</v>
      </c>
      <c r="F14" s="4" t="str">
        <f>IFERROR(__xludf.DUMMYFUNCTION("""COMPUTED_VALUE"""),"VL2026-013.png")</f>
        <v>VL2026-013.png</v>
      </c>
    </row>
    <row r="15">
      <c r="A15" s="4" t="str">
        <f>IFERROR(__xludf.DUMMYFUNCTION("""COMPUTED_VALUE"""),"VL2026-014")</f>
        <v>VL2026-014</v>
      </c>
      <c r="B15" s="4" t="str">
        <f>IFERROR(__xludf.DUMMYFUNCTION("""COMPUTED_VALUE"""),"Vật lý")</f>
        <v>Vật lý</v>
      </c>
      <c r="C15" s="4" t="str">
        <f>IFERROR(__xludf.DUMMYFUNCTION("""COMPUTED_VALUE"""),"Mô phỏng vật liệu theo mô hình Fermi-Hubbard bằng thuật toán biến phân lai lượng tử")</f>
        <v>Mô phỏng vật liệu theo mô hình Fermi-Hubbard bằng thuật toán biến phân lai lượng tử</v>
      </c>
      <c r="D15" s="4" t="str">
        <f>IFERROR(__xludf.DUMMYFUNCTION("""COMPUTED_VALUE"""),"Phạm Văn Anh; Hồ Xuân Nhật ; Trần Minh Đức ; Phạm Đăng Quang")</f>
        <v>Phạm Văn Anh; Hồ Xuân Nhật ; Trần Minh Đức ; Phạm Đăng Quang</v>
      </c>
      <c r="E15" s="4" t="str">
        <f>IFERROR(__xludf.DUMMYFUNCTION("""COMPUTED_VALUE"""),"Trường Đại học Sư phạm, Đại học Đà Nẵng")</f>
        <v>Trường Đại học Sư phạm, Đại học Đà Nẵng</v>
      </c>
      <c r="F15" s="4" t="str">
        <f>IFERROR(__xludf.DUMMYFUNCTION("""COMPUTED_VALUE"""),"VL2026-014.png")</f>
        <v>VL2026-014.png</v>
      </c>
    </row>
    <row r="16">
      <c r="A16" s="4" t="str">
        <f>IFERROR(__xludf.DUMMYFUNCTION("""COMPUTED_VALUE"""),"VL2026-015")</f>
        <v>VL2026-015</v>
      </c>
      <c r="B16" s="4" t="str">
        <f>IFERROR(__xludf.DUMMYFUNCTION("""COMPUTED_VALUE"""),"Vật lý")</f>
        <v>Vật lý</v>
      </c>
      <c r="C16" s="4" t="str">
        <f>IFERROR(__xludf.DUMMYFUNCTION("""COMPUTED_VALUE"""),"Conditional Josephson coupling toward an analog classical CNOT operation in a magnon Bose–Einstein condensate")</f>
        <v>Conditional Josephson coupling toward an analog classical CNOT operation in a magnon Bose–Einstein condensate</v>
      </c>
      <c r="D16" s="4" t="str">
        <f>IFERROR(__xludf.DUMMYFUNCTION("""COMPUTED_VALUE"""),"Lê Bảo Duy")</f>
        <v>Lê Bảo Duy</v>
      </c>
      <c r="E16" s="4" t="str">
        <f>IFERROR(__xludf.DUMMYFUNCTION("""COMPUTED_VALUE"""),"Trường Đại học Khoa học Tự nhiên, ĐHQG-HCM")</f>
        <v>Trường Đại học Khoa học Tự nhiên, ĐHQG-HCM</v>
      </c>
      <c r="F16" s="4" t="str">
        <f>IFERROR(__xludf.DUMMYFUNCTION("""COMPUTED_VALUE"""),"VL2026-015.png")</f>
        <v>VL2026-015.png</v>
      </c>
    </row>
    <row r="17">
      <c r="A17" s="4" t="str">
        <f>IFERROR(__xludf.DUMMYFUNCTION("""COMPUTED_VALUE"""),"VL2026-016")</f>
        <v>VL2026-016</v>
      </c>
      <c r="B17" s="4" t="str">
        <f>IFERROR(__xludf.DUMMYFUNCTION("""COMPUTED_VALUE"""),"Vật lý")</f>
        <v>Vật lý</v>
      </c>
      <c r="C17" s="4" t="str">
        <f>IFERROR(__xludf.DUMMYFUNCTION("""COMPUTED_VALUE"""),"Nghiên cứu tổng hợp và khảo sát tính chất nhiệt sắc của vật liệu VO2")</f>
        <v>Nghiên cứu tổng hợp và khảo sát tính chất nhiệt sắc của vật liệu VO2</v>
      </c>
      <c r="D17" s="4" t="str">
        <f>IFERROR(__xludf.DUMMYFUNCTION("""COMPUTED_VALUE"""),"Nguyễn Thị Thanh Nhàn; Hồ Nguyễn Hồng Thắm; Nguyễn Thị Tường Vy; Lê Phương Thảo")</f>
        <v>Nguyễn Thị Thanh Nhàn; Hồ Nguyễn Hồng Thắm; Nguyễn Thị Tường Vy; Lê Phương Thảo</v>
      </c>
      <c r="E17" s="4" t="str">
        <f>IFERROR(__xludf.DUMMYFUNCTION("""COMPUTED_VALUE"""),"Trường Đại học Quy Nhơn")</f>
        <v>Trường Đại học Quy Nhơn</v>
      </c>
      <c r="F17" s="4" t="str">
        <f>IFERROR(__xludf.DUMMYFUNCTION("""COMPUTED_VALUE"""),"VL2026-016.png")</f>
        <v>VL2026-016.png</v>
      </c>
    </row>
    <row r="18">
      <c r="A18" s="4" t="str">
        <f>IFERROR(__xludf.DUMMYFUNCTION("""COMPUTED_VALUE"""),"VL2026-017")</f>
        <v>VL2026-017</v>
      </c>
      <c r="B18" s="4" t="str">
        <f>IFERROR(__xludf.DUMMYFUNCTION("""COMPUTED_VALUE"""),"Vật lý")</f>
        <v>Vật lý</v>
      </c>
      <c r="C18" s="4" t="str">
        <f>IFERROR(__xludf.DUMMYFUNCTION("""COMPUTED_VALUE"""),"Nghiên cứu phát triển một số phương pháp lọc thích nghi dựa trên giải thuật bầy đàn nhằm nâng cao chất lượng tái tạo ảnh cắt lớp quang học bằng phương pháp lặp Born")</f>
        <v>Nghiên cứu phát triển một số phương pháp lọc thích nghi dựa trên giải thuật bầy đàn nhằm nâng cao chất lượng tái tạo ảnh cắt lớp quang học bằng phương pháp lặp Born</v>
      </c>
      <c r="D18" s="4" t="str">
        <f>IFERROR(__xludf.DUMMYFUNCTION("""COMPUTED_VALUE"""),"Nguyễn Viết Đức Anh; Trần Tuấn Anh; Nguyễn Minh Tiến; Phạm Thùy Trang; Nguyễn Nhật Linh")</f>
        <v>Nguyễn Viết Đức Anh; Trần Tuấn Anh; Nguyễn Minh Tiến; Phạm Thùy Trang; Nguyễn Nhật Linh</v>
      </c>
      <c r="E18" s="4" t="str">
        <f>IFERROR(__xludf.DUMMYFUNCTION("""COMPUTED_VALUE"""),"Trường Đại học Sư phạm Hà Nội 2")</f>
        <v>Trường Đại học Sư phạm Hà Nội 2</v>
      </c>
      <c r="F18" s="4" t="str">
        <f>IFERROR(__xludf.DUMMYFUNCTION("""COMPUTED_VALUE"""),"VL2026-017.png")</f>
        <v>VL2026-017.png</v>
      </c>
    </row>
    <row r="19">
      <c r="A19" s="4" t="str">
        <f>IFERROR(__xludf.DUMMYFUNCTION("""COMPUTED_VALUE"""),"VL2026-018")</f>
        <v>VL2026-018</v>
      </c>
      <c r="B19" s="4" t="str">
        <f>IFERROR(__xludf.DUMMYFUNCTION("""COMPUTED_VALUE"""),"Vật lý")</f>
        <v>Vật lý</v>
      </c>
      <c r="C19" s="4" t="str">
        <f>IFERROR(__xludf.DUMMYFUNCTION("""COMPUTED_VALUE"""),"Tổng hợp và khảo sát tính chất SERS của hệ vật liệu WO3/Au nhằm nhận biết chất độc hại trong thực phẩm ở nồng độ thấp")</f>
        <v>Tổng hợp và khảo sát tính chất SERS của hệ vật liệu WO3/Au nhằm nhận biết chất độc hại trong thực phẩm ở nồng độ thấp</v>
      </c>
      <c r="D19" s="4" t="str">
        <f>IFERROR(__xludf.DUMMYFUNCTION("""COMPUTED_VALUE"""),"Nguyễn Hải Đăng; Lê Phước Lộc; Đỗ Nhật Duy")</f>
        <v>Nguyễn Hải Đăng; Lê Phước Lộc; Đỗ Nhật Duy</v>
      </c>
      <c r="E19" s="4" t="str">
        <f>IFERROR(__xludf.DUMMYFUNCTION("""COMPUTED_VALUE"""),"Trường Đại học Khoa học Tự nhiên, ĐHQG-HCM")</f>
        <v>Trường Đại học Khoa học Tự nhiên, ĐHQG-HCM</v>
      </c>
      <c r="F19" s="4" t="str">
        <f>IFERROR(__xludf.DUMMYFUNCTION("""COMPUTED_VALUE"""),"VL2026-018.png")</f>
        <v>VL2026-018.png</v>
      </c>
    </row>
    <row r="20">
      <c r="A20" s="4" t="str">
        <f>IFERROR(__xludf.DUMMYFUNCTION("""COMPUTED_VALUE"""),"VL2026-019")</f>
        <v>VL2026-019</v>
      </c>
      <c r="B20" s="4" t="str">
        <f>IFERROR(__xludf.DUMMYFUNCTION("""COMPUTED_VALUE"""),"Vật lý")</f>
        <v>Vật lý</v>
      </c>
      <c r="C20" s="4" t="str">
        <f>IFERROR(__xludf.DUMMYFUNCTION("""COMPUTED_VALUE"""),"Nghiên cứu độ dẫn spin Hall nội của vật liệu α-W bằng phương pháp tight binding kết hợp phương pháp nguyên lý thứ nhất")</f>
        <v>Nghiên cứu độ dẫn spin Hall nội của vật liệu α-W bằng phương pháp tight binding kết hợp phương pháp nguyên lý thứ nhất</v>
      </c>
      <c r="D20" s="4" t="str">
        <f>IFERROR(__xludf.DUMMYFUNCTION("""COMPUTED_VALUE"""),"Trần Thái Trọng Đức")</f>
        <v>Trần Thái Trọng Đức</v>
      </c>
      <c r="E20" s="4" t="str">
        <f>IFERROR(__xludf.DUMMYFUNCTION("""COMPUTED_VALUE"""),"Trường Đại học Khoa học Tự nhiên, ĐHQG-HCM")</f>
        <v>Trường Đại học Khoa học Tự nhiên, ĐHQG-HCM</v>
      </c>
      <c r="F20" s="4" t="str">
        <f>IFERROR(__xludf.DUMMYFUNCTION("""COMPUTED_VALUE"""),"VL2026-019.png")</f>
        <v>VL2026-019.png</v>
      </c>
    </row>
    <row r="21">
      <c r="A21" s="4" t="str">
        <f>IFERROR(__xludf.DUMMYFUNCTION("""COMPUTED_VALUE"""),"VL2026-020")</f>
        <v>VL2026-020</v>
      </c>
      <c r="B21" s="4" t="str">
        <f>IFERROR(__xludf.DUMMYFUNCTION("""COMPUTED_VALUE"""),"Vật lý")</f>
        <v>Vật lý</v>
      </c>
      <c r="C21" s="4" t="str">
        <f>IFERROR(__xludf.DUMMYFUNCTION("""COMPUTED_VALUE"""),"THIẾT KẾ VÀ XÂY DỰNG HỆ ĐO XÁC ĐỊNH ĐỘ DẪN NHIỆT CỦA VẬT LIỆU ZnO PHA TẠP DỰA TRÊN PHƯƠNG PHÁP 3 – OMEGA")</f>
        <v>THIẾT KẾ VÀ XÂY DỰNG HỆ ĐO XÁC ĐỊNH ĐỘ DẪN NHIỆT CỦA VẬT LIỆU ZnO PHA TẠP DỰA TRÊN PHƯƠNG PHÁP 3 – OMEGA</v>
      </c>
      <c r="D21" s="4" t="str">
        <f>IFERROR(__xludf.DUMMYFUNCTION("""COMPUTED_VALUE"""),"Nguyễn Thị Khánh Nhi")</f>
        <v>Nguyễn Thị Khánh Nhi</v>
      </c>
      <c r="E21" s="4" t="str">
        <f>IFERROR(__xludf.DUMMYFUNCTION("""COMPUTED_VALUE"""),"Trường Đại học Khoa học Tự nhiên, ĐHQG-HCM")</f>
        <v>Trường Đại học Khoa học Tự nhiên, ĐHQG-HCM</v>
      </c>
      <c r="F21" s="4" t="str">
        <f>IFERROR(__xludf.DUMMYFUNCTION("""COMPUTED_VALUE"""),"VL2026-020.png")</f>
        <v>VL2026-020.png</v>
      </c>
    </row>
    <row r="22">
      <c r="A22" s="4" t="str">
        <f>IFERROR(__xludf.DUMMYFUNCTION("""COMPUTED_VALUE"""),"VL2026-021")</f>
        <v>VL2026-021</v>
      </c>
      <c r="B22" s="4" t="str">
        <f>IFERROR(__xludf.DUMMYFUNCTION("""COMPUTED_VALUE"""),"Vật lý")</f>
        <v>Vật lý</v>
      </c>
      <c r="C22" s="4" t="str">
        <f>IFERROR(__xludf.DUMMYFUNCTION("""COMPUTED_VALUE"""),"FABRICATION of Sn-DOPED GaOOH UVC PHOTODETECTORS USING A MODIFIED SILAR METHOD")</f>
        <v>FABRICATION of Sn-DOPED GaOOH UVC PHOTODETECTORS USING A MODIFIED SILAR METHOD</v>
      </c>
      <c r="D22" s="4" t="str">
        <f>IFERROR(__xludf.DUMMYFUNCTION("""COMPUTED_VALUE"""),"Đoàn Lê Trung Hậu; Nguyễn Huy Thái; Nguyễn Minh Đức")</f>
        <v>Đoàn Lê Trung Hậu; Nguyễn Huy Thái; Nguyễn Minh Đức</v>
      </c>
      <c r="E22" s="4" t="str">
        <f>IFERROR(__xludf.DUMMYFUNCTION("""COMPUTED_VALUE"""),"Trường Đại học Công nghệ Kỹ thuật TP. Hồ Chí Minh")</f>
        <v>Trường Đại học Công nghệ Kỹ thuật TP. Hồ Chí Minh</v>
      </c>
      <c r="F22" s="4" t="str">
        <f>IFERROR(__xludf.DUMMYFUNCTION("""COMPUTED_VALUE"""),"VL2026-021.png")</f>
        <v>VL2026-021.png</v>
      </c>
    </row>
    <row r="23">
      <c r="A23" s="4" t="str">
        <f>IFERROR(__xludf.DUMMYFUNCTION("""COMPUTED_VALUE"""),"VL2026-022")</f>
        <v>VL2026-022</v>
      </c>
      <c r="B23" s="4" t="str">
        <f>IFERROR(__xludf.DUMMYFUNCTION("""COMPUTED_VALUE"""),"Vật lý")</f>
        <v>Vật lý</v>
      </c>
      <c r="C23" s="4" t="str">
        <f>IFERROR(__xludf.DUMMYFUNCTION("""COMPUTED_VALUE"""),"Chế tạo cảm biến quang học UVC GaOOH hoạt động ở hiệu điện thế thấp")</f>
        <v>Chế tạo cảm biến quang học UVC GaOOH hoạt động ở hiệu điện thế thấp</v>
      </c>
      <c r="D23" s="4" t="str">
        <f>IFERROR(__xludf.DUMMYFUNCTION("""COMPUTED_VALUE"""),"Phạm Quang Đạt; Nguyễn Đại Phục; Nguyễn Đặng Minh Huy; Trịnh Nguyên Nhật; Đặng Tô Thúy Huyền")</f>
        <v>Phạm Quang Đạt; Nguyễn Đại Phục; Nguyễn Đặng Minh Huy; Trịnh Nguyên Nhật; Đặng Tô Thúy Huyền</v>
      </c>
      <c r="E23" s="4" t="str">
        <f>IFERROR(__xludf.DUMMYFUNCTION("""COMPUTED_VALUE"""),"Trường Đại học Công nghệ Kỹ thuật TP. Hồ Chí Minh")</f>
        <v>Trường Đại học Công nghệ Kỹ thuật TP. Hồ Chí Minh</v>
      </c>
      <c r="F23" s="4" t="str">
        <f>IFERROR(__xludf.DUMMYFUNCTION("""COMPUTED_VALUE"""),"VL2026-022.png")</f>
        <v>VL2026-022.png</v>
      </c>
    </row>
    <row r="24">
      <c r="A24" s="4" t="str">
        <f>IFERROR(__xludf.DUMMYFUNCTION("""COMPUTED_VALUE"""),"VL2026-023")</f>
        <v>VL2026-023</v>
      </c>
      <c r="B24" s="4" t="str">
        <f>IFERROR(__xludf.DUMMYFUNCTION("""COMPUTED_VALUE"""),"Vật lý")</f>
        <v>Vật lý</v>
      </c>
      <c r="C24" s="4" t="str">
        <f>IFERROR(__xludf.DUMMYFUNCTION("""COMPUTED_VALUE"""),"NGHIÊN CỨU VÀ TỐI ƯU HIỆU SUẤT CỦA CẢM BIẾN UVC GaOOH CHẾ TẠO BẰNG PHƯƠNG PHÁP THỦY NHIỆT")</f>
        <v>NGHIÊN CỨU VÀ TỐI ƯU HIỆU SUẤT CỦA CẢM BIẾN UVC GaOOH CHẾ TẠO BẰNG PHƯƠNG PHÁP THỦY NHIỆT</v>
      </c>
      <c r="D24" s="4" t="str">
        <f>IFERROR(__xludf.DUMMYFUNCTION("""COMPUTED_VALUE"""),"Lê Thị Kim Thanh; Nguyễn Thị Thanh Thảo; Trần Đức Thanh Khoa; Nguyễn Ngọc Anh")</f>
        <v>Lê Thị Kim Thanh; Nguyễn Thị Thanh Thảo; Trần Đức Thanh Khoa; Nguyễn Ngọc Anh</v>
      </c>
      <c r="E24" s="4" t="str">
        <f>IFERROR(__xludf.DUMMYFUNCTION("""COMPUTED_VALUE"""),"Trường Đại học Công nghệ Kỹ thuật TP. Hồ Chí Minh")</f>
        <v>Trường Đại học Công nghệ Kỹ thuật TP. Hồ Chí Minh</v>
      </c>
      <c r="F24" s="4" t="str">
        <f>IFERROR(__xludf.DUMMYFUNCTION("""COMPUTED_VALUE"""),"VL2026-023.png")</f>
        <v>VL2026-023.png</v>
      </c>
    </row>
    <row r="25">
      <c r="A25" s="4" t="str">
        <f>IFERROR(__xludf.DUMMYFUNCTION("""COMPUTED_VALUE"""),"VL2026-024")</f>
        <v>VL2026-024</v>
      </c>
      <c r="B25" s="4" t="str">
        <f>IFERROR(__xludf.DUMMYFUNCTION("""COMPUTED_VALUE"""),"Vật lý")</f>
        <v>Vật lý</v>
      </c>
      <c r="C25" s="4" t="str">
        <f>IFERROR(__xludf.DUMMYFUNCTION("""COMPUTED_VALUE"""),"ĐÁNH GIÁ VỀ TÁC ĐỘNG CỦA ÁNH SÁNG PHÂN CỰC TRONG VIỆC PHÂN TÍCH MÔ UNG THƯ ĐẠI TRỰC TRÀNG DỰA TRÊN KỸ THUẬT MA TRẬN MUELLER")</f>
        <v>ĐÁNH GIÁ VỀ TÁC ĐỘNG CỦA ÁNH SÁNG PHÂN CỰC TRONG VIỆC PHÂN TÍCH MÔ UNG THƯ ĐẠI TRỰC TRÀNG DỰA TRÊN KỸ THUẬT MA TRẬN MUELLER</v>
      </c>
      <c r="D25" s="4" t="str">
        <f>IFERROR(__xludf.DUMMYFUNCTION("""COMPUTED_VALUE"""),"Văn Trọng Vinh; Lê Thanh Trúc; Nguyễn Quốc Đạt; Nguyễn Kim Ngân; Nguyễn Tiến Hưng")</f>
        <v>Văn Trọng Vinh; Lê Thanh Trúc; Nguyễn Quốc Đạt; Nguyễn Kim Ngân; Nguyễn Tiến Hưng</v>
      </c>
      <c r="E25" s="4" t="str">
        <f>IFERROR(__xludf.DUMMYFUNCTION("""COMPUTED_VALUE"""),"Trường Đại học Quốc Tế, ĐHQG-HCM")</f>
        <v>Trường Đại học Quốc Tế, ĐHQG-HCM</v>
      </c>
      <c r="F25" s="4" t="str">
        <f>IFERROR(__xludf.DUMMYFUNCTION("""COMPUTED_VALUE"""),"VL2026-024.png")</f>
        <v>VL2026-024.png</v>
      </c>
    </row>
    <row r="26">
      <c r="A26" s="4" t="str">
        <f>IFERROR(__xludf.DUMMYFUNCTION("""COMPUTED_VALUE"""),"VL2026-025")</f>
        <v>VL2026-025</v>
      </c>
      <c r="B26" s="4" t="str">
        <f>IFERROR(__xludf.DUMMYFUNCTION("""COMPUTED_VALUE"""),"Vật lý")</f>
        <v>Vật lý</v>
      </c>
      <c r="C26" s="4" t="str">
        <f>IFERROR(__xludf.DUMMYFUNCTION("""COMPUTED_VALUE"""),"CHẾ TẠO VÀ KHẢO SÁT TÍNH NĂNG SERS CỦA HỆ NANO Ag/WOx/SiNWs CHẾ TẠO BẰNG PHƯƠNG PHÁP KẾT HỢP ĂN MÒN ƯỚT CÓ HỖ TRỢ KIM LOẠI VÀ PHÚN XẠ")</f>
        <v>CHẾ TẠO VÀ KHẢO SÁT TÍNH NĂNG SERS CỦA HỆ NANO Ag/WOx/SiNWs CHẾ TẠO BẰNG PHƯƠNG PHÁP KẾT HỢP ĂN MÒN ƯỚT CÓ HỖ TRỢ KIM LOẠI VÀ PHÚN XẠ</v>
      </c>
      <c r="D26" s="4" t="str">
        <f>IFERROR(__xludf.DUMMYFUNCTION("""COMPUTED_VALUE"""),"Võ Thiện Văn; Chế Gia Phong; Nguyễn Minh Truyết; Phạm Thị Ánh Linh")</f>
        <v>Võ Thiện Văn; Chế Gia Phong; Nguyễn Minh Truyết; Phạm Thị Ánh Linh</v>
      </c>
      <c r="E26" s="4" t="str">
        <f>IFERROR(__xludf.DUMMYFUNCTION("""COMPUTED_VALUE"""),"Trường Đại học Khoa học Tự nhiên, ĐHQG-HCM")</f>
        <v>Trường Đại học Khoa học Tự nhiên, ĐHQG-HCM</v>
      </c>
      <c r="F26" s="4" t="str">
        <f>IFERROR(__xludf.DUMMYFUNCTION("""COMPUTED_VALUE"""),"VL2026-025.png")</f>
        <v>VL2026-025.png</v>
      </c>
    </row>
    <row r="27">
      <c r="A27" s="4" t="str">
        <f>IFERROR(__xludf.DUMMYFUNCTION("""COMPUTED_VALUE"""),"VL2026-026")</f>
        <v>VL2026-026</v>
      </c>
      <c r="B27" s="4" t="str">
        <f>IFERROR(__xludf.DUMMYFUNCTION("""COMPUTED_VALUE"""),"Vật lý")</f>
        <v>Vật lý</v>
      </c>
      <c r="C27" s="4" t="str">
        <f>IFERROR(__xludf.DUMMYFUNCTION("""COMPUTED_VALUE"""),"Nghiên cứu tính chất cấu trúc, điện và quang của ZnO khối pha tạp đất hiếm (La, Y) và nguyên tố hóa trị cao (Ta) hướng đến ứng dụng chuyển đổi năng lượng.")</f>
        <v>Nghiên cứu tính chất cấu trúc, điện và quang của ZnO khối pha tạp đất hiếm (La, Y) và nguyên tố hóa trị cao (Ta) hướng đến ứng dụng chuyển đổi năng lượng.</v>
      </c>
      <c r="D27" s="4" t="str">
        <f>IFERROR(__xludf.DUMMYFUNCTION("""COMPUTED_VALUE"""),"Nguyễn Văn Trường")</f>
        <v>Nguyễn Văn Trường</v>
      </c>
      <c r="E27" s="4" t="str">
        <f>IFERROR(__xludf.DUMMYFUNCTION("""COMPUTED_VALUE"""),"Trường Đại học Khoa học Tự nhiên, ĐHQG-HCM")</f>
        <v>Trường Đại học Khoa học Tự nhiên, ĐHQG-HCM</v>
      </c>
      <c r="F27" s="4" t="str">
        <f>IFERROR(__xludf.DUMMYFUNCTION("""COMPUTED_VALUE"""),"VL2026-026.png")</f>
        <v>VL2026-026.png</v>
      </c>
    </row>
    <row r="28">
      <c r="A28" s="4" t="str">
        <f>IFERROR(__xludf.DUMMYFUNCTION("""COMPUTED_VALUE"""),"VL2026-027")</f>
        <v>VL2026-027</v>
      </c>
      <c r="B28" s="4" t="str">
        <f>IFERROR(__xludf.DUMMYFUNCTION("""COMPUTED_VALUE"""),"Vật lý")</f>
        <v>Vật lý</v>
      </c>
      <c r="C28" s="4" t="str">
        <f>IFERROR(__xludf.DUMMYFUNCTION("""COMPUTED_VALUE"""),"Khảo sát tính chất nhiệt điện của vật liệu khối ZnO pha tạp Nb với nồng độ khác nhau cho ứng dụng chuyển đổi năng lượng")</f>
        <v>Khảo sát tính chất nhiệt điện của vật liệu khối ZnO pha tạp Nb với nồng độ khác nhau cho ứng dụng chuyển đổi năng lượng</v>
      </c>
      <c r="D28" s="4" t="str">
        <f>IFERROR(__xludf.DUMMYFUNCTION("""COMPUTED_VALUE"""),"Nguyễn Nhật An")</f>
        <v>Nguyễn Nhật An</v>
      </c>
      <c r="E28" s="4" t="str">
        <f>IFERROR(__xludf.DUMMYFUNCTION("""COMPUTED_VALUE"""),"Trường Đại học Khoa học Tự nhiên, ĐHQG-HCM")</f>
        <v>Trường Đại học Khoa học Tự nhiên, ĐHQG-HCM</v>
      </c>
      <c r="F28" s="4" t="str">
        <f>IFERROR(__xludf.DUMMYFUNCTION("""COMPUTED_VALUE"""),"VL2026-027.png")</f>
        <v>VL2026-027.png</v>
      </c>
    </row>
    <row r="29">
      <c r="A29" s="4" t="str">
        <f>IFERROR(__xludf.DUMMYFUNCTION("""COMPUTED_VALUE"""),"VL2026-028")</f>
        <v>VL2026-028</v>
      </c>
      <c r="B29" s="4" t="str">
        <f>IFERROR(__xludf.DUMMYFUNCTION("""COMPUTED_VALUE"""),"Vật lý")</f>
        <v>Vật lý</v>
      </c>
      <c r="C29" s="4" t="str">
        <f>IFERROR(__xludf.DUMMYFUNCTION("""COMPUTED_VALUE"""),"NGHIÊN CỨU CHẾ TẠO VẬT LIỆU TỔ HỢP GRAPHENE/SPINEL FERRITE CHO ĐỊNH HƯỚNG ỨNG DỤNG CHO SIÊU TỤ ĐIỆN")</f>
        <v>NGHIÊN CỨU CHẾ TẠO VẬT LIỆU TỔ HỢP GRAPHENE/SPINEL FERRITE CHO ĐỊNH HƯỚNG ỨNG DỤNG CHO SIÊU TỤ ĐIỆN</v>
      </c>
      <c r="D29" s="4" t="str">
        <f>IFERROR(__xludf.DUMMYFUNCTION("""COMPUTED_VALUE"""),"Phạm Thuỳ Giang; Nguyễn Nhật Linh; Phạm Đức Anh")</f>
        <v>Phạm Thuỳ Giang; Nguyễn Nhật Linh; Phạm Đức Anh</v>
      </c>
      <c r="E29" s="4" t="str">
        <f>IFERROR(__xludf.DUMMYFUNCTION("""COMPUTED_VALUE"""),"Trường Đại học Kỹ thuật Công nghiệp - Đại học Thái Nguyên")</f>
        <v>Trường Đại học Kỹ thuật Công nghiệp - Đại học Thái Nguyên</v>
      </c>
      <c r="F29" s="4" t="str">
        <f>IFERROR(__xludf.DUMMYFUNCTION("""COMPUTED_VALUE"""),"VL2026-028.png")</f>
        <v>VL2026-028.png</v>
      </c>
    </row>
    <row r="30">
      <c r="A30" s="4" t="str">
        <f>IFERROR(__xludf.DUMMYFUNCTION("""COMPUTED_VALUE"""),"VL2026-029")</f>
        <v>VL2026-029</v>
      </c>
      <c r="B30" s="4" t="str">
        <f>IFERROR(__xludf.DUMMYFUNCTION("""COMPUTED_VALUE"""),"Vật lý")</f>
        <v>Vật lý</v>
      </c>
      <c r="C30" s="4" t="str">
        <f>IFERROR(__xludf.DUMMYFUNCTION("""COMPUTED_VALUE"""),"NGHIÊN CỨU VÀ PHÁT TRIỂN GIẢI PHÁP ĐIỀU KHIỂN ĐỘNG CƠ ĐỒNG BỘ NAM CHÂM VĨNH CỬU KHÔNG CẢM BIẾN DỰA TRÊN BỘ QUAN SÁT TRƯỢT NHẰM NÂNG CAO ĐỘ TIN CẬY CỦA HỆ TRUYỀN ĐỘNG XE ĐIỆN.")</f>
        <v>NGHIÊN CỨU VÀ PHÁT TRIỂN GIẢI PHÁP ĐIỀU KHIỂN ĐỘNG CƠ ĐỒNG BỘ NAM CHÂM VĨNH CỬU KHÔNG CẢM BIẾN DỰA TRÊN BỘ QUAN SÁT TRƯỢT NHẰM NÂNG CAO ĐỘ TIN CẬY CỦA HỆ TRUYỀN ĐỘNG XE ĐIỆN.</v>
      </c>
      <c r="D30" s="4" t="str">
        <f>IFERROR(__xludf.DUMMYFUNCTION("""COMPUTED_VALUE"""),"Trần Minh Hoàng; Trương Thanh Vĩ; Nguyễn Minh Châu; Hoàng Nguyễn Tiến Long; Nguyễn Trần Quốc Bảo")</f>
        <v>Trần Minh Hoàng; Trương Thanh Vĩ; Nguyễn Minh Châu; Hoàng Nguyễn Tiến Long; Nguyễn Trần Quốc Bảo</v>
      </c>
      <c r="E30" s="4" t="str">
        <f>IFERROR(__xludf.DUMMYFUNCTION("""COMPUTED_VALUE"""),"Trường Đại học Bách Khoa, ĐHQG-HCM")</f>
        <v>Trường Đại học Bách Khoa, ĐHQG-HCM</v>
      </c>
      <c r="F30" s="4" t="str">
        <f>IFERROR(__xludf.DUMMYFUNCTION("""COMPUTED_VALUE"""),"VL2026-029.png")</f>
        <v>VL2026-029.png</v>
      </c>
    </row>
    <row r="31">
      <c r="A31" s="4" t="str">
        <f>IFERROR(__xludf.DUMMYFUNCTION("""COMPUTED_VALUE"""),"VL2026-030")</f>
        <v>VL2026-030</v>
      </c>
      <c r="B31" s="4" t="str">
        <f>IFERROR(__xludf.DUMMYFUNCTION("""COMPUTED_VALUE"""),"Vật lý")</f>
        <v>Vật lý</v>
      </c>
      <c r="C31" s="4" t="str">
        <f>IFERROR(__xludf.DUMMYFUNCTION("""COMPUTED_VALUE"""),"NGHIÊN CỨU ỨNG DỤNG CẢM BIẾN CỘNG HƯỞNG LC BÁN TẬP TRUNG TRONG PHÂN LOẠI TRẠNG THÁI ĐỘ ẨM DA")</f>
        <v>NGHIÊN CỨU ỨNG DỤNG CẢM BIẾN CỘNG HƯỞNG LC BÁN TẬP TRUNG TRONG PHÂN LOẠI TRẠNG THÁI ĐỘ ẨM DA</v>
      </c>
      <c r="D31" s="4" t="str">
        <f>IFERROR(__xludf.DUMMYFUNCTION("""COMPUTED_VALUE"""),"Trịnh Võ Đăng Khoa; Nguyễn Thị Hải Anh; Lê Thanh Nhàn; Nguyễn Hoàng Huy Vũ; Nguyễn Ja Lam")</f>
        <v>Trịnh Võ Đăng Khoa; Nguyễn Thị Hải Anh; Lê Thanh Nhàn; Nguyễn Hoàng Huy Vũ; Nguyễn Ja Lam</v>
      </c>
      <c r="E31" s="4" t="str">
        <f>IFERROR(__xludf.DUMMYFUNCTION("""COMPUTED_VALUE"""),"Trường Đại học Bách Khoa, ĐHQG-HCM")</f>
        <v>Trường Đại học Bách Khoa, ĐHQG-HCM</v>
      </c>
      <c r="F31" s="4" t="str">
        <f>IFERROR(__xludf.DUMMYFUNCTION("""COMPUTED_VALUE"""),"VL2026-030.png")</f>
        <v>VL2026-030.png</v>
      </c>
    </row>
    <row r="32">
      <c r="A32" s="4" t="str">
        <f>IFERROR(__xludf.DUMMYFUNCTION("""COMPUTED_VALUE"""),"VL2026-031")</f>
        <v>VL2026-031</v>
      </c>
      <c r="B32" s="4" t="str">
        <f>IFERROR(__xludf.DUMMYFUNCTION("""COMPUTED_VALUE"""),"Vật lý")</f>
        <v>Vật lý</v>
      </c>
      <c r="C32" s="4" t="str">
        <f>IFERROR(__xludf.DUMMYFUNCTION("""COMPUTED_VALUE"""),"HỆ ĐO TRÙNG PHÙNG GEIGER–MÜLLER CHI PHÍ THẤP CHO MUON TIA VŨ TRỤ VỚI ĐẶC TRƯNG HÓA ĐẦU DÒ VÀ ĐÁNH GIÁ KHẢ NĂNG NHẬN DIỆN ẢNH HƯỞNG KHÍ TƯỢNG TRÊN CHUỖI SỐ LIỆU LIÊN TỤC")</f>
        <v>HỆ ĐO TRÙNG PHÙNG GEIGER–MÜLLER CHI PHÍ THẤP CHO MUON TIA VŨ TRỤ VỚI ĐẶC TRƯNG HÓA ĐẦU DÒ VÀ ĐÁNH GIÁ KHẢ NĂNG NHẬN DIỆN ẢNH HƯỞNG KHÍ TƯỢNG TRÊN CHUỖI SỐ LIỆU LIÊN TỤC</v>
      </c>
      <c r="D32" s="4" t="str">
        <f>IFERROR(__xludf.DUMMYFUNCTION("""COMPUTED_VALUE"""),"Lư Tuấn Khang; Liêu Lin Đan; Phạm Thùy Duyên; Vũ Thị Hồng Thơm; Nguyễn Thị Phương Thảo")</f>
        <v>Lư Tuấn Khang; Liêu Lin Đan; Phạm Thùy Duyên; Vũ Thị Hồng Thơm; Nguyễn Thị Phương Thảo</v>
      </c>
      <c r="E32" s="4" t="str">
        <f>IFERROR(__xludf.DUMMYFUNCTION("""COMPUTED_VALUE"""),"Trường Đại học Bách Khoa, ĐHQG-HCM")</f>
        <v>Trường Đại học Bách Khoa, ĐHQG-HCM</v>
      </c>
      <c r="F32" s="4" t="str">
        <f>IFERROR(__xludf.DUMMYFUNCTION("""COMPUTED_VALUE"""),"VL2026-031.png")</f>
        <v>VL2026-031.png</v>
      </c>
    </row>
    <row r="33">
      <c r="A33" s="4" t="str">
        <f>IFERROR(__xludf.DUMMYFUNCTION("""COMPUTED_VALUE"""),"VL2026-032")</f>
        <v>VL2026-032</v>
      </c>
      <c r="B33" s="4" t="str">
        <f>IFERROR(__xludf.DUMMYFUNCTION("""COMPUTED_VALUE"""),"Vật lý")</f>
        <v>Vật lý</v>
      </c>
      <c r="C33" s="4" t="str">
        <f>IFERROR(__xludf.DUMMYFUNCTION("""COMPUTED_VALUE"""),"NGHIÊN CỨU CHẾ TẠO VÀ KHẢO SÁT ĐẶC TÍNH UỐN CỦA TAY GẮP MỀM KHÍ NÉN")</f>
        <v>NGHIÊN CỨU CHẾ TẠO VÀ KHẢO SÁT ĐẶC TÍNH UỐN CỦA TAY GẮP MỀM KHÍ NÉN</v>
      </c>
      <c r="D33" s="4" t="str">
        <f>IFERROR(__xludf.DUMMYFUNCTION("""COMPUTED_VALUE"""),"Phan Xuân Vũ Kha; Trần Ngọc An Tâm; Lê Hoàng Quân")</f>
        <v>Phan Xuân Vũ Kha; Trần Ngọc An Tâm; Lê Hoàng Quân</v>
      </c>
      <c r="E33" s="4" t="str">
        <f>IFERROR(__xludf.DUMMYFUNCTION("""COMPUTED_VALUE"""),"Trường Đại học Bách Khoa, ĐHQG-HCM")</f>
        <v>Trường Đại học Bách Khoa, ĐHQG-HCM</v>
      </c>
      <c r="F33" s="4" t="str">
        <f>IFERROR(__xludf.DUMMYFUNCTION("""COMPUTED_VALUE"""),"VL2026-032.png")</f>
        <v>VL2026-032.png</v>
      </c>
    </row>
    <row r="34">
      <c r="A34" s="4" t="str">
        <f>IFERROR(__xludf.DUMMYFUNCTION("""COMPUTED_VALUE"""),"VL2026-033")</f>
        <v>VL2026-033</v>
      </c>
      <c r="B34" s="4" t="str">
        <f>IFERROR(__xludf.DUMMYFUNCTION("""COMPUTED_VALUE"""),"Vật lý")</f>
        <v>Vật lý</v>
      </c>
      <c r="C34" s="4" t="str">
        <f>IFERROR(__xludf.DUMMYFUNCTION("""COMPUTED_VALUE"""),"NGHIÊN CỨU CƠ CHẾ GHÉP CÁC MODE ĐIỆN TỪ TRỰC GIAO TRONG ANTEN ĐA LỚP HAI BĂNG TẦN CHO HỆ THỐNG 5G SUB-6 GHZ")</f>
        <v>NGHIÊN CỨU CƠ CHẾ GHÉP CÁC MODE ĐIỆN TỪ TRỰC GIAO TRONG ANTEN ĐA LỚP HAI BĂNG TẦN CHO HỆ THỐNG 5G SUB-6 GHZ</v>
      </c>
      <c r="D34" s="4" t="str">
        <f>IFERROR(__xludf.DUMMYFUNCTION("""COMPUTED_VALUE"""),"Phạm Hoàng Huy; Trần Lê Phúc Khang; Lê Phạm Tiến Đạt")</f>
        <v>Phạm Hoàng Huy; Trần Lê Phúc Khang; Lê Phạm Tiến Đạt</v>
      </c>
      <c r="E34" s="4" t="str">
        <f>IFERROR(__xludf.DUMMYFUNCTION("""COMPUTED_VALUE"""),"Trường Đại học Bách Khoa, ĐHQG-HCM")</f>
        <v>Trường Đại học Bách Khoa, ĐHQG-HCM</v>
      </c>
      <c r="F34" s="4" t="str">
        <f>IFERROR(__xludf.DUMMYFUNCTION("""COMPUTED_VALUE"""),"VL2026-033.png")</f>
        <v>VL2026-033.png</v>
      </c>
    </row>
  </sheetData>
  <drawing r:id="rId1"/>
</worksheet>
</file>